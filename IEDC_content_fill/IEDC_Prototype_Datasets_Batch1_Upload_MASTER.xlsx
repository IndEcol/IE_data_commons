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showObjects="none"/>
  <mc:AlternateContent xmlns:mc="http://schemas.openxmlformats.org/markup-compatibility/2006">
    <mc:Choice Requires="x15">
      <x15ac:absPath xmlns:x15ac="http://schemas.microsoft.com/office/spreadsheetml/2010/11/ac" url="C:\Users\Stefan Pauliuk\FILES\ARBEIT\PROJECTS\Database\IE_DataCommons\IEDC_software\IEDC_content_fill\"/>
    </mc:Choice>
  </mc:AlternateContent>
  <xr:revisionPtr revIDLastSave="0" documentId="13_ncr:1_{F25AC160-E19C-41A3-8BE6-0C6D7426C90A}" xr6:coauthVersionLast="47" xr6:coauthVersionMax="47" xr10:uidLastSave="{00000000-0000-0000-0000-000000000000}"/>
  <bookViews>
    <workbookView xWindow="-108" yWindow="-108" windowWidth="23256" windowHeight="13896" tabRatio="603" activeTab="2" xr2:uid="{00000000-000D-0000-FFFF-FFFF00000000}"/>
  </bookViews>
  <sheets>
    <sheet name="Projects" sheetId="13" r:id="rId1"/>
    <sheet name="DataGroups" sheetId="14" r:id="rId2"/>
    <sheet name="DataSets_Inventory" sheetId="17" r:id="rId3"/>
    <sheet name="DataSets_SteelCycle" sheetId="20" r:id="rId4"/>
    <sheet name="DataSets_YSTAFDB_stocks&amp;flows" sheetId="2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22" i="20" l="1"/>
  <c r="AV22" i="20"/>
  <c r="AU22" i="20"/>
  <c r="AT22" i="20"/>
  <c r="AS22" i="20"/>
  <c r="AR22" i="20"/>
  <c r="AQ22" i="20"/>
  <c r="AP22" i="20"/>
  <c r="AO22" i="20"/>
  <c r="AN22" i="20"/>
  <c r="AM22" i="20"/>
  <c r="AL22" i="20"/>
  <c r="AK22" i="20"/>
  <c r="AJ22" i="20"/>
  <c r="AI22" i="20"/>
  <c r="AH22" i="20"/>
  <c r="AG22" i="20"/>
  <c r="AF22" i="20"/>
  <c r="AE22" i="20"/>
  <c r="AD22" i="20"/>
  <c r="AC22" i="20"/>
  <c r="AB22" i="20"/>
  <c r="AA22" i="20"/>
  <c r="Z22" i="20"/>
  <c r="Y22" i="20"/>
  <c r="X22" i="20"/>
  <c r="W22" i="20"/>
  <c r="V22" i="20"/>
  <c r="U22" i="20"/>
  <c r="T22" i="20"/>
  <c r="S22" i="20"/>
  <c r="R22" i="20"/>
  <c r="Q22" i="20"/>
  <c r="P22" i="20"/>
  <c r="O22" i="20"/>
  <c r="N22" i="20"/>
  <c r="M22" i="20"/>
  <c r="L22" i="20"/>
  <c r="K22" i="20"/>
  <c r="J22" i="20"/>
  <c r="I22" i="20"/>
  <c r="AW21" i="20"/>
  <c r="AV21" i="20"/>
  <c r="AU21" i="20"/>
  <c r="AT21" i="20"/>
  <c r="AS21" i="20"/>
  <c r="AR21" i="20"/>
  <c r="AQ21" i="20"/>
  <c r="AP21" i="20"/>
  <c r="AO21" i="20"/>
  <c r="AN21" i="20"/>
  <c r="AM21" i="20"/>
  <c r="AL21" i="20"/>
  <c r="AK21" i="20"/>
  <c r="AJ21" i="20"/>
  <c r="AI21" i="20"/>
  <c r="AH21" i="20"/>
  <c r="AG21" i="20"/>
  <c r="AF21" i="20"/>
  <c r="AE21" i="20"/>
  <c r="AD21" i="20"/>
  <c r="AC21" i="20"/>
  <c r="AB21" i="20"/>
  <c r="AA21" i="20"/>
  <c r="Z21" i="20"/>
  <c r="Y21" i="20"/>
  <c r="X21" i="20"/>
  <c r="W21" i="20"/>
  <c r="V21" i="20"/>
  <c r="U21" i="20"/>
  <c r="T21" i="20"/>
  <c r="S21" i="20"/>
  <c r="R21" i="20"/>
  <c r="Q21" i="20"/>
  <c r="P21" i="20"/>
  <c r="O21" i="20"/>
  <c r="N21" i="20"/>
  <c r="M21" i="20"/>
  <c r="L21" i="20"/>
  <c r="K21" i="20"/>
  <c r="J21" i="20"/>
  <c r="I21" i="20"/>
</calcChain>
</file>

<file path=xl/sharedStrings.xml><?xml version="1.0" encoding="utf-8"?>
<sst xmlns="http://schemas.openxmlformats.org/spreadsheetml/2006/main" count="22587" uniqueCount="5029">
  <si>
    <t>Description</t>
  </si>
  <si>
    <t>Flow</t>
  </si>
  <si>
    <t>Identification</t>
  </si>
  <si>
    <t>Grouping</t>
  </si>
  <si>
    <t>Population</t>
  </si>
  <si>
    <t>Mass ratio</t>
  </si>
  <si>
    <t>System location: What elements and objects in the system are described?</t>
  </si>
  <si>
    <t>System location: Dataset aspects and semantics. For aspects: [Aspect;symbol;classification]. Mandatory aspects in gray shading.</t>
  </si>
  <si>
    <t>Data access and licence</t>
  </si>
  <si>
    <t>Data submission and conversion info</t>
  </si>
  <si>
    <t>1_F_steel_SankeyFlows_2008_Global</t>
  </si>
  <si>
    <t>none</t>
  </si>
  <si>
    <t>Mass</t>
  </si>
  <si>
    <t>Entire steel industry</t>
  </si>
  <si>
    <t>Ca. 25 processes</t>
  </si>
  <si>
    <t>Semi-finished steel, finished steel, end-use applications of steel</t>
  </si>
  <si>
    <t>6 semi-finished steel groups, 19 finished steel groups, 9 end-use applications of steel</t>
  </si>
  <si>
    <t>Steel</t>
  </si>
  <si>
    <t>One aggregate material group</t>
  </si>
  <si>
    <t>Global</t>
  </si>
  <si>
    <t>One aggregate global region</t>
  </si>
  <si>
    <t>Period</t>
  </si>
  <si>
    <t>Global flow of steel from liquid metal to end-use good. Detailed Sankey diagram of mass flows for 2008.</t>
  </si>
  <si>
    <t>steel, global, Sankey, mass flows, 2008</t>
  </si>
  <si>
    <t>Result of academic MFA work</t>
  </si>
  <si>
    <t>Value(m,p,o,d,r,t)</t>
  </si>
  <si>
    <t>Flow of steel in reinforcing bar flowing from rod and bar mill to market for reinforcing bar in 2008 in global has mass of 173.6 Mt/yr.</t>
  </si>
  <si>
    <t>[Data type] of [aspect4] in [aspect3] flowing from [aspect1] to [aspect2] in [aspect6] in [aspect5] has [layer] of [value].</t>
  </si>
  <si>
    <t>https://doi.org/10.1021/es302433p</t>
  </si>
  <si>
    <t>DOI: 10.1021/es302433p</t>
  </si>
  <si>
    <t>Stefan Pauliuk</t>
  </si>
  <si>
    <t>In-use stock</t>
  </si>
  <si>
    <t>Use phase</t>
  </si>
  <si>
    <t>Four use phase categories</t>
  </si>
  <si>
    <t>All applications of steel</t>
  </si>
  <si>
    <t>Four broad categories</t>
  </si>
  <si>
    <t>1700-2008</t>
  </si>
  <si>
    <t>Annual</t>
  </si>
  <si>
    <t>[Layer] of [data type] of [Aspect2] in [aspect4] in [aspect5] in [aspect1] in [aspect3] is [Value].</t>
  </si>
  <si>
    <t>CC BY</t>
  </si>
  <si>
    <t>Stefan PAULIUK</t>
  </si>
  <si>
    <t>-</t>
  </si>
  <si>
    <t>https://doi.org/10.1016/j.resconrec.2012.11.008</t>
  </si>
  <si>
    <t xml:space="preserve">DOI: 10.1016/j.resconrec.2012.11.008 </t>
  </si>
  <si>
    <t>unknown</t>
  </si>
  <si>
    <t>3_MC_NACEv2_4000Groups</t>
  </si>
  <si>
    <t>All products</t>
  </si>
  <si>
    <t>ca. 4000 commodity groups based on NACEv2</t>
  </si>
  <si>
    <t>Seven metals and four materials</t>
  </si>
  <si>
    <t>Fe, Cu, Al, Cr, Mn, Mo, and V; Steel, Cement, paper, and plastics.</t>
  </si>
  <si>
    <t>2000-2020</t>
  </si>
  <si>
    <t>Metal composition of products in NACEv2 classification, ca. 4000 groups, seven metals and four materials</t>
  </si>
  <si>
    <t>material content;material composition;metal;NACE;NACEv2; DIW working paper 1570;</t>
  </si>
  <si>
    <t>Expert estimates, mass balance, product description</t>
  </si>
  <si>
    <t>Value(m,g)</t>
  </si>
  <si>
    <t>vehicles and semi-trailers &lt;1500 cc' has material content expressed in mass ratio of iron of 0.65.</t>
  </si>
  <si>
    <t>3_LT_IAI_GARC_2011</t>
  </si>
  <si>
    <t>Lifetime</t>
  </si>
  <si>
    <t>12 end use sectors</t>
  </si>
  <si>
    <t>All applications of aluminium</t>
  </si>
  <si>
    <t>[aspect2] has [data type] expressed in [layer] of [aspect1] of [value].</t>
  </si>
  <si>
    <t>CC BY 4.0</t>
  </si>
  <si>
    <t>https://figshare.com/articles/Metal_content_of_commodities/5221306</t>
  </si>
  <si>
    <t>Lifetimes of aluminium-containing products in use phase, by end-use sector of aluminium, global average estimates, from the International Aluminium Institute's GARC model, values from 2011 model version.</t>
  </si>
  <si>
    <t>lifetime; aluminium; use phase; GARC; useful product lifetime;</t>
  </si>
  <si>
    <t>Expert estimates</t>
  </si>
  <si>
    <t>Data used by DOI: 10.1038/nclimate1698</t>
  </si>
  <si>
    <t>Value(g,p;r)</t>
  </si>
  <si>
    <t>Product 'electrical - cable' in the use phase with global scope has a lifetime of 40 years.</t>
  </si>
  <si>
    <t>[aspect1] in [aspect2] in [aspect 3] has [layer] of [data type] of [value].</t>
  </si>
  <si>
    <t>International Aluminium Institute</t>
  </si>
  <si>
    <t>GARC. 2011. Global Aluminium Recycling Model. London: Global Aluminium Recycling Committee, International Aluminium Institute.</t>
  </si>
  <si>
    <t>Numbers manually copied from original source (pdf) to Excel spreadsheet</t>
  </si>
  <si>
    <t>http://www.diw.de/documents/publikationen/73/diw_01.c.532381.de/dp1570.pdf</t>
  </si>
  <si>
    <t>3_LT_AluCycle_LIU_2012</t>
  </si>
  <si>
    <t>Lifetimes of aluminium-containing products in use phase, by end-use sector of aluminium, global average estimates. From Gang Liu's et al. 2012 work on the global aluminium cycle.</t>
  </si>
  <si>
    <t>lifetime; aluminium; use phase; useful product lifetime;</t>
  </si>
  <si>
    <t>Assumption based on compilation from scientific literature and expert estimates</t>
  </si>
  <si>
    <t>Value(g,p;r,S)</t>
  </si>
  <si>
    <t>Product 'electrical - cable' in the use phase with global scope in scenario 'low' has lifetime of 40 years.</t>
  </si>
  <si>
    <t>[aspect1] in [aspect2] in [aspect 3] in [aspect4] has [layer] of [data type] of [value].</t>
  </si>
  <si>
    <t>Gang LIU</t>
  </si>
  <si>
    <t>DOI: 10.1038/nclimate1698</t>
  </si>
  <si>
    <t>3_LT_AluCycle_LIU_2013</t>
  </si>
  <si>
    <t>7 end use sectors</t>
  </si>
  <si>
    <t>5 world regions</t>
  </si>
  <si>
    <t>1900-2010</t>
  </si>
  <si>
    <t>Lifetimes of aluminium-containing products in use phase, by end-use sector of aluminium. Region-specific estimates. From Gang Liu's et al. 2013 work on the global aluminium cycle.</t>
  </si>
  <si>
    <t>Value(g,p;r,c)</t>
  </si>
  <si>
    <t>Product 'electrical - cable' of age-cohorts 1900-2010 in the use phase in region 'Europe' has lifetime of 40 years.</t>
  </si>
  <si>
    <t>[aspect1] of [aspect4] in [aspect2] in [aspect 3] has [layer] of [data type] of [value].</t>
  </si>
  <si>
    <t>DOI: 10.1021/es305108p</t>
  </si>
  <si>
    <t>3_LT_SteelCycle_PAULIUK_2013</t>
  </si>
  <si>
    <t>4_PY_WorldSteel_EoL_RR_SteelScrap</t>
  </si>
  <si>
    <t>Yield coefficient</t>
  </si>
  <si>
    <t>4 end use sectors</t>
  </si>
  <si>
    <t>Waste management</t>
  </si>
  <si>
    <t>One aggregated process</t>
  </si>
  <si>
    <t>One aggregate product group</t>
  </si>
  <si>
    <t>10 world regions</t>
  </si>
  <si>
    <t>2007, 2050</t>
  </si>
  <si>
    <t>Lifetimes of steel-containing products in use phase, by end-use sector of steel. Region-specific estimates. From Stefan Pauliuk's et al. 2013 work on the global steel cycle.</t>
  </si>
  <si>
    <t>lifetime; steel; use phase; useful product lifetime;</t>
  </si>
  <si>
    <t>Mass ratio of steel recovered as steel scrap in waste management industry over steel going into waste management in form of End-of-life products. 2007 estimate and 2050 target.</t>
  </si>
  <si>
    <t>steel, steel scrap, waste management, recycling, recovery</t>
  </si>
  <si>
    <t>Aggregated data or estimates from industry association</t>
  </si>
  <si>
    <t>Value(p,m,t,g1,g2)</t>
  </si>
  <si>
    <t>The mass ratio of yield coefficient of steel in steel scrap recovered from steel in EoL construction in waste management industries in 2007 is 0.85.</t>
  </si>
  <si>
    <t>[Layer] of [data type] of [Aspect 2] in [Aspect 5] recovered from [Aspect 2] in [Aspect 4] in [Aspect 1] in [Aspect 3] is [Value].</t>
  </si>
  <si>
    <t>WorldSteel</t>
  </si>
  <si>
    <t>DOI: 10.1021/es303149z</t>
  </si>
  <si>
    <t>https://www.steel.org/~/media/Files/SMDI/Sustainability/3rs.pdf?la=en</t>
  </si>
  <si>
    <t>Numbers manually copied from original source (xls) to Excel spreadsheet</t>
  </si>
  <si>
    <t>3_LT_MetalDemand_DEETMAN_2018</t>
  </si>
  <si>
    <t>World Steel Association. 2010. The three Rs of sustainable steel. Brussels/Beijing: WorldSteel Association.</t>
  </si>
  <si>
    <t>Parameters of pdf of product discard</t>
  </si>
  <si>
    <t>17 end use sectors</t>
  </si>
  <si>
    <t>Passenger vehicles and appliances</t>
  </si>
  <si>
    <t>4_PY_IAI_EoL_RR_AluScrap</t>
  </si>
  <si>
    <t>1970-2050</t>
  </si>
  <si>
    <t>Lifetimes of products in use phase, by product categories, global average estimates. From Sebastiaan Deetman's et al. work on metal demand in different SSP scenarios.</t>
  </si>
  <si>
    <t>lifetime; vehicle; appliance; use phase;</t>
  </si>
  <si>
    <t>Aluminium</t>
  </si>
  <si>
    <t>aluminium, aluminium scrap, waste management, recycling, recovery</t>
  </si>
  <si>
    <t>[aspect1] of [aspect4] in [aspect2] in [aspect 3] has [Layer] of [data type] of [value].</t>
  </si>
  <si>
    <t>Sebastiaan DEETMAN</t>
  </si>
  <si>
    <t>DOI: 10.1021/acs.est.7b05549</t>
  </si>
  <si>
    <t>3_LT_MaTraceGlobal_Pauliuk_2017</t>
  </si>
  <si>
    <t>10 end use sectors</t>
  </si>
  <si>
    <t>25 world regions</t>
  </si>
  <si>
    <t>2015-2100</t>
  </si>
  <si>
    <t>Lifetimes of steel-containing products in use phase, by end-use sector of steel. Region-specific estimates. From Stefan Pauliuk's et al. 2017 work on the global distribution of consumed steel over the 21st century using a multiregional version of the MaTrace model.</t>
  </si>
  <si>
    <t>lifetime; steel; use phase; useful product lifetime; MaTrace</t>
  </si>
  <si>
    <t>Product 'Radio, television, ...' in the use phase in Brazil has a lifetime of 40 years.</t>
  </si>
  <si>
    <t>Process capacity</t>
  </si>
  <si>
    <t>Power generation capacity</t>
  </si>
  <si>
    <t>Power sector</t>
  </si>
  <si>
    <t>DOI: 10.1016/j.resconrec.2016.09.029</t>
  </si>
  <si>
    <t>Germany</t>
  </si>
  <si>
    <t>One region</t>
  </si>
  <si>
    <t>power; installed capacity; Germany; generation capacity;</t>
  </si>
  <si>
    <t>Official data from government institution</t>
  </si>
  <si>
    <t>3_MC_MetalDemand_DEETMAN_2018</t>
  </si>
  <si>
    <t>42 end use sectors</t>
  </si>
  <si>
    <t>Passenger vehicles, appliances, and electricity conversion technologies</t>
  </si>
  <si>
    <t>Five metals</t>
  </si>
  <si>
    <t>Cu, Co, Nd, Ta, Li</t>
  </si>
  <si>
    <t>Metal composition of products in use phase, by product categories, global average estimates. From Sebastiaan Deetman's et al. work on metal demand in different SSP scenarios.</t>
  </si>
  <si>
    <t xml:space="preserve">metal content; vehicle; appliance; use phase; electricity generation; power generation; </t>
  </si>
  <si>
    <t>Television has material content expressed in mass ratio of copper of 500 to 1260 g/unit for scenario 'low'.</t>
  </si>
  <si>
    <t>3_MC_SteelDemand_HU_2010</t>
  </si>
  <si>
    <t>Mass per area</t>
  </si>
  <si>
    <t>1 end use sector</t>
  </si>
  <si>
    <t>Residential buildings</t>
  </si>
  <si>
    <t>Rural residential buildings</t>
  </si>
  <si>
    <t>steel</t>
  </si>
  <si>
    <t>China</t>
  </si>
  <si>
    <t>Rural China</t>
  </si>
  <si>
    <t>around 2000</t>
  </si>
  <si>
    <t>Steel content of rural residential buildings in China, estimated by Mingming Hu et. al for their analysis "Iron and steel in Chinese residential buildings: A dynamic analysis"</t>
  </si>
  <si>
    <t>steel; steel content; residential buildings; rural; china</t>
  </si>
  <si>
    <t>Value(m,g,T,r,c)</t>
  </si>
  <si>
    <t>Urban Residential buildings of type 'brick concrete' in China in age-cohort 2000 have a steel content of 23.4 kg/m2.</t>
  </si>
  <si>
    <t>Mingming HU</t>
  </si>
  <si>
    <t>DOI: 10.1016/j.resconrec.2009.10.016</t>
  </si>
  <si>
    <t>Urban residential buildings</t>
  </si>
  <si>
    <t>Urban China</t>
  </si>
  <si>
    <t>Steel content of urban residential buildings in China, by government institution report "Development Research Center of the State Council of China (DRCSCC)".</t>
  </si>
  <si>
    <t>steel; steel content; residential buildings; urban; rural; china</t>
  </si>
  <si>
    <t>Official data from government institution; Result of academic MFA work</t>
  </si>
  <si>
    <t>Data used by DOI: 10.1016/j.resconrec.2009.10.016</t>
  </si>
  <si>
    <t>DRCSCC</t>
  </si>
  <si>
    <t>Development Research Center of the State Council of China (DRCSCC). Forecast report of the steel consumption of China 2005–2010; 2005, Beijing, China (in Chinese).</t>
  </si>
  <si>
    <t>3_MC_ConstructionImpact_Liu_2006</t>
  </si>
  <si>
    <t>Beijing</t>
  </si>
  <si>
    <t>Steel content of urban residential buildings in Beijing, compiled by Liu et al. for their analysis "Environmental impact of residential building construction in Beijing."</t>
  </si>
  <si>
    <t>steel; steel content; residential buildings; urban; china</t>
  </si>
  <si>
    <t>T. LIU</t>
  </si>
  <si>
    <t>Liu T, Hu D. Environmental impact of residential building construction in Beijing. Journal of Graduate School of the Chinese Academy of Sciences 2006;23(2):231–41.</t>
  </si>
  <si>
    <t>Process extension</t>
  </si>
  <si>
    <t>Unit</t>
  </si>
  <si>
    <t>Column name</t>
  </si>
  <si>
    <t>Not Null</t>
  </si>
  <si>
    <t>datasets</t>
  </si>
  <si>
    <t>datagroups</t>
  </si>
  <si>
    <t>Reserve</t>
  </si>
  <si>
    <t>projects</t>
  </si>
  <si>
    <t>Stock</t>
  </si>
  <si>
    <t>Indonesia</t>
  </si>
  <si>
    <t>USA</t>
  </si>
  <si>
    <t>Share</t>
  </si>
  <si>
    <t>Monetary</t>
  </si>
  <si>
    <t>Intensity of use of products</t>
  </si>
  <si>
    <t>Example1</t>
  </si>
  <si>
    <t>Example2</t>
  </si>
  <si>
    <t>Example3</t>
  </si>
  <si>
    <t>Example4</t>
  </si>
  <si>
    <t>steel; vehicles; buildings; stocks; decoupling; climate change mitigation</t>
  </si>
  <si>
    <t>stocks and flows of steel</t>
  </si>
  <si>
    <t>mass</t>
  </si>
  <si>
    <t>all steel cycle processes except for mining</t>
  </si>
  <si>
    <t>ca. 30 processes and markets</t>
  </si>
  <si>
    <t>146 countries and regions</t>
  </si>
  <si>
    <t>1900-2008</t>
  </si>
  <si>
    <t>Stocks and flows of steel, by 4 product categories and 146 regions, 1900-2008</t>
  </si>
  <si>
    <t>steel; cycle; stocks; flows; use phase; iron</t>
  </si>
  <si>
    <t>Publicly available report or research article</t>
  </si>
  <si>
    <t>Proprietary report or research article</t>
  </si>
  <si>
    <t>DOI: 10.1016/j.gloenvcha.2013.11.006</t>
  </si>
  <si>
    <t>Manufacturing</t>
  </si>
  <si>
    <t>SteelCycle1</t>
  </si>
  <si>
    <t>SteelCycle2</t>
  </si>
  <si>
    <t>SteelCycle3</t>
  </si>
  <si>
    <t>SteelCycle4</t>
  </si>
  <si>
    <t>SteelCycle5</t>
  </si>
  <si>
    <t>SteelCycle6</t>
  </si>
  <si>
    <t>SteelCycle7</t>
  </si>
  <si>
    <t>SteelCycle8</t>
  </si>
  <si>
    <t>2_IUS_steel_200R</t>
  </si>
  <si>
    <t>ca. 140 regions</t>
  </si>
  <si>
    <t>In-use stock of iron in steel, by 4 product categories and ca. 140 regions, 1900-2008</t>
  </si>
  <si>
    <t>iron, in-use stock, use phase</t>
  </si>
  <si>
    <t>The mass of in-use stock of iron in vehicles in China in the use phase in 200x is 3456.78 kt.</t>
  </si>
  <si>
    <t>2_S_steel_200R_Slag</t>
  </si>
  <si>
    <t>2_S_steel_200R_Obsolete</t>
  </si>
  <si>
    <t>Slag piles</t>
  </si>
  <si>
    <t>Obsolete stocks</t>
  </si>
  <si>
    <t>Landfills</t>
  </si>
  <si>
    <t>SteelCycle9</t>
  </si>
  <si>
    <t>iron</t>
  </si>
  <si>
    <t>In-use stock of iron in steel, all product categories and ca. 140 regions, 1900-2008</t>
  </si>
  <si>
    <t>iron in slag piles and ca. 140 regions, 1900-2008</t>
  </si>
  <si>
    <t>iron in obsolete stocks and ca. 140 regions, 1900-2008</t>
  </si>
  <si>
    <t>iron in landfills and ca. 140 regions, 1900-2008</t>
  </si>
  <si>
    <t>iron, slag, slap piles</t>
  </si>
  <si>
    <t>iron, obsolete stocks, hibernating stocks</t>
  </si>
  <si>
    <t>iron, landfills</t>
  </si>
  <si>
    <t>The mass of iron in slag piles in China in 200x is 3456.78 kt.</t>
  </si>
  <si>
    <t>The mass of iron in obsolete stocks in China in 200x is 3456.78 kt.</t>
  </si>
  <si>
    <t>The mass of iron in landfills in China in 200x is 3456.78 kt.</t>
  </si>
  <si>
    <t>[Layer] of [data type] of [Aspect2] in [aspect1] in [aspect1] in [aspect3] is [Value].</t>
  </si>
  <si>
    <t>DataSet1</t>
  </si>
  <si>
    <t>DataSet2</t>
  </si>
  <si>
    <t>DataSet3</t>
  </si>
  <si>
    <t>DataSet4</t>
  </si>
  <si>
    <t>DataSet5</t>
  </si>
  <si>
    <t>DataSet6</t>
  </si>
  <si>
    <t>DataSet7</t>
  </si>
  <si>
    <t>DataSet8</t>
  </si>
  <si>
    <t>DataSet9</t>
  </si>
  <si>
    <t>DataSet10</t>
  </si>
  <si>
    <t>DataSet11</t>
  </si>
  <si>
    <t>DataSet12</t>
  </si>
  <si>
    <t>DataSet13</t>
  </si>
  <si>
    <t>DataSet14</t>
  </si>
  <si>
    <t>DataSet15</t>
  </si>
  <si>
    <t>DataSet16</t>
  </si>
  <si>
    <t>DataSet17</t>
  </si>
  <si>
    <t>DataSet18</t>
  </si>
  <si>
    <t>2_P_HistoricPopulation_SteelCycle</t>
  </si>
  <si>
    <t>ca. 200 countries</t>
  </si>
  <si>
    <t>Historic population figures of major and selected countries, used for determining per capita steel stocks</t>
  </si>
  <si>
    <t>population, historic,</t>
  </si>
  <si>
    <t>Compiled from official and semi-official sources</t>
  </si>
  <si>
    <t>Value(r,t)</t>
  </si>
  <si>
    <t>The population of region in year t was Value.</t>
  </si>
  <si>
    <t>[Layer] of [data type] of [Aspect 1] in [Aspect 2] was [Value].</t>
  </si>
  <si>
    <t>Numbers converted from Excel to database via Python script</t>
  </si>
  <si>
    <t>10.1038/nclimate1698</t>
  </si>
  <si>
    <t>Status</t>
  </si>
  <si>
    <t>DataSet19</t>
  </si>
  <si>
    <t>4_PY_FabricationYield_Cullen2012</t>
  </si>
  <si>
    <t>1 sector</t>
  </si>
  <si>
    <t>All major steel containing products</t>
  </si>
  <si>
    <t>10 product groups</t>
  </si>
  <si>
    <t>around 2010</t>
  </si>
  <si>
    <t>Mass ratio of steel recovered as fabrication steel scrap in manufacturing industry for product X over steel going into that sector.</t>
  </si>
  <si>
    <t>steel, steel scrap, recovery, fabrication scrap, new scrap, prompt scrap, manufacturing scrap, yield loss, fabrication yield,</t>
  </si>
  <si>
    <t>Value(m1,m2,g,p,t,r)</t>
  </si>
  <si>
    <t>The mass ratio of yield coefficient for steel into steel scrap in producting good x in manufacturing sector in 2007 in the UK is 0.85.</t>
  </si>
  <si>
    <t>[Layer] of [data type] of [Aspect 1] into [Aspect 2] for producing [Aspect 3] in [Aspect 4] in [Aspect 5] in [Aspect 6] is [Value].</t>
  </si>
  <si>
    <t>4_PY_FabricationYield_Hatayama2010</t>
  </si>
  <si>
    <t>4_PY_FabricationYield_Dahlstroem2004</t>
  </si>
  <si>
    <t>8 product groups</t>
  </si>
  <si>
    <t>around 2005</t>
  </si>
  <si>
    <t>DOI 10.1021/es100044n</t>
  </si>
  <si>
    <t>Hiroki HATAYAMA</t>
  </si>
  <si>
    <t>Jonathan M. CULLEN</t>
  </si>
  <si>
    <t>http://www.psi.org.uk/research/project.asp?project_id=92/</t>
  </si>
  <si>
    <t>https://doi.org/10.1021/es100044n</t>
  </si>
  <si>
    <t>K. DAHLSTRÖM</t>
  </si>
  <si>
    <t>Dahlström, K., Ekins, P., He, J., Davis, J. and Clift R. (2004) Iron, steel and aluminium in the UK: material flows and their economic dimensions: final project report, March 2004. Joint Working Paper, Centre for Environmental Strategy, University of Surrey, Guildford/Policy Studies Institute, London, http://www.psi.org.uk/research/project.asp?project_id=92/</t>
  </si>
  <si>
    <t>DataSet20</t>
  </si>
  <si>
    <t>4_PY_FabricationYield_Alu_Liu_2012</t>
  </si>
  <si>
    <t>The mass ratio of yield coefficient for Al into Al scrap in producting good x in manufacturing sector in 2007 at the global level is 0.85.</t>
  </si>
  <si>
    <t>Mass ratio of Al recovered as fabrication Al scrap in manufacturing industry for product X over steel going into that sector.  Global average estimates, from the International Aluminium Institute's GARC model, values from 2011 model version.</t>
  </si>
  <si>
    <t>Aluminium, aluminum, aluminium scrap, Al, recovery, fabrication scrap, new scrap, prompt scrap, manufacturing scrap, yield loss, fabrication yield, GARC, IAI</t>
  </si>
  <si>
    <t>ca. 2010</t>
  </si>
  <si>
    <t>DataSet21</t>
  </si>
  <si>
    <t>3_SHA_FabricationYield_CollectionRate_Alu_Liu_2012</t>
  </si>
  <si>
    <t>Value(m1,m2,p,t,r)</t>
  </si>
  <si>
    <t>The mass ratio of share for recovered Al scrap in total Al scrap for manufacturing sector of good x in 2007 at the global level is 0.85.</t>
  </si>
  <si>
    <t>[Layer] of [data type] for [Aspect 1] in [Aspect 2] for [Aspect 3] in [Aspect 4] in [Aspect 5] is [Value].</t>
  </si>
  <si>
    <t>DataSet22</t>
  </si>
  <si>
    <t>4_PE_EnergyIntensity_AluminiumCycle_Liu_2012</t>
  </si>
  <si>
    <t>Specific energy consumption, in MJ/ton of main output, by energy carrier, global average, ca. 2000-2010.</t>
  </si>
  <si>
    <t>Energy per mass</t>
  </si>
  <si>
    <t>All major steps of aluminium production and scrap remelting</t>
  </si>
  <si>
    <t>Aluminium industries</t>
  </si>
  <si>
    <t>nine different energy carriers</t>
  </si>
  <si>
    <t>Ca. 2000-2010</t>
  </si>
  <si>
    <t>Single value</t>
  </si>
  <si>
    <t>Aluminium, aluminum, Al, cycle, specific energy consumption, process, scrap, remelting, refining</t>
  </si>
  <si>
    <t>Estimates from industry association supplemented with literature values</t>
  </si>
  <si>
    <t>Value(n,p,t,r)</t>
  </si>
  <si>
    <t>The energy per mass of output of process extension for energy carrier x in process y in period 2000-2010 in region Global is 743 MJ/ton.</t>
  </si>
  <si>
    <t>[Layer] of [data type] for [Aspect 1] in [Aspect 2] in [Aspect 3] in [Aspect 4] is [Value].</t>
  </si>
  <si>
    <t>https://doi.org/10.1038/nclimate1698</t>
  </si>
  <si>
    <t>Process data, stocks, and flows of the global aluminium cycle</t>
  </si>
  <si>
    <t>mass, energy</t>
  </si>
  <si>
    <t>all major industries dealing with aluminium, use phase</t>
  </si>
  <si>
    <t>ca. 15 processes</t>
  </si>
  <si>
    <t>All applications of aluminium, raw materials, scrap</t>
  </si>
  <si>
    <t>12 final product groups, raw material, scrap</t>
  </si>
  <si>
    <t>Aluminium, bauxite, alumina, scrap</t>
  </si>
  <si>
    <t>1950-2100</t>
  </si>
  <si>
    <t>Published parameters related to the scenario analysis of the global aluminium cycle, Gang LIU, 2012</t>
  </si>
  <si>
    <t>Aluminium, bauxite, alumina, scrap, aluminum, metal cycle</t>
  </si>
  <si>
    <t>DataSet23</t>
  </si>
  <si>
    <t>Luca Ciacci</t>
  </si>
  <si>
    <t>Mass ratio of recovered fabrication Al scrap in manufacturing industry over total fabrication scrap, for product X.  Global average estimates, from the International Aluminium Institute's GARC model, values from 2011 model version.</t>
  </si>
  <si>
    <t>Split ratios (%) or share of final consumption of metal going into a certain application, e.g., buildings and construction ('sector split').</t>
  </si>
  <si>
    <t>DOI: 10.1021/es505515z</t>
  </si>
  <si>
    <t>Assumption based on compilation from scientific literature and expert estimates, mass balance</t>
  </si>
  <si>
    <t>Value(e,g,p,r,t)</t>
  </si>
  <si>
    <t>The mass ratio of share of aluminium final consumption going into electrical machinery in use phase at global level in ca. 2010 is 23%.</t>
  </si>
  <si>
    <t>[Layer] of [data type] of [Aspect 1] final consumption going into [Aspect 2] in [Aspect 3] at [Aspect 4] in [Aspect 5] is [Value].</t>
  </si>
  <si>
    <t>56 metals</t>
  </si>
  <si>
    <t>Sector split, end-use shares, principle use, use fraction, aluminium, iron, steel, nickel, zinc, copper, lead, manganese</t>
  </si>
  <si>
    <t>major end use sectors</t>
  </si>
  <si>
    <t>ca. 4-12 sectors per metal</t>
  </si>
  <si>
    <t>major metals and metalloids</t>
  </si>
  <si>
    <t>Data submission, review, and conversion info</t>
  </si>
  <si>
    <t>annual</t>
  </si>
  <si>
    <t>DataSet24</t>
  </si>
  <si>
    <t>3_MC_Buildings_Indonesia_Surahman_2014</t>
  </si>
  <si>
    <t>Three buildings types in two Indonesian cities</t>
  </si>
  <si>
    <t>major construction materials</t>
  </si>
  <si>
    <t>15 materials</t>
  </si>
  <si>
    <t>Jakarta and Bandung</t>
  </si>
  <si>
    <t>Material content of urban residential buildings in Indonesia, compiled by U. Surahman for the dissertation " Life Cycle Assessment of Energy and CO2 Emissions for Residential Buildings in Major Cities of Indonesia"</t>
  </si>
  <si>
    <t>material; material content; residential buildings; urban; Indonesia, Jakarta, Bandung</t>
  </si>
  <si>
    <t>Rio Aryapratama</t>
  </si>
  <si>
    <t>http://ir.lib.hiroshima-u.ac.jp/ja/00036445</t>
  </si>
  <si>
    <t>Surahman, U., 2014. Life Cycle Assessment of Energy and CO2 Emissions for Residential Buildings in Major Cities of Indonesia (Doctoral dissertation, Hiroshima University).</t>
  </si>
  <si>
    <t>U. SURAHMAN</t>
  </si>
  <si>
    <t>Urban Residential buildings, simple, in Jakarta in Indonesia in age-cohort ca. 2010 have a steel content of 16.6 kg/m2.</t>
  </si>
  <si>
    <t>[Layer] of [data type] of [Aspect 1] in [Aspect 2] of [Aspect 3] in [Aspect 4] in [Aspect 5] is [Value].</t>
  </si>
  <si>
    <t>DataSet25</t>
  </si>
  <si>
    <t>6_PCS_Buildings_Indonesia_Surahman_2014</t>
  </si>
  <si>
    <t>Per capita stock</t>
  </si>
  <si>
    <t>Product per capita</t>
  </si>
  <si>
    <t>Per capita floor space of urban residential buildings in Indonesia, compiled by U. Surahman for the dissertation " Life Cycle Assessment of Energy and CO2 Emissions for Residential Buildings in Major Cities of Indonesia"</t>
  </si>
  <si>
    <t>floor space; residential buildings; urban; Indonesia, Jakarta, Bandung</t>
  </si>
  <si>
    <t>Per capita floor area of urban residential buildings, simple, in Jakarta in Indonesia in year ca. 2010 was 10.3 m2/capita.</t>
  </si>
  <si>
    <t>[Layer] of [data type] of [Aspect 1] in [Aspect 2] in [Aspect 3] in [Aspect 4] is [Value].</t>
  </si>
  <si>
    <t>DataSet26</t>
  </si>
  <si>
    <t>DataSet27</t>
  </si>
  <si>
    <t>6_PCS_Buildings_Indonesia_1985</t>
  </si>
  <si>
    <t>6_PCS_Buildings_Indonesia_BPS_2008_2015</t>
  </si>
  <si>
    <t>Country average</t>
  </si>
  <si>
    <t>2008-2015</t>
  </si>
  <si>
    <t>Two building types</t>
  </si>
  <si>
    <t>Per capita floor space of residential buildings in Indonesia, from literature</t>
  </si>
  <si>
    <t>Per capita floor space of urban and rural residential buildings in Indonesia, compiled by BPS-Statistics Indonesia</t>
  </si>
  <si>
    <t>floor space; residential buildings; urban; Indonesia, 1985</t>
  </si>
  <si>
    <t>floor space; residential buildings; urban; Indonesia</t>
  </si>
  <si>
    <t>Value(g,t,r)</t>
  </si>
  <si>
    <t>Value(g,t,r,H)</t>
  </si>
  <si>
    <t>Per capita floor area of urban residential buildings, simple, in a 4 person household in Indonesia in year 1985 was 11.5 m2/capita.</t>
  </si>
  <si>
    <t>[Layer] of [data type] of [Aspect 1] in [Aspect 2] in [Aspect 3] for [Aspect 4] is [Value].</t>
  </si>
  <si>
    <t>[Layer] of [data type] of [Aspect 1] in [Aspect 2] in [Aspect 3] is [Value].</t>
  </si>
  <si>
    <t>D.A. AHLBURG</t>
  </si>
  <si>
    <t>BPS-Statistics</t>
  </si>
  <si>
    <t>https://www.bps.go.id/publication.html</t>
  </si>
  <si>
    <t xml:space="preserve">BPS-Statistics Indonesia. Indikator Kesejahteraan Rakyat 2009-2016. Jakarta: Badan Pusat Statistik (BPS). </t>
  </si>
  <si>
    <t>Ahlburg, D.A., Kelley, A.C. and Mason, K.O. eds., 1996. The impact of population growth on well-being in developing countries. Springer Science &amp; Business Media.</t>
  </si>
  <si>
    <t>DataSet28</t>
  </si>
  <si>
    <t>Maria Cecilia P. MOURA</t>
  </si>
  <si>
    <t>6_PCS_Buildings_USA_MOURA_2015</t>
  </si>
  <si>
    <t>One general building group</t>
  </si>
  <si>
    <t>1949-2010</t>
  </si>
  <si>
    <t>Per capita floor space of urban and rural residential buildings in the USA, compiled by MOURA et al. (2015)</t>
  </si>
  <si>
    <t>floor space; residential buildings; urban; USA</t>
  </si>
  <si>
    <t>Per capita floor area of urban residential buildings, simple, in Indonesia in year ca. 2010 was 10.3 m2/capita.</t>
  </si>
  <si>
    <t>Per capita floor area of urban residential buildings, simple, in USA in year ca. 2010 was 70 m2/capita.</t>
  </si>
  <si>
    <t>3_SHA_EndUseShares_56Metals_Ciacci_2015</t>
  </si>
  <si>
    <t>DataSet29</t>
  </si>
  <si>
    <t>6_PCS_Vehicles_12Countries_Dhaniati_2012</t>
  </si>
  <si>
    <t>Passenger vehicles</t>
  </si>
  <si>
    <t>One general passenger vehicle group</t>
  </si>
  <si>
    <t>12 countries</t>
  </si>
  <si>
    <t>Per capita ownership of passenger vehicles, in 12 different countries, compiled by DHANIATI et al. (2012)</t>
  </si>
  <si>
    <t>passenger vehicles, vehicle ownership, traffic, motorisation</t>
  </si>
  <si>
    <t>Value(g,p,t,r)</t>
  </si>
  <si>
    <t>Per capita passenger vehicle ownership, use phase, in USA in year  2010 was 700/1000.</t>
  </si>
  <si>
    <t>[Layer] of [data type] of [Aspect 1] in [Aspect 2] in [Aspect 3] in [Aspect4] is [Value].</t>
  </si>
  <si>
    <t>Mahde A DHANIATI</t>
  </si>
  <si>
    <t>DOI: 10.1021/es201799k</t>
  </si>
  <si>
    <t>DOI: 10.1371/journal.pone.0134135</t>
  </si>
  <si>
    <t>DataSet30</t>
  </si>
  <si>
    <t>Service per unit</t>
  </si>
  <si>
    <t>Service</t>
  </si>
  <si>
    <t>3_IUP_Vehicles_9Countries_Dhaniati_2012</t>
  </si>
  <si>
    <t>9 countries</t>
  </si>
  <si>
    <t>1936-2008</t>
  </si>
  <si>
    <t>Annual kilometrage of passenger vehicles in the use phase, in 9 different countries, compiled by DHANIATI et al. (2012)</t>
  </si>
  <si>
    <t>passenger vehicles, vehicle ownership, traffic, motorisation, kilometrage, intensity of use</t>
  </si>
  <si>
    <t>Value(V,g,p,t,r)</t>
  </si>
  <si>
    <t>Service intensity of passenger vehicles, use phase, in USA in year  2010 was 17000 km/yr.</t>
  </si>
  <si>
    <t>[Layer] measuring [data type] for [Aspect 1] of [Aspect 2] in [Aspect 3] in [Aspect4] in [Aspect5] is [Value].</t>
  </si>
  <si>
    <t>project_id</t>
  </si>
  <si>
    <t>project_name</t>
  </si>
  <si>
    <t>data_categories</t>
  </si>
  <si>
    <t>data_types</t>
  </si>
  <si>
    <t>data_layers</t>
  </si>
  <si>
    <t>process_scope</t>
  </si>
  <si>
    <t>process_resolution</t>
  </si>
  <si>
    <t>product_scope</t>
  </si>
  <si>
    <t>product_resolution</t>
  </si>
  <si>
    <t>material_scope</t>
  </si>
  <si>
    <t>material_resolution</t>
  </si>
  <si>
    <t>regional_scope</t>
  </si>
  <si>
    <t>regional_resolution</t>
  </si>
  <si>
    <t>temporal_scope</t>
  </si>
  <si>
    <t>temporal_resolution</t>
  </si>
  <si>
    <t>description</t>
  </si>
  <si>
    <t>keywords</t>
  </si>
  <si>
    <t>comment</t>
  </si>
  <si>
    <t>type_of_source</t>
  </si>
  <si>
    <t>project_license</t>
  </si>
  <si>
    <t>main_author</t>
  </si>
  <si>
    <t>TRUE</t>
  </si>
  <si>
    <t>project_link</t>
  </si>
  <si>
    <t>project_report</t>
  </si>
  <si>
    <t>suggested_citation</t>
  </si>
  <si>
    <t>submission_date</t>
  </si>
  <si>
    <t>submitting_user</t>
  </si>
  <si>
    <t>reserve1</t>
  </si>
  <si>
    <t>reserve2</t>
  </si>
  <si>
    <t>reserve3</t>
  </si>
  <si>
    <t>datagroup_id</t>
  </si>
  <si>
    <t>datagroup_name</t>
  </si>
  <si>
    <t>datagroup_version</t>
  </si>
  <si>
    <t>system_definition_picture</t>
  </si>
  <si>
    <t>dataset_id</t>
  </si>
  <si>
    <t>dataset_name</t>
  </si>
  <si>
    <t>dataset_version</t>
  </si>
  <si>
    <t>data_category</t>
  </si>
  <si>
    <t>data_type</t>
  </si>
  <si>
    <t>data_layer</t>
  </si>
  <si>
    <t>data_provenance</t>
  </si>
  <si>
    <t>dataset_size</t>
  </si>
  <si>
    <t>aspect_1</t>
  </si>
  <si>
    <t>aspect_1_classification</t>
  </si>
  <si>
    <t>aspect_2</t>
  </si>
  <si>
    <t>aspect_2_classification</t>
  </si>
  <si>
    <t>aspect_3</t>
  </si>
  <si>
    <t>aspect_3_classification</t>
  </si>
  <si>
    <t>aspect_4</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</si>
  <si>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</si>
  <si>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</si>
  <si>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</si>
  <si>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</si>
  <si>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</si>
  <si>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</si>
  <si>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</si>
  <si>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</si>
  <si>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</si>
  <si>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</si>
  <si>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</si>
  <si>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</si>
  <si>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</si>
  <si>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</si>
  <si>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</si>
  <si>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</si>
  <si>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</si>
  <si>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</si>
  <si>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</si>
  <si>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</si>
  <si>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dataset_link</t>
  </si>
  <si>
    <t>dataset_format</t>
  </si>
  <si>
    <t>visible</t>
  </si>
  <si>
    <t>access_date</t>
  </si>
  <si>
    <t>dataset_conversion_info</t>
  </si>
  <si>
    <t>review_date</t>
  </si>
  <si>
    <t>review_user</t>
  </si>
  <si>
    <t>review_comment</t>
  </si>
  <si>
    <t>reserve4</t>
  </si>
  <si>
    <t>reserve5</t>
  </si>
  <si>
    <t>auto</t>
  </si>
  <si>
    <t>DataSet31</t>
  </si>
  <si>
    <t>DataSet32</t>
  </si>
  <si>
    <t>DataSet33</t>
  </si>
  <si>
    <t>DataSet34</t>
  </si>
  <si>
    <t>DataSet35</t>
  </si>
  <si>
    <t>3_MC_Buildings_Ortlepp_2016</t>
  </si>
  <si>
    <t>Multi-family houses</t>
  </si>
  <si>
    <t>10 materials</t>
  </si>
  <si>
    <t>pre 1918 to 2010</t>
  </si>
  <si>
    <t>Five vintage groups</t>
  </si>
  <si>
    <t>Material content of residential buildings in Germany, compiled by Ortlepp et al. (2016)</t>
  </si>
  <si>
    <t>material; material content; residential buildings; Germany, multi family houses,</t>
  </si>
  <si>
    <t>[Layer] measuring [data type] of [Aspect 1] in [Aspect 2] of [Aspect 3] of [Aspect4] in [Aspect5] is [Value].</t>
  </si>
  <si>
    <t>Regine ORTLEPP</t>
  </si>
  <si>
    <t>Moritz Bisch</t>
  </si>
  <si>
    <t>DOI: 10.1080/09613218.2016.1264121</t>
  </si>
  <si>
    <t>3_MC_Buildings_Dodoo_2011</t>
  </si>
  <si>
    <t>3_MC_Buildings_Gustavsson_2011</t>
  </si>
  <si>
    <t>3_MC_Buildings_Gustavsson_2006</t>
  </si>
  <si>
    <t>3_MC_Buildings_Bergsdal_2007</t>
  </si>
  <si>
    <t>Mass per volume</t>
  </si>
  <si>
    <t>2 types of residential buildings</t>
  </si>
  <si>
    <t>wood and concrete</t>
  </si>
  <si>
    <t>17 materials</t>
  </si>
  <si>
    <t>16 materials</t>
  </si>
  <si>
    <t>19 materials</t>
  </si>
  <si>
    <t>Sweden</t>
  </si>
  <si>
    <t>Norway</t>
  </si>
  <si>
    <t>Sweden and Finland</t>
  </si>
  <si>
    <t>pre 1901 to 2001</t>
  </si>
  <si>
    <t>1991-2010</t>
  </si>
  <si>
    <t>1991-2010 (Sweden) and 1997 (Finland)</t>
  </si>
  <si>
    <t>One vintage</t>
  </si>
  <si>
    <t>One vintage group</t>
  </si>
  <si>
    <t>Nine vintage groups</t>
  </si>
  <si>
    <t>Material content of residential buildings in Sweden, compiled by Dodoo et al. (2011)</t>
  </si>
  <si>
    <t>Material content of residential buildings in Sweden, compiled by Gustavsson et al. (2011)</t>
  </si>
  <si>
    <t>Material content of residential buildings in Sweden and Finland, compiled by Gustavsson et al. (2006)</t>
  </si>
  <si>
    <t>material; material content; residential buildings; Sweden, multi family houses,</t>
  </si>
  <si>
    <t>material; material content; residential buildings; Sweden, Finland, multi family houses,</t>
  </si>
  <si>
    <t>material; material content; residential buildings; Norway, multi family houses,</t>
  </si>
  <si>
    <t>Value(m,g,T,r)</t>
  </si>
  <si>
    <t>Value(m,g,r,c)</t>
  </si>
  <si>
    <t>Multi-family houses in Sweden in age-cohort 1991-2010 have a metal content of 21 kg/m2.</t>
  </si>
  <si>
    <t>Multi-family houses in Germany in age-cohort to 1918 have a metal content of 0 t/m3.</t>
  </si>
  <si>
    <t>Multi-family houses in Norway in age-cohort 1991-2010 have a metal content of 21 kg/m2.</t>
  </si>
  <si>
    <t>DOI: 10.1080/09613210701287588</t>
  </si>
  <si>
    <t>DOI: 10.1016/j.apenergy.2011.11.017</t>
  </si>
  <si>
    <t>Leif GUSTAVSSON</t>
  </si>
  <si>
    <t>Håvard BERGSDAL</t>
  </si>
  <si>
    <t>Ambrose DODOO</t>
  </si>
  <si>
    <t>DOI: 10.1016/j.enbuild.2009.08.018</t>
  </si>
  <si>
    <t>DOI: 10.1007/s11027-006-7207-1</t>
  </si>
  <si>
    <t>[Layer] measuring [data type] of [Aspect 1] in [Aspect 2] of [Aspect 3] in [Aspect4] is [Value].</t>
  </si>
  <si>
    <t>Material content of residential buildings in Norway, compiled by Bergsdal et al. (2007)</t>
  </si>
  <si>
    <t>DataSet36</t>
  </si>
  <si>
    <t>DataSet37</t>
  </si>
  <si>
    <t>DataSet38</t>
  </si>
  <si>
    <t>DataSet39</t>
  </si>
  <si>
    <t>DataSet40</t>
  </si>
  <si>
    <t>DataSet41</t>
  </si>
  <si>
    <t>2_IUS_Wood_buildings_Pingoud_2000</t>
  </si>
  <si>
    <t>buildings</t>
  </si>
  <si>
    <t>all buildings aggregated</t>
  </si>
  <si>
    <t>wood</t>
  </si>
  <si>
    <t>sawn wood and wood-based panels</t>
  </si>
  <si>
    <t>Finland</t>
  </si>
  <si>
    <t>Country total</t>
  </si>
  <si>
    <t>four estimates</t>
  </si>
  <si>
    <t>wood, wood content, sawn wood, wood-based panels, construction, Finland</t>
  </si>
  <si>
    <t>Kim PINGOUD</t>
  </si>
  <si>
    <t>https://www.vtt.fi/inf/pdf/julkaisut/2000/J840.pdf</t>
  </si>
  <si>
    <t>Kim Pingoud and Anna-Leena Perälä, 2000. Arvioita puurakentamisen kasvihuonevaikutuksesta [Studies on greenhouse impacts of wood construction], VTT, Espoo, Finland.</t>
  </si>
  <si>
    <t>Value(e,m,g,p,t,r)</t>
  </si>
  <si>
    <t>Carbon in-use stocks in wood in construction in use phase, Finland, country total, 1980 was 8.7 Mt.</t>
  </si>
  <si>
    <t>[Layer] measuring [data type] of [Aspect 1] in [Aspect 2] in [Aspect 3] in [Aspect4] in [Aspect5] in [Aspect6] is [Value].</t>
  </si>
  <si>
    <t>Wood in-use stocks in construction, Finland, country total, 1980-1995.</t>
  </si>
  <si>
    <t>6_MSC_Wood_buildings_Pingoud_2000</t>
  </si>
  <si>
    <t>Material substitution coefficient</t>
  </si>
  <si>
    <t>ca. 1995</t>
  </si>
  <si>
    <t>one estimate</t>
  </si>
  <si>
    <t>Material substitution coefficient for wood in buildings, construction, Finland, ca. 1995.</t>
  </si>
  <si>
    <t>wood, buildings, construction, Finland, material substitution, concrete</t>
  </si>
  <si>
    <t>Value(m1,m2,g,t,r)</t>
  </si>
  <si>
    <t>Material substitution coefficient for concrete substituted by wood in buildings ca. 1995 in Finland was 3.6 kg/kg.</t>
  </si>
  <si>
    <t>[Layer] measuring [data type] of [Aspect 1] substituted by [Aspect 2] in [Aspect 3] in [Aspect4] in [Aspect5] is [Value].</t>
  </si>
  <si>
    <t>6_MSC_Wood_buildings_Höglmeier_2015</t>
  </si>
  <si>
    <t>glue-laminated timer</t>
  </si>
  <si>
    <t>Material substitution coefficient for wood in buildings, construction, ca. 2010</t>
  </si>
  <si>
    <t>wood, buildings, construction, material substitution, glue-laminated timber, gluelam, steel</t>
  </si>
  <si>
    <t>Value(m1,m2,g,t)</t>
  </si>
  <si>
    <t>Material substitution coefficient for concrete substituted by wood in buildings ca. 1995 was 3.6 kg/kg.</t>
  </si>
  <si>
    <t>[Layer] measuring [data type] of [Aspect 1] substituted by [Aspect 2] in [Aspect 3] in [Aspect4] is [Value].</t>
  </si>
  <si>
    <t>Karin HÖGLMEIER</t>
  </si>
  <si>
    <t>DOI: 10.1016/j.jenvman.2015.01.018</t>
  </si>
  <si>
    <t>2_IUS_Vehicles_AllCountries_OICA_2017</t>
  </si>
  <si>
    <t>vehicles</t>
  </si>
  <si>
    <t>passenger and commercial vehicles</t>
  </si>
  <si>
    <t>All regions</t>
  </si>
  <si>
    <t>147 countries and regions</t>
  </si>
  <si>
    <t>2005-2015</t>
  </si>
  <si>
    <t>annual figures</t>
  </si>
  <si>
    <t>In-use stocks of passenger and commercial vehicles, 147 regions, 2005-2015, OICA database.</t>
  </si>
  <si>
    <t>passenger vehicles, commercial vehicles, OICA, in-use stocks, cars, registration, stock</t>
  </si>
  <si>
    <t>Official data from government institutions, compiled by industry association</t>
  </si>
  <si>
    <t>Value(p,r,t,g)</t>
  </si>
  <si>
    <t>Stock in use phase in Canada in 2007 of passenger vehicles was 19199 in unit 1000.</t>
  </si>
  <si>
    <t>[Layer] measuring [data type] of [Aspect 4] in [Aspect 1] in [Aspect 2] in [Aspect3] is [Value].</t>
  </si>
  <si>
    <t>OICA</t>
  </si>
  <si>
    <t>http://www.oica.net/category/vehicles-in-use/</t>
  </si>
  <si>
    <t>Numbers transferred via Excel spreadsheets that were brought into template structure.</t>
  </si>
  <si>
    <t>OICA (International Organization of Motor Vehicle Manufacturers) 2018. World Vehicles in use, by country and type 2005-2015. Accessed via http://www.oica.net/category/vehicles-in-use/ on 2018-06-28.</t>
  </si>
  <si>
    <t>6_PCS_Buildings_Europe_2008_Enerdata</t>
  </si>
  <si>
    <t>Buildings</t>
  </si>
  <si>
    <t>Residential and service buildings</t>
  </si>
  <si>
    <t>29 European countries</t>
  </si>
  <si>
    <t>Value(g,p,r,t)</t>
  </si>
  <si>
    <t>Enerdata Entranze</t>
  </si>
  <si>
    <t>Enerdata Entranze 2018. Average floor area per capita, by European country and building type 2008. Accessed via http://www.entranze.enerdata.eu/ on 2018-06-28.</t>
  </si>
  <si>
    <t>Per capita floor area of residential buildings, in Croatia in year 2008 was 25.4 m2/capita.</t>
  </si>
  <si>
    <t>2_IUS_Buildings_Europe_2008_Enerdata</t>
  </si>
  <si>
    <t>per capita floor space, residential buildings, service buildings, EU, Europe</t>
  </si>
  <si>
    <t>total floor space, residential buildings, service buildings, EU, Europe</t>
  </si>
  <si>
    <t>Total floor area of residential buildings, in Croatia in year 2008 was 112784000 m2.</t>
  </si>
  <si>
    <t>DataSet42</t>
  </si>
  <si>
    <t>Entire economy</t>
  </si>
  <si>
    <t>10 aggregated sectors and 3 treatment options</t>
  </si>
  <si>
    <t>All solid waste</t>
  </si>
  <si>
    <t>11 solid waste groups</t>
  </si>
  <si>
    <t>25 regions</t>
  </si>
  <si>
    <t>1_F_Waste_EXIOBASE2_Global_aggregated</t>
  </si>
  <si>
    <t>Flow of solid waste, by waste type, from industrial sector to treatment sector. 2007 values from EXIOBASE2.</t>
  </si>
  <si>
    <t>solid waste, EXIOBASE, 2007, waste treatment, waste input output</t>
  </si>
  <si>
    <t>Result of academic accounting work</t>
  </si>
  <si>
    <t>Value(m,o,d,r,t)</t>
  </si>
  <si>
    <t>Alexandre TISSERANT</t>
  </si>
  <si>
    <t>[Data type] of [aspect3] flowing from [aspect1] to [aspect2] in [aspect4] in [aspect5] has [value] for [layer].</t>
  </si>
  <si>
    <t>Mass of MSW from Households to recycling in Australia in 2007 was X kt/yr.</t>
  </si>
  <si>
    <t>Numbers  copied from original source (xls) to Excel template.</t>
  </si>
  <si>
    <t>DOI: 10.1111/jiec.12562</t>
  </si>
  <si>
    <t>DataSet43</t>
  </si>
  <si>
    <t>DataSet44</t>
  </si>
  <si>
    <t>DataSet45</t>
  </si>
  <si>
    <t>3_MC_Buildings_Kleemann_2014</t>
  </si>
  <si>
    <t>3_MC_Buildings_Sinha_2016</t>
  </si>
  <si>
    <t>3_MC_Buildings_Monahan_2010</t>
  </si>
  <si>
    <t>3 types of buildings</t>
  </si>
  <si>
    <t>1 type of residential building</t>
  </si>
  <si>
    <t>9 materials</t>
  </si>
  <si>
    <t>Austria</t>
  </si>
  <si>
    <t>UK</t>
  </si>
  <si>
    <t>2010-2018</t>
  </si>
  <si>
    <t>1859-2003</t>
  </si>
  <si>
    <t>Material content of buildings in Austrial, compiled by Kleemann et al. (2014)</t>
  </si>
  <si>
    <t>Material content of residential buildings in Sweden, compiled by Sinha et al. (2016)</t>
  </si>
  <si>
    <t>Material content of residential buildings in the UK, compiled by Monahan and  Powell (2010).</t>
  </si>
  <si>
    <t>material; material content; residential buildings; Austria, nonresidential buildings</t>
  </si>
  <si>
    <t>material; material content; residential buildings; UK, England, multi family houses,</t>
  </si>
  <si>
    <t>Multi-family house sampled in Austria in age-cohort 1859 has a metal content of 21 kg/m3.</t>
  </si>
  <si>
    <t>Multi-family houses in Sweden in age-cohort 2010-2018 have a metal content of 21 kg/m2.</t>
  </si>
  <si>
    <t>Multi-family houses in UK in age-cohort 2008 have a metal content of 21 kg/m2.</t>
  </si>
  <si>
    <t>DOI: 10.1080/09613218.2014.979029</t>
  </si>
  <si>
    <t>Fritz KLEEMANN</t>
  </si>
  <si>
    <t>DOI: 10.1016/j.buildenv.2016.05.012</t>
  </si>
  <si>
    <t>Rajib SINHA</t>
  </si>
  <si>
    <t>DOI: 10.1016/j.enbuild.2010.09.005</t>
  </si>
  <si>
    <t>J. MONAHAN</t>
  </si>
  <si>
    <t>Inter-industrial flows, MRIO tables</t>
  </si>
  <si>
    <t>Inter-industrial flows, environmental extensions, final demand</t>
  </si>
  <si>
    <t>monetary (inter-industrial flows and final demand), physical (environmental extensions)</t>
  </si>
  <si>
    <t>all industrial and service sectors</t>
  </si>
  <si>
    <t>163 sectors</t>
  </si>
  <si>
    <t>163 products</t>
  </si>
  <si>
    <t>all products and services</t>
  </si>
  <si>
    <t>49 countries and regions</t>
  </si>
  <si>
    <t>1995-2011</t>
  </si>
  <si>
    <t>EXIOBASE MRIO time series, 1995-2011, industry x industry tables</t>
  </si>
  <si>
    <t>MRIO; EXIOBASE; input-output; Leontief;</t>
  </si>
  <si>
    <t>DESIRE project consortium</t>
  </si>
  <si>
    <t>http://www.exiobase.eu/</t>
  </si>
  <si>
    <t>DOI: 10.1111/jiec.12715</t>
  </si>
  <si>
    <t>DataSet46</t>
  </si>
  <si>
    <t>1_F_EXIOBASE_3.4_FinalDemand</t>
  </si>
  <si>
    <t>6 end use sectors</t>
  </si>
  <si>
    <t>EXIOBASE MRIO time series, 1995-2011, industry x industry tables, final demand array</t>
  </si>
  <si>
    <t>MRIO; EXIOBASE; input-output; Leontief; final demand</t>
  </si>
  <si>
    <t>Value(g,o,R,d,r,t)</t>
  </si>
  <si>
    <t>No conversion. Dataset available via project homepage</t>
  </si>
  <si>
    <t>txt files</t>
  </si>
  <si>
    <t>http://www.exiobase.eu/index.php/data-download/exiobase3</t>
  </si>
  <si>
    <t>Flow of motorvehicles from motor vehicle market in Japan to households in Germany in 1995 is xxx MEUR.</t>
  </si>
  <si>
    <t>[Layer] measuring [data type] of [Aspect 1] from [Aspect 2] in [Aspect 3] to [Aspect4] in [Aspect5] in [Aspect6] is [Value].</t>
  </si>
  <si>
    <t>ready</t>
  </si>
  <si>
    <t>upload via script</t>
  </si>
  <si>
    <t>no data</t>
  </si>
  <si>
    <t>commodity</t>
  </si>
  <si>
    <t>process</t>
  </si>
  <si>
    <t>region</t>
  </si>
  <si>
    <t>origin_process</t>
  </si>
  <si>
    <t>destination_process</t>
  </si>
  <si>
    <t>element</t>
  </si>
  <si>
    <t>time</t>
  </si>
  <si>
    <t>scenario</t>
  </si>
  <si>
    <t>age-cohort</t>
  </si>
  <si>
    <t>Extracted with WebPlotDigitizer v4.1 as test case for data extraction from plot.</t>
  </si>
  <si>
    <t>output_material</t>
  </si>
  <si>
    <t>input_commodity</t>
  </si>
  <si>
    <t>custom</t>
  </si>
  <si>
    <t>1901-2009</t>
  </si>
  <si>
    <t>The mass ratio of yield coefficient of aluminium scrap recovered from aluminium in EoL construction in waste management industries in 2007 is 0.85.</t>
  </si>
  <si>
    <t>Value(p,m,f,B,r,t)</t>
  </si>
  <si>
    <t>[Layer] of [data type] of [Aspect 3] recovered from [Aspect 2] in [Aspect 4] in [Aspect 1] in [Aspect5] in [Aspect6] is [Value].</t>
  </si>
  <si>
    <t>energy_carrier</t>
  </si>
  <si>
    <t>https://www.bundesnetzagentur.de/EN/Areas/Energy/Companies/SecurityOfSupply/GeneratingCapacity/PowerPlantList/PubliPowerPlantList_node.html;jsessionid=886C908009731533A150F6CF4F14513C</t>
  </si>
  <si>
    <t>all deployedpower generation technology types</t>
  </si>
  <si>
    <t xml:space="preserve">All operational power plants in Germany with a minimum net nominal capacity of 10 MW. It also includes plants in Austria, Luxembourg and Switzerland that feed into the German grid. </t>
  </si>
  <si>
    <t>Bundesnetzagentur</t>
  </si>
  <si>
    <t>Monitoring Energie, Bundesnetzagentur, 2018</t>
  </si>
  <si>
    <t>technology</t>
  </si>
  <si>
    <t>Value(p,t,c,g,r,T)</t>
  </si>
  <si>
    <t>5_CAP_PowerGenCapacity_Germany_2018</t>
  </si>
  <si>
    <t>Capacity of Power station x with technology X in use phase in location y of age-cohort 2011 on day 2018-02-02 is 14.5 MW.</t>
  </si>
  <si>
    <t>[Aspect4] in [aspect5] of [aspect6] of [aspect3] in [aspect1] on [aspect2] has [layer] of [value].</t>
  </si>
  <si>
    <t>DataSet47</t>
  </si>
  <si>
    <t>POP/DB/WPP/Rev.2017/POP/F01-1</t>
  </si>
  <si>
    <t>2_P_UN_WPP_Historic_2015</t>
  </si>
  <si>
    <t>273 countries and regions</t>
  </si>
  <si>
    <t>all rights reserved</t>
  </si>
  <si>
    <t>https://esa.un.org/unpd/wpp/Download/Standard/Population/</t>
  </si>
  <si>
    <t xml:space="preserve">United Nations, Department of Economic and  Social Affairs, Population Division (2017). World Population Prospects: The 2017 Revision, Key Findings and Advance Tables. Working Paper No. ESA/P/WP/248. </t>
  </si>
  <si>
    <t xml:space="preserve">UN Working Paper No. ESA/P/WP/248. </t>
  </si>
  <si>
    <t>DataSet48</t>
  </si>
  <si>
    <t>2_P_UN_WPP_Future_2100</t>
  </si>
  <si>
    <t>1950-2015</t>
  </si>
  <si>
    <t>Historic total population (both sexes combined) by region, subregion and country, annually for 1950-2015 (thousands).</t>
  </si>
  <si>
    <t>Future total population (both sexes combined) by region, subregion and country, annually for 2015-2100 (thousands).</t>
  </si>
  <si>
    <t>DataSet49</t>
  </si>
  <si>
    <t>3_LT_NonResBuildings_Minneapolis_2000</t>
  </si>
  <si>
    <t>nonresidential buildings: commercial and institutional buildings</t>
  </si>
  <si>
    <t>US</t>
  </si>
  <si>
    <t>City sample</t>
  </si>
  <si>
    <t>2000-2003</t>
  </si>
  <si>
    <t>Aggregate</t>
  </si>
  <si>
    <t>Buildings lifetime, extracted from Survey on actual service lives for North American buildings (2004) carried out by the Athena Sustainable Materials Institute. Survey data collected from building owners, demolition survey of 227 buildings</t>
  </si>
  <si>
    <t>Survey data</t>
  </si>
  <si>
    <t>Value(m,g,p,r,t)</t>
  </si>
  <si>
    <t>The average expected service lifetime of masonry in nonresidential buildings in Minneapolis demolished between 2000 and 2003 was 77.5 years.</t>
  </si>
  <si>
    <t>[aspect1] in [aspect2] in [aspect 3] in [aspect4] demolished in [aspect5] has [layer] of [data type] of [value].</t>
  </si>
  <si>
    <t>UN Population division</t>
  </si>
  <si>
    <t>Jennifer O’CONNOR</t>
  </si>
  <si>
    <t>Thibaud Pereira</t>
  </si>
  <si>
    <t>Survey on actual service lives for North American buildings, by Jennifer O'Connor</t>
  </si>
  <si>
    <t>Jennifer O'Connor (2004). Survey on actual service lives for North American buildings. Presented  at Woodframe Housing Durability and Disaster Issues conference, Las Vegas, October 2004.</t>
  </si>
  <si>
    <t>DataSet50</t>
  </si>
  <si>
    <t>3_LT_ResBuildings_USA_1997_2009</t>
  </si>
  <si>
    <t>residential buildings</t>
  </si>
  <si>
    <t>1997-2003</t>
  </si>
  <si>
    <t>Buildings lifetime as mean age of demolished building from the American Housing Survey.</t>
  </si>
  <si>
    <t xml:space="preserve">buildings lifetime; residential building; USA; </t>
  </si>
  <si>
    <t>buildings lifetime; non-residential building; USA; Minneapolis</t>
  </si>
  <si>
    <t>The mean age of residential buildings in the use phase, demolished in the US in 1997 was 51.6 years.</t>
  </si>
  <si>
    <t>[aspect1] in [aspect2] in [aspect 3] demolished in [aspect4] has [layer] of [data type] of [value].</t>
  </si>
  <si>
    <t>Can B. AKTAS</t>
  </si>
  <si>
    <t>DOI: 10.1007/s11367-011-0363-x</t>
  </si>
  <si>
    <t>DataSet51</t>
  </si>
  <si>
    <t>DataSet52</t>
  </si>
  <si>
    <t>DataSet53</t>
  </si>
  <si>
    <t>DataSet54</t>
  </si>
  <si>
    <t>DataSet55</t>
  </si>
  <si>
    <t>DataSet56</t>
  </si>
  <si>
    <t>DataSet57</t>
  </si>
  <si>
    <t>DataSet58</t>
  </si>
  <si>
    <t>1_F_IOT_UK_2010_pxp_Z</t>
  </si>
  <si>
    <t>1_F_IOT_UK_2010_pxp_Y</t>
  </si>
  <si>
    <t>1_F_IOT_UK_2010_pxp_e</t>
  </si>
  <si>
    <t>1_F_IOT_UK_2010_pxp_i</t>
  </si>
  <si>
    <t>1_F_IOT_UK_2010_pxp_v</t>
  </si>
  <si>
    <t>1_F_IOT_UK_2010_pxp_x</t>
  </si>
  <si>
    <t>whole economy</t>
  </si>
  <si>
    <t>17 sectors</t>
  </si>
  <si>
    <t>17 product groups</t>
  </si>
  <si>
    <t>use phase</t>
  </si>
  <si>
    <t xml:space="preserve">United Kingdom Input-output table (product by product), 2010, Z matrix of inter-industry flows </t>
  </si>
  <si>
    <t>United Kingdom Input-output table (product by product), 2010, Y matrix of final demand</t>
  </si>
  <si>
    <t>United Kingdom Input-output table (product by product), 2010, e vector of exports</t>
  </si>
  <si>
    <t>United Kingdom Input-output table (product by product), 2010, i vector of imports</t>
  </si>
  <si>
    <t>United Kingdom Input-output table (product by product), 2010, v matrix of value added</t>
  </si>
  <si>
    <t>United Kingdom Input-output table (product by product), 2010, x vector of total output by sector</t>
  </si>
  <si>
    <t>UK; input-output; product by product; final demand; households; y-vector; y-matrix</t>
  </si>
  <si>
    <t>UK; input-output; product by product; exports</t>
  </si>
  <si>
    <t>UK; input-output; product by product; imports</t>
  </si>
  <si>
    <t>UK; input-output; product by product; value added; v-vector</t>
  </si>
  <si>
    <t>UK; input-output; product by product; total industry output; x-vector; supply table</t>
  </si>
  <si>
    <t>UK; input-output; product by product; inter-industry flows; transaction matrix; Z-matrix; use table</t>
  </si>
  <si>
    <t>UK Office for National Statistics 2014. UK input-output analytical tables.</t>
  </si>
  <si>
    <t>https://www.ons.gov.uk/economy/nationalaccounts/supplyandusetables/datasets/ukinputoutputanalyticaltablesdetailed</t>
  </si>
  <si>
    <t>Excel spreadsheet</t>
  </si>
  <si>
    <t>UK Office for National Statistics</t>
  </si>
  <si>
    <t>output_commodity</t>
  </si>
  <si>
    <t>Value(r,t,B,F)</t>
  </si>
  <si>
    <t>The flow of construction into agriculture in the UK in 2010 was 549 million GBP_2010.</t>
  </si>
  <si>
    <t>Value(r,t,B,p)</t>
  </si>
  <si>
    <t>The flow of construction into households in the UK in 2010 was xxx million GBP_2010.</t>
  </si>
  <si>
    <t>origin_region</t>
  </si>
  <si>
    <t>destination_region</t>
  </si>
  <si>
    <t>Value(O,D,t,g)</t>
  </si>
  <si>
    <t>Exports of agriculture products from the UK to the rest of the world in 2010 was xxx million GBP_2010.</t>
  </si>
  <si>
    <t>Imports of agriculture products to the UK from the rest of the world in 2010 was xxx million GBP_2010.</t>
  </si>
  <si>
    <t>4 value added groups</t>
  </si>
  <si>
    <t>The flow of compensation of employees into agriculture in the UK in 2010 was xxx million GBP_2010.</t>
  </si>
  <si>
    <t>UK_Input-output_Table_2010_pxp</t>
  </si>
  <si>
    <t>monetary (inter-industrial flows and final demand),</t>
  </si>
  <si>
    <t>United Kingdom Input-output table (product by product), 2010, current prices, 2010 GBP.</t>
  </si>
  <si>
    <t>UK; input-output; product by product; inter-industry flows; transaction matrix; final demand</t>
  </si>
  <si>
    <t>Material composition of passenger vehicles, extracted from Hawkins et al. (2013) inventory.</t>
  </si>
  <si>
    <t>passenger vehicles</t>
  </si>
  <si>
    <t>metals, polymers, silica material, chemicals, other</t>
  </si>
  <si>
    <t>42 materials</t>
  </si>
  <si>
    <t>global</t>
  </si>
  <si>
    <t>ca. 2000-2010</t>
  </si>
  <si>
    <t>product material composition; metal content; passenger vehicles</t>
  </si>
  <si>
    <t>https://onlinelibrary.wiley.com/doi/abs/10.1111/j.1530-9290.2012.00532.x</t>
  </si>
  <si>
    <t>3_MC_Vehicles_Hawkins_2012</t>
  </si>
  <si>
    <t>Mass per unit</t>
  </si>
  <si>
    <t>3 vehicle types: ICE vehicle, battery electric vehicle, fuel cell vehicle</t>
  </si>
  <si>
    <t>[data type] of [aspect3] to [aspect4] in [aspect 1] in [aspect2] has [layer] of [value].</t>
  </si>
  <si>
    <t>[data type] of [aspect4] from [aspect1] to [aspect2] in [aspect3] has [layer] of [value].</t>
  </si>
  <si>
    <t>[layer] for [data type] of [aspect1] in [aspect2] in [aspect3] in [aspect4] has [value].</t>
  </si>
  <si>
    <t>DOI: 10.1111/j.1530-9290.2012.00532.x</t>
  </si>
  <si>
    <t>Troy R. HAWKINS</t>
  </si>
  <si>
    <t>Material composition of passenger vehicles, extracted from Modaresi et al. (2014) inventory.</t>
  </si>
  <si>
    <t>ICE vehicles</t>
  </si>
  <si>
    <t>aluminum, steel</t>
  </si>
  <si>
    <t>5 material categories</t>
  </si>
  <si>
    <t>1978-2010</t>
  </si>
  <si>
    <t>8 individual years</t>
  </si>
  <si>
    <t>https://pubs.acs.org/doi/suppl/10.1021/es502930w/suppl_file/es502930w_si_002.xlsx</t>
  </si>
  <si>
    <t>DOI: 10.1021/es502930w</t>
  </si>
  <si>
    <t>Roja MODARESI</t>
  </si>
  <si>
    <t>The aluminium content of average ICE vehicles, ca. 2010 vintage, is xxx kg / unit.</t>
  </si>
  <si>
    <t>The typical global zinc content of ICE vehicles, ca. 2000-2010 vintage, is 0.0998 kg / unit.</t>
  </si>
  <si>
    <t>3_MC_Vehicles_Modaresi_2014</t>
  </si>
  <si>
    <t>1_F_WIO_Japan_Nakamura_Kondo_2002</t>
  </si>
  <si>
    <t>Mass ratio of aluminium recovered as alumium scrap in waste management industry over aluminium going into waste management in form of End-of-life products. 1950-2009 Expert estimates compiled by the International Aluminium Institute and used in their GARC model. Values 1901-150 are set to 1950 values.</t>
  </si>
  <si>
    <t>NULL</t>
  </si>
  <si>
    <t>Material composition</t>
  </si>
  <si>
    <t>Energy per mass of output</t>
  </si>
  <si>
    <t>Industry data</t>
  </si>
  <si>
    <t>engineering_material</t>
  </si>
  <si>
    <t>substituting_material</t>
  </si>
  <si>
    <t>product_type</t>
  </si>
  <si>
    <t>input_material</t>
  </si>
  <si>
    <t>service</t>
  </si>
  <si>
    <t>pdf, no formatting</t>
  </si>
  <si>
    <t>pdf, table</t>
  </si>
  <si>
    <t>Numbers manually copied from Excel spreadsheet to Excel standard format.</t>
  </si>
  <si>
    <t>CC BY SA 4.0</t>
  </si>
  <si>
    <t>unknown/not specified</t>
  </si>
  <si>
    <t>Crown Copyright</t>
  </si>
  <si>
    <t>Publicly available dataset, static web page</t>
  </si>
  <si>
    <t>Publicly available dataset, dynamic web page</t>
  </si>
  <si>
    <t>SteelCycle10</t>
  </si>
  <si>
    <t>SteelCycle11</t>
  </si>
  <si>
    <t>.mat file</t>
  </si>
  <si>
    <t>Data transferred via python script.</t>
  </si>
  <si>
    <t>Value(p,e,t,g,r)</t>
  </si>
  <si>
    <t>one aggregated category</t>
  </si>
  <si>
    <t>one aggregated process</t>
  </si>
  <si>
    <t>Value(e,g,o,O,d,D,t)</t>
  </si>
  <si>
    <t>The mass of iron in crude steel from crude steel market in China to steel forming in China in 200x is 3456.78 kt.</t>
  </si>
  <si>
    <t>[Layer] of [data type] of [Aspect1] in [aspect2] from [aspect3] in [aspect4] to [aspect5] in [aspect6] in [aspect7] is [Value].</t>
  </si>
  <si>
    <t>DOI: 10.1016/j.resconrec.2012.11.008</t>
  </si>
  <si>
    <t>1_F_steel_200R_F_1_2_pig_iron_production</t>
  </si>
  <si>
    <t>1_F_steel_200R_F_2_3_pig_iron_to_crude_steel</t>
  </si>
  <si>
    <t>1_F_steel_200R_F_2_16_pig_iron_to_casting</t>
  </si>
  <si>
    <t>1_F_steel_200R_F_3_18_steel_slag_generation</t>
  </si>
  <si>
    <t>1_F_steel_200R_F_3_4_crude_steel_production</t>
  </si>
  <si>
    <t>1_F_steel_200R_F_15_3_scrap_use_by_crude_steel_production</t>
  </si>
  <si>
    <t>1_F_steel_200R_F_15_16_scrap_to_casting</t>
  </si>
  <si>
    <t>1_F_steel_200R_F_4_5_crude_steel_consumption</t>
  </si>
  <si>
    <t>1_F_steel_200R_F_5_18_forming_losses</t>
  </si>
  <si>
    <t>1_F_steel_200R_F_5_15_forming_scrap_generation</t>
  </si>
  <si>
    <t>1_F_steel_200R_F_16_17_casting_output</t>
  </si>
  <si>
    <t>1_F_steel_200R_F_17_8_castings_consumption</t>
  </si>
  <si>
    <t>1_F_steel_200R_F_5_6_finished_steel_production</t>
  </si>
  <si>
    <t>1_F_steel_200R_F_6_7_finished_steel_to_products</t>
  </si>
  <si>
    <t>1_F_steel_200R_F_7_8_finished_steel_to_sector_split</t>
  </si>
  <si>
    <t>1_F_steel_200R_F_8_9_steel_input_manufacturing</t>
  </si>
  <si>
    <t>1_F_steel_200R_F_9_10_output_manufacturing</t>
  </si>
  <si>
    <t>1_F_steel_200R_F_9_15_fabrication_scrap_generation</t>
  </si>
  <si>
    <t>1_F_steel_200R_F_10_11_manufactured_goods</t>
  </si>
  <si>
    <t>1_F_steel_200R_F_11_12_final_steel_consumption</t>
  </si>
  <si>
    <t>1_F_steel_200R_F_12_13_EoL_products</t>
  </si>
  <si>
    <t>1_F_steel_200R_F_13_19_obsolete_stock_formation</t>
  </si>
  <si>
    <t>1_F_steel_200R_F_13_14_inflow_waste_mgt</t>
  </si>
  <si>
    <t>1_F_steel_200R_F_14_15_EoL_steel_scrap</t>
  </si>
  <si>
    <t>1_F_steel_200R_F_14_20_landfill_loss_accumulation</t>
  </si>
  <si>
    <t>1_F_steel_200R_F_21_2_pig_iron_import</t>
  </si>
  <si>
    <t>1_F_steel_200R_F_2_30_pig_iron_export</t>
  </si>
  <si>
    <t>1_F_steel_200R_F_22_4_crude_steel_import</t>
  </si>
  <si>
    <t>1_F_steel_200R_F_4_31_crude_steel_export</t>
  </si>
  <si>
    <t>1_F_steel_200R_F_23_17_iron_steel_castings_import</t>
  </si>
  <si>
    <t>1_F_steel_200R_F_17_32_iron_steel_castings_export</t>
  </si>
  <si>
    <t>1_F_steel_200R_F_29_15_steel_scrap_import</t>
  </si>
  <si>
    <t>1_F_steel_200R_F_15_38_steel_scrap_export</t>
  </si>
  <si>
    <t>1_F_steel_200R_F_24_6_finished_steel_import</t>
  </si>
  <si>
    <t>1_F_steel_200R_F_6_33_finished_steel_export</t>
  </si>
  <si>
    <t>1_F_steel_200R_F_25_7_steel_products_import</t>
  </si>
  <si>
    <t>1_F_steel_200R_F_7_34_steel_products_export</t>
  </si>
  <si>
    <t>1_F_steel_200R_F_26_10_part_manufactured_goods_import</t>
  </si>
  <si>
    <t>1_F_steel_200R_F_10_35_parts_manufactured_goods_export</t>
  </si>
  <si>
    <t>1_F_steel_200R_F_27_11_manufactured_goods_import</t>
  </si>
  <si>
    <t>1_F_steel_200R_F_11_36_manufactured_goods_export</t>
  </si>
  <si>
    <t>SteelCycle12</t>
  </si>
  <si>
    <t>SteelCycle13</t>
  </si>
  <si>
    <t>SteelCycle14</t>
  </si>
  <si>
    <t>SteelCycle15</t>
  </si>
  <si>
    <t>SteelCycle16</t>
  </si>
  <si>
    <t>SteelCycle17</t>
  </si>
  <si>
    <t>SteelCycle18</t>
  </si>
  <si>
    <t>SteelCycle19</t>
  </si>
  <si>
    <t>SteelCycle20</t>
  </si>
  <si>
    <t>SteelCycle21</t>
  </si>
  <si>
    <t>SteelCycle22</t>
  </si>
  <si>
    <t>SteelCycle23</t>
  </si>
  <si>
    <t>SteelCycle24</t>
  </si>
  <si>
    <t>SteelCycle25</t>
  </si>
  <si>
    <t>SteelCycle26</t>
  </si>
  <si>
    <t>SteelCycle27</t>
  </si>
  <si>
    <t>SteelCycle28</t>
  </si>
  <si>
    <t>SteelCycle29</t>
  </si>
  <si>
    <t>SteelCycle30</t>
  </si>
  <si>
    <t>SteelCycle31</t>
  </si>
  <si>
    <t>SteelCycle32</t>
  </si>
  <si>
    <t>SteelCycle33</t>
  </si>
  <si>
    <t>SteelCycle34</t>
  </si>
  <si>
    <t>SteelCycle35</t>
  </si>
  <si>
    <t>SteelCycle36</t>
  </si>
  <si>
    <t>SteelCycle37</t>
  </si>
  <si>
    <t>SteelCycle38</t>
  </si>
  <si>
    <t>SteelCycle39</t>
  </si>
  <si>
    <t>SteelCycle40</t>
  </si>
  <si>
    <t>SteelCycle41</t>
  </si>
  <si>
    <t>SteelCycle42</t>
  </si>
  <si>
    <t>SteelCycle43</t>
  </si>
  <si>
    <t>SteelCycle44</t>
  </si>
  <si>
    <t>SteelCycle45</t>
  </si>
  <si>
    <t>pig_iron_production</t>
  </si>
  <si>
    <t>pig_iron_to_crude_steel</t>
  </si>
  <si>
    <t>crude_steel_production</t>
  </si>
  <si>
    <t>crude_steel_consumption</t>
  </si>
  <si>
    <t>finished_steel_production</t>
  </si>
  <si>
    <t>finished_steel_to_products</t>
  </si>
  <si>
    <t>finished_steel_to_sector_split</t>
  </si>
  <si>
    <t>steel_input_manufacturing</t>
  </si>
  <si>
    <t>pig_iron_to_casting</t>
  </si>
  <si>
    <t>steel_slag_generation</t>
  </si>
  <si>
    <t>scrap_use_by_crude_steel_production</t>
  </si>
  <si>
    <t>scrap_to_casting</t>
  </si>
  <si>
    <t>forming_losses</t>
  </si>
  <si>
    <t>forming_scrap_generation</t>
  </si>
  <si>
    <t>casting_output</t>
  </si>
  <si>
    <t>castings_consumption</t>
  </si>
  <si>
    <t>output_manufacturing</t>
  </si>
  <si>
    <t>fabrication_scrap_generation</t>
  </si>
  <si>
    <t>manufactured_goods</t>
  </si>
  <si>
    <t>final_steel_consumption</t>
  </si>
  <si>
    <t>EoL_products</t>
  </si>
  <si>
    <t>obsolete_stock_formation</t>
  </si>
  <si>
    <t>inflow_waste_mgt</t>
  </si>
  <si>
    <t>EoL_steel_scrap</t>
  </si>
  <si>
    <t>landfill_loss_accumulation</t>
  </si>
  <si>
    <t>pig_iron_import</t>
  </si>
  <si>
    <t>pig_iron_export</t>
  </si>
  <si>
    <t>crude_steel_import</t>
  </si>
  <si>
    <t>crude_steel_export</t>
  </si>
  <si>
    <t>iron_steel_castings_import</t>
  </si>
  <si>
    <t>iron_steel_castings_export</t>
  </si>
  <si>
    <t>steel_scrap_import</t>
  </si>
  <si>
    <t>steel_scrap_export</t>
  </si>
  <si>
    <t>finished_steel_import</t>
  </si>
  <si>
    <t>finished_steel_export</t>
  </si>
  <si>
    <t>steel_products_import</t>
  </si>
  <si>
    <t>steel_products_export</t>
  </si>
  <si>
    <t>part_manufactured_goods_import</t>
  </si>
  <si>
    <t>parts_manufactured_goods_export</t>
  </si>
  <si>
    <t>manufactured_goods_import</t>
  </si>
  <si>
    <t>manufactured_goods_export</t>
  </si>
  <si>
    <t>pig iron</t>
  </si>
  <si>
    <t>slag</t>
  </si>
  <si>
    <t>crude steel</t>
  </si>
  <si>
    <t>steel scrap</t>
  </si>
  <si>
    <t>iron and steel castings</t>
  </si>
  <si>
    <t>castings</t>
  </si>
  <si>
    <t>finished steel</t>
  </si>
  <si>
    <t>manufactured goods</t>
  </si>
  <si>
    <t>fabrication scrap</t>
  </si>
  <si>
    <t>EoL products</t>
  </si>
  <si>
    <t>obsolete products</t>
  </si>
  <si>
    <t>landfill loss</t>
  </si>
  <si>
    <t>steel products</t>
  </si>
  <si>
    <t>parts of manufactured goods</t>
  </si>
  <si>
    <t>2_S_steel_200R_Landfills</t>
  </si>
  <si>
    <t>EXIOBASE_3.4_IOT_ixi</t>
  </si>
  <si>
    <t>http://www.creea.eu/</t>
  </si>
  <si>
    <t>CREEA is an EU FP7 project whose main data outcome is the EXIOBASE3 MRIO table series.</t>
  </si>
  <si>
    <t>EXIOBASE; MRIO; FP7</t>
  </si>
  <si>
    <t>CREEA = compiling and refining environmental and economic accounts</t>
  </si>
  <si>
    <t>Example5</t>
  </si>
  <si>
    <t>US_LCI_Database</t>
  </si>
  <si>
    <t>process inventories</t>
  </si>
  <si>
    <t>Inter-industrial flows, environmental extensions</t>
  </si>
  <si>
    <t>physical</t>
  </si>
  <si>
    <t>767 processes</t>
  </si>
  <si>
    <t>4614 product flows</t>
  </si>
  <si>
    <t>many major materials</t>
  </si>
  <si>
    <t>Country representative</t>
  </si>
  <si>
    <t>2010-2015</t>
  </si>
  <si>
    <t>US life cycle inventory database</t>
  </si>
  <si>
    <t>US; LCI; LCA; process data</t>
  </si>
  <si>
    <t>https://www.nrel.gov/lci/</t>
  </si>
  <si>
    <t>NREL</t>
  </si>
  <si>
    <t>00.00.001</t>
  </si>
  <si>
    <t>Unit process inventory</t>
  </si>
  <si>
    <t>Misc. physical units</t>
  </si>
  <si>
    <t>one representative unit process</t>
  </si>
  <si>
    <t>all connected products, input and output</t>
  </si>
  <si>
    <t>1 reference output, 5 waste flows, 5 product input flows</t>
  </si>
  <si>
    <t>North America</t>
  </si>
  <si>
    <t>one region</t>
  </si>
  <si>
    <t>Unit process inventory for aluminum, cold rolling, at plant, for North America, 2010-2015, US LCI database</t>
  </si>
  <si>
    <t>US; North America; Aluminium; cold rolling; at plant;</t>
  </si>
  <si>
    <t>material</t>
  </si>
  <si>
    <t>layer</t>
  </si>
  <si>
    <t>U.S. Life Cycle Inventory Database. (2012). National Renewable Energy Laboratory, 2012. Accessed 2018-09-05: https://www.lcacommons.gov/nrel/search</t>
  </si>
  <si>
    <t>"U.S. Life Cycle Inventory Database." (2012). National Renewable Energy Laboratory, 2012. https://www.lcacommons.gov/nrel/search</t>
  </si>
  <si>
    <t>https://www.lcacommons.gov/lca-collaboration/National_Renewable_Energy_Laboratory/USLCI/dataset/PROCESS/2b196386-eb1a-352a-aeda-4d003144f6df</t>
  </si>
  <si>
    <t>PE International AG</t>
  </si>
  <si>
    <t>http://www.gabi-software.com/support/gabi/gabi-lci-documentation/data-sets-by-database-modules/</t>
  </si>
  <si>
    <t>JSON-LD, ILCD</t>
  </si>
  <si>
    <t>Numbers manually copied from original source (web page) to Excel spreadsheet</t>
  </si>
  <si>
    <t>Creative Commons CC0 1.0 Universal Public Domain Dedication</t>
  </si>
  <si>
    <t>US LCI UUID: 2b196386-eb1a-352a-aeda-4d003144f6df</t>
  </si>
  <si>
    <t>The flow of 'aluminium, cold rolling, at plant' in group 'product' from 'aluminium, cold rolling' to 'unspecified' in 'North America' in '2010-2015' for layer 'mass' was 1000 kg.</t>
  </si>
  <si>
    <t>Flow of [aspect1] of [aspect2] from [aspect3] to [aspect4] in [aspect5] in [aspect6] for [aspect 7] has [value].</t>
  </si>
  <si>
    <t>1_UPI_USLCI_Aluminum_cold_rolling_at_plant</t>
  </si>
  <si>
    <t>Cold rolling of aluminium</t>
  </si>
  <si>
    <t>Chainsawing, delimbing</t>
  </si>
  <si>
    <t>1 reference output, 2 product input flows</t>
  </si>
  <si>
    <t>North East/North Central</t>
  </si>
  <si>
    <t>US LCI UUID: 58970ce4-bbba-3dee-a141-30e534e8ac1b</t>
  </si>
  <si>
    <t>Unit process inventory for chainsawing and delimbing, for North America, NortEastern and North Central, 2003, US LCI database</t>
  </si>
  <si>
    <t>US; North America; Chainsawing; delimbing;</t>
  </si>
  <si>
    <t>Result of academic LCA work</t>
  </si>
  <si>
    <t>Maureen Puetmann</t>
  </si>
  <si>
    <t>https://www.lcacommons.gov/lca-collaboration/National_Renewable_Energy_Laboratory/USLCI/dataset/PROCESS/58970ce4-bbba-3dee-a141-30e534e8ac1b</t>
  </si>
  <si>
    <t>Life-Cycle Impacts of Inland West And NE/NC Forest Resources, by Maureen Puetmann</t>
  </si>
  <si>
    <t>1_UPI_USLCI_Chainsawing_delimbing</t>
  </si>
  <si>
    <t>1_UPI_USLCI_Electricity_lignite_coal_at_power_plant</t>
  </si>
  <si>
    <t>Electricity generation from lignite</t>
  </si>
  <si>
    <t>1 reference output, 5 product input flows</t>
  </si>
  <si>
    <t>United States</t>
  </si>
  <si>
    <t>2002-2003</t>
  </si>
  <si>
    <t>Unit process inventory for lignite-based electricity generation, USA, 2002-2003, US LCI database</t>
  </si>
  <si>
    <t>US; lignite; coal; electricity;</t>
  </si>
  <si>
    <t>US LCI UUID: 5b26dd62-5ab0-3822-b39c-6aa187efc9e5</t>
  </si>
  <si>
    <t>Franklin Associates</t>
  </si>
  <si>
    <t>https://www.lcacommons.gov/lca-collaboration/National_Renewable_Energy_Laboratory/USLCI/dataset/PROCESS/5b26dd62-5ab0-3822-b39c-6aa187efc9e5</t>
  </si>
  <si>
    <t>Data Details for Lignite Utility Combustion, Franklin Associates, 2003</t>
  </si>
  <si>
    <t>1_UPI_USLCI_Limestone_at_mine</t>
  </si>
  <si>
    <t>Limestone mining</t>
  </si>
  <si>
    <t>Limestone</t>
  </si>
  <si>
    <t>1992-2002</t>
  </si>
  <si>
    <t>Unit process inventory for limestone mining, USA, 1992-2002, US LCI database</t>
  </si>
  <si>
    <t>US LCI UUID: 49e563d8-0cea-3f97-96b8-15787be48b91</t>
  </si>
  <si>
    <t>https://www.lcacommons.gov/lca-collaboration/National_Renewable_Energy_Laboratory/USLCI/dataset/PROCESS/49e563d8-0cea-3f97-96b8-15787be48b91</t>
  </si>
  <si>
    <t>Data Details for limestone mining and lime production, Franklin Associates, 2004</t>
  </si>
  <si>
    <t>1_UPI_USLCI_steel_liquid_at_plant</t>
  </si>
  <si>
    <t>liquid steel production</t>
  </si>
  <si>
    <t xml:space="preserve">Steel </t>
  </si>
  <si>
    <t>1993-2002</t>
  </si>
  <si>
    <t>Unit process inventory for liquid steel production, at plant, for North America, 1993-2002, US LCI database</t>
  </si>
  <si>
    <t>US; North America; steel; production; at plant;</t>
  </si>
  <si>
    <t>US LCI UUID: 5f23939e-be70-364e-95c2-baef329a95fe</t>
  </si>
  <si>
    <t>https://www.lcacommons.gov/lca-collaboration/National_Renewable_Energy_Laboratory/USLCI/dataset/PROCESS/5f23939e-be70-364e-95c2-baef329a95fe</t>
  </si>
  <si>
    <t xml:space="preserve"> Cradle-To-Gate LCI: Canadian and US Steel Production by Mill Type, Markus Engineering Services, 2003.</t>
  </si>
  <si>
    <t>material_category</t>
  </si>
  <si>
    <t>Value(M,C,o,d,r,t,L)</t>
  </si>
  <si>
    <t>2_IUS_steel_200R_4Categories</t>
  </si>
  <si>
    <t>Paula Vollmer</t>
  </si>
  <si>
    <t>Misc. units</t>
  </si>
  <si>
    <t>13 product groups, 13 waste groups</t>
  </si>
  <si>
    <t>17 sectors, of which 1 final demand and 4 waste treatment sectors</t>
  </si>
  <si>
    <t>waste</t>
  </si>
  <si>
    <t>13 waste groups</t>
  </si>
  <si>
    <t>Japan</t>
  </si>
  <si>
    <t>Japanese waste input-output (WIO) table, 1995, by Nakamura and Kondo (2002).</t>
  </si>
  <si>
    <t>Japan, WIO, waste input-output, physical IO,</t>
  </si>
  <si>
    <t>Value(g,o,L,r,t,d)</t>
  </si>
  <si>
    <t>DOI: 10.1162/108819802320971632</t>
  </si>
  <si>
    <t>pdf table</t>
  </si>
  <si>
    <t>Shinichiro NAKAMURA</t>
  </si>
  <si>
    <t>The flow of [aspect1] from [aspect2] to [aspect6] in [aspect4] in [aspect5] is [value] for layer [aspect3].</t>
  </si>
  <si>
    <t>The flow of waste plastics from market for waste plastics to chemical industry in Japan in 1995 is 1006 kt for mass layer.</t>
  </si>
  <si>
    <t>Value(r,t,g,p)</t>
  </si>
  <si>
    <t>The flow of total output of agriculture to the sector output market in the UK in 2010 was xxx million GBP_2010.</t>
  </si>
  <si>
    <t>DataSet59</t>
  </si>
  <si>
    <t>DataSet60</t>
  </si>
  <si>
    <t>DataSet61</t>
  </si>
  <si>
    <t>DataSet62</t>
  </si>
  <si>
    <t>DataSet63</t>
  </si>
  <si>
    <t>DataSet64</t>
  </si>
  <si>
    <t>DataSet65</t>
  </si>
  <si>
    <t>one process</t>
  </si>
  <si>
    <t>All steel applications</t>
  </si>
  <si>
    <t>4 major sectors: vehicles, machinery, construction, products/other</t>
  </si>
  <si>
    <t>iron, in-use stock, use phase, transportation, vehicles, buildings, construction, machinery,</t>
  </si>
  <si>
    <t>.mat files</t>
  </si>
  <si>
    <t>Numbers converted from .mat to database via Python script</t>
  </si>
  <si>
    <t>Value(p,e,g,r,t)</t>
  </si>
  <si>
    <t>[layer] of [data type] of [aspect2] in [aspect4] in [aspect1] in [aspect5] in [aspect3] is [value].</t>
  </si>
  <si>
    <t>Value 0 means that no breakdown of total steel stock into four commodity groups could be obtained.</t>
  </si>
  <si>
    <t>Value(g,e,S)</t>
  </si>
  <si>
    <t>[aspect1] has [data type] expressed in [layer] of [aspect2] of [value] for [aspect3].</t>
  </si>
  <si>
    <t>[layer] of [data type] of [aspect2] in [aspect1] for [aspect3] of [aspect4] in [aspect 5] has [value].</t>
  </si>
  <si>
    <t>3_MC_Steel_DRCSCC_2005</t>
  </si>
  <si>
    <t>Global_steel_cycle_146_regions_1900_2008</t>
  </si>
  <si>
    <t>Scenario_analysis_global_aluminium_cycle_Gang_LIU_2012</t>
  </si>
  <si>
    <t>Global_steel_cycle_146_regions_1900_2008.png</t>
  </si>
  <si>
    <t>PhD_thesis_Stefan_Pauliuk</t>
  </si>
  <si>
    <t>EU_CREEA_Project</t>
  </si>
  <si>
    <t>Value(m,g,c,r,y)</t>
  </si>
  <si>
    <t>city</t>
  </si>
  <si>
    <t>Value(g,t,r,y)</t>
  </si>
  <si>
    <t>Values are per capita.</t>
  </si>
  <si>
    <t>2012 Macmillan Publishers Limited. All rights reserved.</t>
  </si>
  <si>
    <t>YSTAFDB</t>
  </si>
  <si>
    <t>stocks, flows, and criticality incicators of metals</t>
  </si>
  <si>
    <t>stocks, flows, and material properties</t>
  </si>
  <si>
    <t>processes relevant for each individual material, economy-wde</t>
  </si>
  <si>
    <t>104 materials, mostly chemical elements</t>
  </si>
  <si>
    <t>chemical elements</t>
  </si>
  <si>
    <t>Country perspective and global data</t>
  </si>
  <si>
    <t>material specific: mostly material cycle snapshots for 2000-2010 but also time series dating back to 1900 and earlier</t>
  </si>
  <si>
    <t>Annual values</t>
  </si>
  <si>
    <t>Yale stocks and flow database, YSTAFDB, comprises most of the material stocks and flows (STAF) data generated at the Center for Industrial Ecology at Yale University since the early 2000s.</t>
  </si>
  <si>
    <t xml:space="preserve">YSTAFDB, MFA, Yale CIE, Graedel, stocks, flows, materials, </t>
  </si>
  <si>
    <t>Rupert MYERS</t>
  </si>
  <si>
    <t>YSTAFDB_v1.0</t>
  </si>
  <si>
    <t>v1.0</t>
  </si>
  <si>
    <t>https://zenodo.org/record/2561882</t>
  </si>
  <si>
    <t>DOI 10.1038/s41597-019-0085-7</t>
  </si>
  <si>
    <t>DOI 10.5281/zenodo.2561881</t>
  </si>
  <si>
    <t>YSTAFDB_flows1</t>
  </si>
  <si>
    <t>csv file</t>
  </si>
  <si>
    <t>Numbers copied from original source (csv) to Excel spreadsheet</t>
  </si>
  <si>
    <t>mining, metal industries, manufacturing, use phase, waste management</t>
  </si>
  <si>
    <t>ores, metals, products, Eol products, scrap, waste</t>
  </si>
  <si>
    <t>Silver</t>
  </si>
  <si>
    <t>1997, 2000</t>
  </si>
  <si>
    <t>Single year values</t>
  </si>
  <si>
    <t>Silver flows, silver cycle, from Yale stocks and flows database</t>
  </si>
  <si>
    <t>YSTAFDB, MFA, metal cycle, material, resource, silver</t>
  </si>
  <si>
    <t>Ag (Silver)</t>
  </si>
  <si>
    <t>Value(m,g,o,O,d,D,t)</t>
  </si>
  <si>
    <t>The mass of flow of silver in lithosphere economic resources output from environment in China to production of engineering materials in China in 1997 was 1672 Mg/yr.</t>
  </si>
  <si>
    <t>[Layer] of [data type] of [aspect1] in [aspect2] from [aspect6] in [aspect4] to [aspect7] in [aspect5] in [aspect3] is [Value].</t>
  </si>
  <si>
    <t>YSTAFDB_flows2</t>
  </si>
  <si>
    <t>YSTAFDB_flows3</t>
  </si>
  <si>
    <t>YSTAFDB_flows4</t>
  </si>
  <si>
    <t>YSTAFDB_flows5</t>
  </si>
  <si>
    <t>YSTAFDB_flows6</t>
  </si>
  <si>
    <t>YSTAFDB_flows7</t>
  </si>
  <si>
    <t>YSTAFDB_flows8</t>
  </si>
  <si>
    <t>YSTAFDB_flows9</t>
  </si>
  <si>
    <t>YSTAFDB_flows10</t>
  </si>
  <si>
    <t>YSTAFDB_flows11</t>
  </si>
  <si>
    <t>YSTAFDB_flows12</t>
  </si>
  <si>
    <t>YSTAFDB_flows13</t>
  </si>
  <si>
    <t>Al (Aluminum)</t>
  </si>
  <si>
    <t>Cr (Chromium)</t>
  </si>
  <si>
    <t>Chromium</t>
  </si>
  <si>
    <t>Cu (Copper)</t>
  </si>
  <si>
    <t>Copper</t>
  </si>
  <si>
    <t>1900-2009</t>
  </si>
  <si>
    <t>1994, 2000</t>
  </si>
  <si>
    <t>Aluminium flows, aluminium cycle, from Yale stocks and flows database</t>
  </si>
  <si>
    <t>YSTAFDB, MFA, metal cycle, material, resource, aluminium</t>
  </si>
  <si>
    <t>chromium flows, chromium cycle, from Yale stocks and flows database</t>
  </si>
  <si>
    <t>YSTAFDB, MFA, metal cycle, material, resource, chromium</t>
  </si>
  <si>
    <t>YSTAFDB, MFA, metal cycle, material, resource, copper</t>
  </si>
  <si>
    <t>copper flows, copper cycle, from Yale stocks and flows database</t>
  </si>
  <si>
    <t>Iron</t>
  </si>
  <si>
    <t>Nickel</t>
  </si>
  <si>
    <t>Phosphorus</t>
  </si>
  <si>
    <t>Fe (Iron)</t>
  </si>
  <si>
    <t>Ni (Nickel)</t>
  </si>
  <si>
    <t>P (Phosphorus)</t>
  </si>
  <si>
    <t>iron flows, iron cycle, from Yale stocks and flows database</t>
  </si>
  <si>
    <t>YSTAFDB, MFA, metal cycle, material, resource, iron</t>
  </si>
  <si>
    <t>Nickel flows, nickel cycle, from Yale stocks and flows database</t>
  </si>
  <si>
    <t>YSTAFDB, MFA, metal cycle, material, resource, nickel</t>
  </si>
  <si>
    <t>phosphorus flows, phosphorus cycle, from Yale stocks and flows database</t>
  </si>
  <si>
    <t>YSTAFDB, MFA, metal cycle, material, resource, phosphorus</t>
  </si>
  <si>
    <t>Pb (Lead)</t>
  </si>
  <si>
    <t>lead flows, lead cycle, from Yale stocks and flows database</t>
  </si>
  <si>
    <t>YSTAFDB, MFA, metal cycle, material, resource, lead</t>
  </si>
  <si>
    <t>Lead</t>
  </si>
  <si>
    <t>1800-2005</t>
  </si>
  <si>
    <t>1961-2013</t>
  </si>
  <si>
    <t>Single year values, annual</t>
  </si>
  <si>
    <t>1900-2004</t>
  </si>
  <si>
    <t>Se (Selenium)</t>
  </si>
  <si>
    <t>Stainless steel (General stainless steel alloy)</t>
  </si>
  <si>
    <t>Selenium</t>
  </si>
  <si>
    <t>stainless steel</t>
  </si>
  <si>
    <t>selenium flows, selenium cycle, from Yale stocks and flows database</t>
  </si>
  <si>
    <t>YSTAFDB, MFA, metal cycle, material, resource, selenium</t>
  </si>
  <si>
    <t>YSTAFDB, MFA, metal cycle, material, resource, stainless steel</t>
  </si>
  <si>
    <t>stainless steel flows, stainless steel cycle, from Yale stocks and flows database</t>
  </si>
  <si>
    <t>2000, 2005</t>
  </si>
  <si>
    <t>1940-2010</t>
  </si>
  <si>
    <t>Te (Tellurium)</t>
  </si>
  <si>
    <t>Zn (Zinc)</t>
  </si>
  <si>
    <t>tellurium flows, tellurium cycle, from Yale stocks and flows database</t>
  </si>
  <si>
    <t>YSTAFDB, MFA, metal cycle, material, resource, tellurium</t>
  </si>
  <si>
    <t>YSTAFDB, MFA, metal cycle, material, resource, zinc</t>
  </si>
  <si>
    <t>zinc flows, zinc cycle, from Yale stocks and flows database</t>
  </si>
  <si>
    <t>Tellurium</t>
  </si>
  <si>
    <t>Zinc</t>
  </si>
  <si>
    <t>1994, 2000, 2010</t>
  </si>
  <si>
    <t>minor metal flows, minor metal cycles, from Yale stocks and flows database</t>
  </si>
  <si>
    <t>YSTAFDB_stocks1</t>
  </si>
  <si>
    <t>environment, metal industries, manufacturing, use phase, waste management</t>
  </si>
  <si>
    <t>Multiple countries</t>
  </si>
  <si>
    <t>USA, Italy, China</t>
  </si>
  <si>
    <t>One global aggregate</t>
  </si>
  <si>
    <t>1900-2012</t>
  </si>
  <si>
    <t>Aluminium stocks, aluminium cycle, from Yale stocks and flows database</t>
  </si>
  <si>
    <t>Value(m,r,p,t)</t>
  </si>
  <si>
    <t>The mass of stock of aluminium in use in consumer durables in USA in 1975 was 5008209.657 Mg.</t>
  </si>
  <si>
    <t>[Layer] of [data type] of [aspect1] in [aspect4] in [aspect3] in [aspect2] is [Value].</t>
  </si>
  <si>
    <t>1929-2012</t>
  </si>
  <si>
    <t>YSTAFDB_stocks2</t>
  </si>
  <si>
    <t>YSTAFDB_stocks3</t>
  </si>
  <si>
    <t>YSTAFDB_stocks4</t>
  </si>
  <si>
    <t>YSTAFDB_stocks5</t>
  </si>
  <si>
    <t>YSTAFDB_stocks6</t>
  </si>
  <si>
    <t>copper stocks, copper cycle, from Yale stocks and flows database</t>
  </si>
  <si>
    <t>1800-2012</t>
  </si>
  <si>
    <t>iron stocks, iron cycle, from Yale stocks and flows database</t>
  </si>
  <si>
    <t>phosphorus</t>
  </si>
  <si>
    <t>phosphorus stocks, phosphorus cycle, from Yale stocks and flows database</t>
  </si>
  <si>
    <t>1947-2012</t>
  </si>
  <si>
    <t>zinc stocks, zinc cycle, from Yale stocks and flows database</t>
  </si>
  <si>
    <t>minor metal stocks, minor metal cycles, from Yale stocks and flows database</t>
  </si>
  <si>
    <t>W (Tungsten), Pb (Lead), Cr (Chromium), Co (Cobalt), Sb (Antimony), Cd (Cadmium), Au (Gold), Mg (Magnesium), Mn (Manganese), Hg (Mercury), Mo (Molybdenum), Ni (Nickel), Pd (Palladium), Pt (Platinum), Rh (Rhodium), Ag (Silver), Stainless steel (General stainless steel alloy), Steel, Sn (Tin), Ti (Titanium), non-metal, Ga (Gallium), Ge (Germanium), Re (Rhenium), La (Lanthanum), Ce (Cerium), Pr (Praseodymium), Nd (Neodymium), Sm (Samarium), Eu (Europium), Gd (Gadolinium), Tb (Terbium), Dy (Dysprosium), Y (Yttrium), Ho (Holmium), Er (Erbium), Tm (Thulium), Yb (Ytterbium), Lu (Lutetium), Li (Lithium), Be (Beryllium), B (Boron), Sc (Scandium), V (Vanadium), As (Arsenic), Se (Selenium), Sr (Strontium), Zr (Zirconium), Nb (Niobium), Ru (Ruthenium), In (Indium), Te (Tellurium), Hf (Hafnium), Ta (Tantalum), Ir (Iridium), Tl (Thallium), Bi (Bismuth), Cs (Caesium)</t>
  </si>
  <si>
    <t>YSTAFDB, MFA, metal cycle, material, resource, aluminium, stocks</t>
  </si>
  <si>
    <t>YSTAFDB, MFA, metal cycle, material, resource, copper, stocks</t>
  </si>
  <si>
    <t>YSTAFDB, MFA, metal cycle, material, resource, iron, stocks</t>
  </si>
  <si>
    <t>YSTAFDB, MFA, metal cycle, material, resource, phosphorus, stocks</t>
  </si>
  <si>
    <t>YSTAFDB, MFA, metal cycle, material, resource, zinc, stocks</t>
  </si>
  <si>
    <t>YSTAFDB_stockchanges</t>
  </si>
  <si>
    <t>metal stock changes, net added, withdrawn, and deposited, from Yale stocks and flows database</t>
  </si>
  <si>
    <t>Value(m,r,p,t,L)</t>
  </si>
  <si>
    <t>The mass of stock change for layer 'withdrawn' of silver in environment, lithosphere economic resources in Japan in 1997 was 109 Mg.</t>
  </si>
  <si>
    <t>[Layer] of [data type] for layer [aspect5] of [aspect1] in [aspect4] in [aspect3] in [aspect2] is [Value].</t>
  </si>
  <si>
    <t>Paper Indonesia Wood stocks Rio ARYAPRATAMA</t>
  </si>
  <si>
    <t>DOI 10.1016/j.resconrec.2019.06.010</t>
  </si>
  <si>
    <t>Rio ARYAPRATAMA</t>
  </si>
  <si>
    <t>SysDef_Aryapratama_Wood_Indonesia_2019.png</t>
  </si>
  <si>
    <t>Wood_MFA_Indonesia_Aryapratama_2019</t>
  </si>
  <si>
    <t>stocks, flows, product lifetime</t>
  </si>
  <si>
    <t>processes relevant for wood, economy-wide</t>
  </si>
  <si>
    <t>6 product groups: paper, furniture, buildings, infrastructure, agriculture, other</t>
  </si>
  <si>
    <t>ca. 11 material and product groups</t>
  </si>
  <si>
    <t>1850-2016</t>
  </si>
  <si>
    <t>annual values</t>
  </si>
  <si>
    <t>Estimates of in-use carbon stocks of wood -based materials in Indonesia (Mt-C) 1850-2016, product lifetime, and MFA systems fully quantified, 1961-2016</t>
  </si>
  <si>
    <t>Wood, carbon, Indonesia, MFA, forestry, technosphere, inflow-driven modelling</t>
  </si>
  <si>
    <t>Stock change</t>
  </si>
  <si>
    <t>Example6</t>
  </si>
  <si>
    <t>Example7</t>
  </si>
  <si>
    <t>Example8</t>
  </si>
  <si>
    <t>Example9</t>
  </si>
  <si>
    <t>Global_Material_Stocks_Assessment_Krausmann_2017</t>
  </si>
  <si>
    <t>Global_Steel_Cycle_Milford_Pauliuk_2013</t>
  </si>
  <si>
    <t>Global_Steel_Cycle_Sankey_Cullen_2012</t>
  </si>
  <si>
    <t>Global_Material_Stock_Flow_Wiedenhofer_2019</t>
  </si>
  <si>
    <t>stock and flow data for materials</t>
  </si>
  <si>
    <t>stock and flow data for materials, intensive process coefficients</t>
  </si>
  <si>
    <t>flows</t>
  </si>
  <si>
    <t>material flows, in-use stocks</t>
  </si>
  <si>
    <t>material flows, in-use stocks, process coefficients</t>
  </si>
  <si>
    <t>material flows</t>
  </si>
  <si>
    <t>one aggregate process (global economy)</t>
  </si>
  <si>
    <t>4 end-use applications of steel, 1 aggregate group for primary steel and steel scrap, resp.</t>
  </si>
  <si>
    <t>All solid materials</t>
  </si>
  <si>
    <t>11 aggregate material groups</t>
  </si>
  <si>
    <t>14 aggregate material groups</t>
  </si>
  <si>
    <t>Global, some results for 3 world regions</t>
  </si>
  <si>
    <t>One aggregate global region, some results for 3 world regions</t>
  </si>
  <si>
    <t>2009-2100</t>
  </si>
  <si>
    <t>1900-2014</t>
  </si>
  <si>
    <t>Global extraction of primary materials, in-use stocks</t>
  </si>
  <si>
    <t>Scenario models for the global steel cycle, 2009-2100, with different grades of material and energy efficiency</t>
  </si>
  <si>
    <t>Global material stocks and flows, from 1900 to 2014. Annual flows of primary and secondary processed materials, processed materials by use, in-use stocks and end-of-life waste from stocks.</t>
  </si>
  <si>
    <t>MFA, DE, primary material input, global, raw materian input, in-use stocks, material stocks, outflow</t>
  </si>
  <si>
    <t>steel, iron, cycle, MFA, material efficiency, climate change mitigation, resources, recycling</t>
  </si>
  <si>
    <t>MFA, ew-MFA, primary material input, global, raw materian input, in-use stocks, material stocks, outflow, end-of-life waste from stocks, processed materials</t>
  </si>
  <si>
    <t>Global_Steel_Cycle_Milford_Pauliuk_2013.png</t>
  </si>
  <si>
    <t>Global_Steel_Cycle_Sankey_Cullen_2012.png</t>
  </si>
  <si>
    <t>Fridolin KRAUSMANN</t>
  </si>
  <si>
    <t>Rachel MILFORD</t>
  </si>
  <si>
    <t>Dominik WIEDENHOFER</t>
  </si>
  <si>
    <t>DOI: 10.1073/pnas.1613773114</t>
  </si>
  <si>
    <t>DOI: 10.1021/es3031424</t>
  </si>
  <si>
    <t>DOI: 10.1016/j.ecolecon.2018.09.010</t>
  </si>
  <si>
    <t>1_F_Ag_Silver_YSTAFDB</t>
  </si>
  <si>
    <t>1_F_Al_Aluminium_YSTAFDB</t>
  </si>
  <si>
    <t>1_F_Cr_Chromium_YSTAFDB</t>
  </si>
  <si>
    <t>1_F_Cu_Copper_YSTAFDB</t>
  </si>
  <si>
    <t>1_F_Fe_Iron_YSTAFDB</t>
  </si>
  <si>
    <t>1_F_Ni_Nickel_YSTAFDB</t>
  </si>
  <si>
    <t>1_F_P_Phosphorus_YSTAFDB</t>
  </si>
  <si>
    <t>1_F_Pb_Lead_YSTAFDB</t>
  </si>
  <si>
    <t>1_F_Se_Selenium_YSTAFDB</t>
  </si>
  <si>
    <t>1_F_stainless_steel_YSTAFDB</t>
  </si>
  <si>
    <t>1_F_Te_Tellurium_YSTAFDB</t>
  </si>
  <si>
    <t>1_F_Zn_Zinc_YSTAFDB</t>
  </si>
  <si>
    <t>1_F_Minor_Elements_YSTAFDB</t>
  </si>
  <si>
    <t>2_S_Al_Aluminium_YSTAFDB</t>
  </si>
  <si>
    <t>2_S_Cu_Copper_YSTAFDB</t>
  </si>
  <si>
    <t>2_S_Fe_Iron_YSTAFDB</t>
  </si>
  <si>
    <t>2_S_P_Phosphorus_YSTAFDB</t>
  </si>
  <si>
    <t>2_S_Zn_Zinc_YSTAFDB</t>
  </si>
  <si>
    <t>2_S_Minor_Elements_YSTAFDB</t>
  </si>
  <si>
    <t>2_DS_All_Elements_YSTAFDB</t>
  </si>
  <si>
    <t>YSTAFDB_flows14</t>
  </si>
  <si>
    <t>1_F_Cs_Caesium_YSTAFDB</t>
  </si>
  <si>
    <t>Caesium</t>
  </si>
  <si>
    <t>Radioactivity</t>
  </si>
  <si>
    <t>1986-2000</t>
  </si>
  <si>
    <t>Single country</t>
  </si>
  <si>
    <t>caesium flows, caesium cycle, from Yale stocks and flows database</t>
  </si>
  <si>
    <t>YSTAFDB, MFA, metal cycle, material, resource, caesium</t>
  </si>
  <si>
    <t>Cs (Caesium)</t>
  </si>
  <si>
    <t>YSTAFDB_stocks7</t>
  </si>
  <si>
    <t>YSTAFDB_stockchanges_caesium</t>
  </si>
  <si>
    <t>2_DS_Cs_Caesium_YSTAFDB</t>
  </si>
  <si>
    <t>YSTAFDB, MFA, metal cycle, material, resource, caesium, stocks</t>
  </si>
  <si>
    <t>caesium stocks, caesium cycle, from Yale stocks and flows database</t>
  </si>
  <si>
    <t>YSTAFDB, MFA, metal cycle, material, resource, stock changes, Cs (Caesium)</t>
  </si>
  <si>
    <t>caesium stock changes, net added, withdrawn, and deposited, from Yale stocks and flows database</t>
  </si>
  <si>
    <t>2_S_Cs_Caesium_YSTAFDB</t>
  </si>
  <si>
    <t>Co (Cobalt), non-metal, W (Tungsten), Ga (Gallium), Ge (Germanium), Re (Rhenium), Pt (Platinum), La (Lanthanum), Ce (Cerium), Pr (Praseodymium), Nd (Neodymium), Sm (Samarium), Eu (Europium), Gd (Gadolinium), Tb (Terbium), Dy (Dysprosium), Y (Yttrium), Ho (Holmium), Er (Erbium), Tm (Thulium), Yb (Ytterbium), Lu (Lutetium), Pd (Palladium), Rh (Rhodium), Ru (Ruthenium), Ir (Iridium)</t>
  </si>
  <si>
    <t>Ag (Silver), Co (Cobalt), Cu (Copper), Zn (Zinc), Al (Aluminum), non-metal, Pb (Lead), W (Tungsten), Ga (Gallium), Ge (Germanium), Re (Rhenium), Cr (Chromium), Pt (Platinum), La (Lanthanum), Ce (Cerium), Pr (Praseodymium), Nd (Neodymium), Sm (Samarium), Eu (Europium), Gd (Gadolinium), Tb (Terbium), Dy (Dysprosium), Y (Yttrium), Se (Selenium), Te (Tellurium), Fe (Iron), Stainless steel (General stainless steel alloy), Ni (Nickel)</t>
  </si>
  <si>
    <t>Co, non-metal, W, Ga, Ge, Re, Pt, La, Ce, Pr, Nd, Sm, Eu, Gd, Tb, Dy, Y, Ho, Er, Tm, Yb, Lu, Pd, Rh, Ru, Ir</t>
  </si>
  <si>
    <t>W, Pb, Cr, Co, Sb, Cd, Au, Mg, Mn, Hg, Mo, Ni, Pd, Pt, Rh, Ag, Stainless steel, Steel, Sn, Ti, non-metal, Ga, Ge, Re, La, Ce, Pr, Nd, Sm, Eu, Gd, Tb, Dy, Y, Ho, Er, Tm, Yb, Lu, Li, Be, B, Sc, V, As, Se, Sr, Zr, Nb, Ru, In, Te, Hf, Ta, Ir, Tl, Bi</t>
  </si>
  <si>
    <t>Ag, Co, Cu, Zn, Al, non-metal, Pb, W, Ga, Ge, Re, Cr, Pt, La, Ce, Pr, Nd, Sm, Eu, Gd, Tb, Dy, Y, Se, Te, Fe, Stainless steel, Ni</t>
  </si>
  <si>
    <t>YSTAFDB, MFA, metal cycle, material, resource, Co, non-metal, W, Ga, Ge, Re, Pt, La, Ce, Pr, Nd, Sm, Eu, Gd, Tb, Dy, Y, Ho, Er, Tm, Yb, Lu, Pd, Rh, Ru, Ir</t>
  </si>
  <si>
    <t>YSTAFDB, MFA, metal cycle, material, resource, stock changes, Ag, Co, Cu, Zn, Al, non-metal, Pb, W, Ga, Ge, Re, Cr, Pt, La, Ce, Pr, Nd, Sm, Eu, Gd, Tb, Dy, Y, Se, Te, Fe, Stainless steel, Ni</t>
  </si>
  <si>
    <t>YSTAFDB, MFA, metal cycle, material, resource, stocks, minor elements, minor metals</t>
  </si>
  <si>
    <t>RECC-Global_v2_4</t>
  </si>
  <si>
    <t>RECC</t>
  </si>
  <si>
    <t xml:space="preserve">resource efficiency; dynamic MFA; </t>
  </si>
  <si>
    <t>https://cie.research.yale.edu/research/resource-efficiency-climate-change</t>
  </si>
  <si>
    <t xml:space="preserve">RECC = Resource Efficiency and Climate Change mitigation </t>
  </si>
  <si>
    <t>The Group of Seven (G7) member countries requested that the International Resource Panel conduct an assessment of the potential contribution of Resource Efficiency to Climate Change mitigation (RECC). The RECC model and database was developed for that purpose, and the main quantitative results are archived here.</t>
  </si>
  <si>
    <t>stocks, flows</t>
  </si>
  <si>
    <t>whole economy, with focus on material production, use phase, and waste management</t>
  </si>
  <si>
    <t>processes relevant for materials, economy-wide</t>
  </si>
  <si>
    <t>residential buildings, non-residential buildings, passenger vehicles, other vehicles, infrastructure, industry assets, appliances</t>
  </si>
  <si>
    <t>13 residential building, 24 non-residential building, and 6 passenger vehicle types</t>
  </si>
  <si>
    <t>13 material groups: construction grade steel, automotive steel, stainless steel, cast iron, wrought Al, cast Al, copper electric grade, plastics, cement, wood and wood products, zinc, concrete, concrete aggregates</t>
  </si>
  <si>
    <t>materials and material groups whose production is relevant for GHG emissions</t>
  </si>
  <si>
    <t>20 countries and world regions</t>
  </si>
  <si>
    <t>2016-2060</t>
  </si>
  <si>
    <t>Future material cycle data and energy and GHG extensions for end-use sectors under different socioeconomic, climate policy, and resource efficiency scenarios</t>
  </si>
  <si>
    <t>resource efficiency; dynamic MFA; steel; aluminium; cement;</t>
  </si>
  <si>
    <t>https://doi.org/10.1038/s41467-021-25300-4</t>
  </si>
  <si>
    <t>RECC-Global_v2_5</t>
  </si>
  <si>
    <t>residential buildings, non-residential buildings, passenger vehicles</t>
  </si>
  <si>
    <t>RECC-Global_v2_6</t>
  </si>
  <si>
    <t>27 EU countries, plus another 12 countries and world regions</t>
  </si>
  <si>
    <t>Project 1</t>
  </si>
  <si>
    <t>Project 2</t>
  </si>
  <si>
    <t>Tbd. (update will follow)</t>
  </si>
  <si>
    <t>7_CT_ISO_Regions_to_RECC_v2.4_Regions</t>
  </si>
  <si>
    <t>correspondence_table</t>
  </si>
  <si>
    <t>Correspondence</t>
  </si>
  <si>
    <t>noe</t>
  </si>
  <si>
    <t>EU27+UK</t>
  </si>
  <si>
    <t>single country</t>
  </si>
  <si>
    <t>Mapping between the ISO singly country and the RECC movel v2.4 9 EU27+UK countries/regions classifications.</t>
  </si>
  <si>
    <t>ISO 3166; RECC; regions;</t>
  </si>
  <si>
    <t>Used for aggregating and disaggregating RECC model results.</t>
  </si>
  <si>
    <t>Value(r1,r2)</t>
  </si>
  <si>
    <t>r1 corresponds to r2.</t>
  </si>
  <si>
    <t>[aspect1] corresponds to [aspect2]. [Value] and [layer] carry no meaning.</t>
  </si>
  <si>
    <t>https://doi.org/10.5281/zenodo.4671643</t>
  </si>
  <si>
    <t>Excel table</t>
  </si>
  <si>
    <t>Correspondence_properties = {"symmetric" : True, "class1_all" : False,  "class2_all" : False, "one_to_one" : False, "one_to_n" : False, "n_to_one": False}</t>
  </si>
  <si>
    <t>3_MC_Buildings_China_Zhang_2022</t>
  </si>
  <si>
    <t>as published</t>
  </si>
  <si>
    <t>3 end use sectors</t>
  </si>
  <si>
    <t>Residential, public, and industrial buildings</t>
  </si>
  <si>
    <t>Three buildings types, four age-cohort ranges for China</t>
  </si>
  <si>
    <t>6 materials</t>
  </si>
  <si>
    <t>1900-2020</t>
  </si>
  <si>
    <t>four age-cohort ranges</t>
  </si>
  <si>
    <t>Material content of residential, industrial, and public buildings in China, compiled by Zhang et al., DOI 10.1111/jiec.13332.</t>
  </si>
  <si>
    <t>material; material content; residential buildings; urban; China; industrial buildings; public buildings;</t>
  </si>
  <si>
    <t>Value(r,T,c,m)</t>
  </si>
  <si>
    <t>Residential buildings, China, in age-cohort after 2000, have a construction steel content of 42.9 kg/m2.</t>
  </si>
  <si>
    <t>[Layer] of [data type] of [Aspect 4] in [Aspect 2] in [Aspect 1] built in [Aspect 3] is [Value].</t>
  </si>
  <si>
    <t>© by the International Society for Industrial Ecology</t>
  </si>
  <si>
    <t>Ruirui Zhang</t>
  </si>
  <si>
    <t>DOI: 10.1111/jiec.13332</t>
  </si>
  <si>
    <t>2_P_RECC_Population_SSP_32R_V2.2</t>
  </si>
  <si>
    <t>V2.2</t>
  </si>
  <si>
    <t>EU</t>
  </si>
  <si>
    <t>9 EU countries and regions</t>
  </si>
  <si>
    <t>2015-2060</t>
  </si>
  <si>
    <t>future population for the EU in 6 countries and 3 regions, by scenario, from RECC v2.4 model database</t>
  </si>
  <si>
    <t>population; future; scenario; EU;</t>
  </si>
  <si>
    <t>Scenario models</t>
  </si>
  <si>
    <t>Value(t,r,S)</t>
  </si>
  <si>
    <t>Population of France in 2050 for SSP1 scenario is 70,608998 million.</t>
  </si>
  <si>
    <t>[Layer] of [data type] of [Aspect 2] in [Aspect 1] for [Aspect 3] is [Value].</t>
  </si>
  <si>
    <t>Numbers extracted from RECC v2.4 database</t>
  </si>
  <si>
    <t>2022 update</t>
  </si>
  <si>
    <t>upload complete</t>
  </si>
  <si>
    <t>2_IUS_ResidentlBldngs_RECCv2.4</t>
  </si>
  <si>
    <t>v2.4</t>
  </si>
  <si>
    <t>Constructed floor area</t>
  </si>
  <si>
    <t>aggregate residential building stock</t>
  </si>
  <si>
    <t>RECC v2.4 model input data for the residential building stock (useful floor area), by region. Constructed floor area is a term created by the EU HotMaps project to indicate the total built floor area, which is relevant for the material content.</t>
  </si>
  <si>
    <t>residential building stock; RECC; in-use stock;</t>
  </si>
  <si>
    <t>end-use sector</t>
  </si>
  <si>
    <t>strategy</t>
  </si>
  <si>
    <t>Value(t,r,U,p,S,v)</t>
  </si>
  <si>
    <t>In-use stock of residential buildings in Global region in use phase for LED scenario for Baseline Strategy for 2040 is 237486.4 km².</t>
  </si>
  <si>
    <t>[Layer] of [data type] of [Aspect 2] in [Aspect 3] in [Aspect 1] for [Aspect 4] for [Aspect 5] in [Aspect 6] is [Value].</t>
  </si>
  <si>
    <t>https://doi.org/10.5281/zenodo.4698619</t>
  </si>
  <si>
    <t>2022-11-16</t>
  </si>
  <si>
    <t>Numbers copied from original sources (excel spreadsheet) with script ODYM_RECC_Export_IEDC.py</t>
  </si>
  <si>
    <t>1_F_Function_passenger_vehicles_RECCv2.4</t>
  </si>
  <si>
    <t>by end-use sector: passenger vehicles in use</t>
  </si>
  <si>
    <t>one aggregate fleet-wide indicator</t>
  </si>
  <si>
    <t>20 countries and regions</t>
  </si>
  <si>
    <t>Function, measured in passenger-km, provided by the passenger vehicle fleet in different scenarios.</t>
  </si>
  <si>
    <t>passenger kilometers; person kilometers; passenger vehicles; service; function</t>
  </si>
  <si>
    <t>Dataset UUID: eb5b84f4-b288-46ef-a3cc-eeb9737dbfb0, copy of RECCv2.4 database parameter 1_F_Function_Future_V1.2</t>
  </si>
  <si>
    <t>Value(V,U,r,t,S)</t>
  </si>
  <si>
    <t>Service layer of flow of passenger-km from passenger vehicles in USA in 2020 for SSP1 scenario are 21493,89 pkm/person/yr.</t>
  </si>
  <si>
    <t>[Layer] of [data type] of [Aspect 1] from [Aspect 2] in [Aspect 3] in [Aspect 4] for [Aspect 5] is [Value].</t>
  </si>
  <si>
    <t>2022-11-13</t>
  </si>
  <si>
    <t>1_F_GHG_Emissions_GCP_2020</t>
  </si>
  <si>
    <t>economy-wide</t>
  </si>
  <si>
    <t>economy as one aggregated process</t>
  </si>
  <si>
    <t>231 countries and regions</t>
  </si>
  <si>
    <t>1959-2020</t>
  </si>
  <si>
    <t>Fossil CO2 emissions by country (territorial), compiled by the Global Carbon Project, in mass of carbon per year.</t>
  </si>
  <si>
    <t>CO2; fossil; Global Carbon Project;</t>
  </si>
  <si>
    <t xml:space="preserve">All values in million tonnes of carbon per year. For values in million tonnes of CO2 per year, multiply the values below by 3.664. Source: Global Carbon Project. (2020). Supplemental data of Global Carbon Budget 2020 (Version 1.0). Global Carbon Project. https://doi.org/10.18160/gcp-2020 </t>
  </si>
  <si>
    <t>extension</t>
  </si>
  <si>
    <t>Value(X,o,d,t,r)</t>
  </si>
  <si>
    <t>Mass of flow of GWP100, fossil carbon emissions in India from all (entire economy) to natural environment in 1985 are 108,61156444392 MtC/yr.</t>
  </si>
  <si>
    <t>[Layer] of [data type] of [Aspect 2] from [Aspect 3] to [Aspect 4] for [Aspect 5] in [Aspect 1] is [Value].</t>
  </si>
  <si>
    <t>Pierre Friedlingstein @ Global Carbon Project</t>
  </si>
  <si>
    <t>https://doi.org/10.18160/GCP-2020</t>
  </si>
  <si>
    <t>1_F_MaterialProduction_RECCv2.4</t>
  </si>
  <si>
    <t>material production</t>
  </si>
  <si>
    <t>primary and secondary production by material</t>
  </si>
  <si>
    <t>six major materials</t>
  </si>
  <si>
    <t>steel, cement, aluminium, copper, plastics, wood</t>
  </si>
  <si>
    <t>RECC v2.4 model results for material production for demand in certain region, primary and secondary, for low-carbon energy supply system.</t>
  </si>
  <si>
    <t>material production; primary material production; secondary material production; recycling;</t>
  </si>
  <si>
    <t>Data transfer file generated with export script from recc model committ aa3e824 and config file Export_Define_RECC_v2.4_archive_2022_11_13.xlsx.</t>
  </si>
  <si>
    <t>Value(t,r,m,U,o,d,S,v)</t>
  </si>
  <si>
    <t>Mass of flow of steel in India for passenger vehicles from primary production to manufacturing for SSP2 for FYI_FSD_EoL_MSU_RUS_LTE in 2030 is 9.73905 Mt/yr.</t>
  </si>
  <si>
    <t>[Layer] of [data type] of [Aspect 2] in [Aspect 1] for [Aspect 3] from [Aspect 4] to [Aspect 5] for [Aspect 6] for [Aspect 7] in [Aspect 8] is [Value].</t>
  </si>
  <si>
    <t>1_F_GHG_BySector_RECCv2.4</t>
  </si>
  <si>
    <t>all</t>
  </si>
  <si>
    <t>major industrial and end-use processes</t>
  </si>
  <si>
    <t>all products per end-use sector</t>
  </si>
  <si>
    <t>13 for residential buildings, 24 for non-residential buildings, 6 vehicle drive technologies</t>
  </si>
  <si>
    <t>RECC v2.4 model results for system-wide and use-phase GHG emissions by end-use sector, for low-carbon energy supply system</t>
  </si>
  <si>
    <t>GHG emissions; GHG emissions by end-use sector;</t>
  </si>
  <si>
    <t>Value(t,X,r,U,o,d,S,v)</t>
  </si>
  <si>
    <t>Mass of flow of GWP100 in India for passenger vehicles from use phase to natural environment for LED for FYI_FSD_EoL_MSU_RUS_LTE in 2025 is 41.8045 Mt/yr.</t>
  </si>
  <si>
    <t>[Layer] of [data type] of [Aspect 2] for [Aspect 3] from [Aspect 4] to [Aspect 5] for [Aspect 6] for [Aspect 7] in [Aspect 1] in [Aspect 8] is [Value].</t>
  </si>
  <si>
    <t>1_F_MaterialFlows_RECCv2.4</t>
  </si>
  <si>
    <t>material fabrication scrap, end-of-life flows, and re-use</t>
  </si>
  <si>
    <t>RECC v2.4 model results for material fabrication scrap, end-of-life flows, and re-use, for low-carbon energy supply system.</t>
  </si>
  <si>
    <t>material fabrication scrap; end-of-life flows; re-use</t>
  </si>
  <si>
    <t>Value(t,r,m,g,U,o,d,S,v)</t>
  </si>
  <si>
    <t>Mass of flow of wrought aluminium in products for re-use in Global South for passenger vehicles and residential buildings from use phase to use phase for SSP2 for Baseline in 2030 is 0.3964609 Mt/yr.</t>
  </si>
  <si>
    <t>[Layer] of [data type] of [Aspect 2] in [Aspect 3] in [Aspect 1] for [Aspect 4] from [Aspect 5] to [Aspect 6] for [Aspect 7] for [Aspect 8] in [Aspect 9] is [Value].</t>
  </si>
  <si>
    <t>RECC_SysDef_Model_v2_4.png</t>
  </si>
  <si>
    <t>RECC_SysDef_Model_v2_5.png</t>
  </si>
  <si>
    <t>Our World in Data</t>
  </si>
  <si>
    <t>Our World in Data (OWID) is a scientific online publication that focuses on large global problems such as poverty, disease, hunger, climate change, war, existential risks, and inequality.</t>
  </si>
  <si>
    <t>OWID</t>
  </si>
  <si>
    <t>https://ourworldindata.org/</t>
  </si>
  <si>
    <t>OWID = Our World in Data</t>
  </si>
  <si>
    <t>energy; economics; poverty; disease; hunger; climate change; war; existential risks; inequality;</t>
  </si>
  <si>
    <t>OWID_Energy</t>
  </si>
  <si>
    <t>EUROSTAT_CE_Indicators</t>
  </si>
  <si>
    <t>EUROSTAT</t>
  </si>
  <si>
    <t xml:space="preserve">https://ec.europa.eu/eurostat/web/main/data/database </t>
  </si>
  <si>
    <t>Eurostat ('European Statistical Office'; DG ESTAT) is the main provider of statistical information to the institutions of the European Union (EU).</t>
  </si>
  <si>
    <t>EU; statistics;</t>
  </si>
  <si>
    <t>Eurostat = 'European Statistical Office'</t>
  </si>
  <si>
    <t>one aggregate process/supply chain</t>
  </si>
  <si>
    <t>225 countries</t>
  </si>
  <si>
    <t>2000-2022</t>
  </si>
  <si>
    <t>flows, stocks, shares, env. indicators</t>
  </si>
  <si>
    <t>energy, mass, capacity, shares</t>
  </si>
  <si>
    <t>energy flows, capacity stocks, market shares, env. indicators</t>
  </si>
  <si>
    <t>Energy system</t>
  </si>
  <si>
    <t>Electricity, primary energy</t>
  </si>
  <si>
    <t>different resolution levels, from aggregate to specific technology</t>
  </si>
  <si>
    <t>OWID energy statistics</t>
  </si>
  <si>
    <t>energy; electricity; renewables; capacity;</t>
  </si>
  <si>
    <t>Hannah Ritchie, Max Roser and Pablo Rosado</t>
  </si>
  <si>
    <t>Hannah Ritchie, Max Roser and Pablo Rosado (2022) - "Energy". Published online at OurWorldInData.org. Retrieved from: 'https://ourworldindata.org/energy' [Online Resource]</t>
  </si>
  <si>
    <t>https://ourworldindata.org/energy</t>
  </si>
  <si>
    <t>all EU member states, EFTA, UK, and membership candidates</t>
  </si>
  <si>
    <t>EU, Europe</t>
  </si>
  <si>
    <t>per capita flows, trade flows, recycling rates and shares</t>
  </si>
  <si>
    <t>flows, shares, general ratios</t>
  </si>
  <si>
    <t>aggregate economy, municipal sources of waste, households</t>
  </si>
  <si>
    <t>waste, total, packaging, plastic packaging</t>
  </si>
  <si>
    <t>waste materials</t>
  </si>
  <si>
    <t>EUROSTAT key circular economy indicators (selected)</t>
  </si>
  <si>
    <t>waste; circular economy; EUROSTAT; packaging waste; municipal waste; plastic waste;</t>
  </si>
  <si>
    <t>https://ec.europa.eu/eurostat/web/circular-economy/database</t>
  </si>
  <si>
    <t>Eurostat Circular Economy Database</t>
  </si>
  <si>
    <t>© European Union</t>
  </si>
  <si>
    <t>entire industry, waste management</t>
  </si>
  <si>
    <t>Meng_PNAS_2023_Global_Plastics_Pathways_Process_Data</t>
  </si>
  <si>
    <t>unit process inventories, process parameters, yield factors</t>
  </si>
  <si>
    <t>plastic monomer production processes</t>
  </si>
  <si>
    <t>process inventories for ethylene, propylene, and butadiene</t>
  </si>
  <si>
    <t>https://doi.org/10.1073/pnas.221829412</t>
  </si>
  <si>
    <t>Fanran MENG</t>
  </si>
  <si>
    <t>ethylene, propylene, and butadiene</t>
  </si>
  <si>
    <t>2020-2080</t>
  </si>
  <si>
    <t>GNU General Public License v3.0</t>
  </si>
  <si>
    <t>mass, energy, monetary, lifetime, capacity</t>
  </si>
  <si>
    <t>unit process inventories, process parameters, yield factors for ethylene, propylene, and butadiene</t>
  </si>
  <si>
    <t>ethylene; propylene; butadiene; unit process inventories; process parameters; yield factors</t>
  </si>
  <si>
    <t>dataset contains more technologies (ammonia, urea, benzene, etc.) but only the major plastic monomers where converted</t>
  </si>
  <si>
    <t>intensive process properties, extensive process properties</t>
  </si>
  <si>
    <t>one representative value, constant time series</t>
  </si>
  <si>
    <t>4_PY_MaterialCycle_Yield_Charpentier_Poncelet_2022</t>
  </si>
  <si>
    <t>Major material cycle steps</t>
  </si>
  <si>
    <t>3 processes: material production, manufacturing, and remelting</t>
  </si>
  <si>
    <t>all products</t>
  </si>
  <si>
    <t>none (all)</t>
  </si>
  <si>
    <t>61 chemical elements</t>
  </si>
  <si>
    <t>base and technology metals</t>
  </si>
  <si>
    <t>2010-2020</t>
  </si>
  <si>
    <t>Table of production yield, manufacturing yield, manufacturing scrap recovery, and remelting yield for 61 metals.</t>
  </si>
  <si>
    <t xml:space="preserve">production yield; recovery; fabrication scrap; new scrap; prompt scrap; manufacturing scrap; yield loss; fabrication yield; remelting yield; </t>
  </si>
  <si>
    <t>Value(e,m1,m2,p,t,r)</t>
  </si>
  <si>
    <t>The mass ratio of yield coefficient for La (lanthanum) in refined material converted into manufactured goods in manufacturing for 2010-2020 in global regin is 85.83%.</t>
  </si>
  <si>
    <t>[Layer] of [data type] of [Aspect 1] in [Aspect 2] converted into [Aspect 3] in [Aspect 4] in [Aspect 5] in [Aspect 6] is [Value].</t>
  </si>
  <si>
    <t>Alexandre Charpentier Poncelet</t>
  </si>
  <si>
    <t>xlsx, table</t>
  </si>
  <si>
    <t>DOI: 10.1038/s41893-022-00895-8</t>
  </si>
  <si>
    <t>Numbers manually copied from original source (xlsx) to Excel spreadsheet and reformatted</t>
  </si>
  <si>
    <t>2023 update</t>
  </si>
  <si>
    <t>Offset</t>
  </si>
  <si>
    <t>1_F_Domestic_Extraction_Wiedmann_2015</t>
  </si>
  <si>
    <t>entire industrial system</t>
  </si>
  <si>
    <t>one aggregate process (national economy)</t>
  </si>
  <si>
    <t>raw materials</t>
  </si>
  <si>
    <t>four standard raw material groups, plus the aggregate</t>
  </si>
  <si>
    <t>186 countries</t>
  </si>
  <si>
    <t>annual value</t>
  </si>
  <si>
    <t>Domestic extraction (DE) of raw materials for processing or trade, by country, for 2008. All values in dry mass.</t>
  </si>
  <si>
    <t>raw materials; domestic extraction; material flow accounting; biomass; fossil fuels; non-metallic minerals; construction minerals; metal ores;</t>
  </si>
  <si>
    <t>Result of academic IOA work</t>
  </si>
  <si>
    <t>All values in dry mass.</t>
  </si>
  <si>
    <t>Value(t,r,o,d,m)</t>
  </si>
  <si>
    <t>Mass of flow of fossil fuels from natural environment to entire economy in Vietnam in 2008 was 60.868 Mt/yr.</t>
  </si>
  <si>
    <t>[Layer] of [Data Type] of [Aspect 5] from [Aspect 3] to [Aspect 4] in [Aspect 1] in [Aspect 2] is [Value].</t>
  </si>
  <si>
    <t>Thomas O. Wiedman</t>
  </si>
  <si>
    <t>https://www.pnas.org/doi/suppl/10.1073/pnas.1220362110/suppl_file/sd01.xlsx</t>
  </si>
  <si>
    <t>xlsx</t>
  </si>
  <si>
    <t>The Material Footprint of Nations, by Wiedmann, Schandl, Lenzen, Moran, Suh, West &amp; Kanemoto. www.pnas.org/cgi/doi/10.1073/pnas.1220362110</t>
  </si>
  <si>
    <t>https://doi.org/10.1073/pnas.1220362110</t>
  </si>
  <si>
    <t>Numbers copied from paper supplement (xlsx) to Excel upload template</t>
  </si>
  <si>
    <t>2_IUS_Buildings_Infrastructure_Haberl_2021</t>
  </si>
  <si>
    <t>Buildings and infrastructure</t>
  </si>
  <si>
    <t>25 building and infrastructure types</t>
  </si>
  <si>
    <t>13 materials</t>
  </si>
  <si>
    <t>Germany, Austria</t>
  </si>
  <si>
    <t>Material stocks in buildings and infrastructure in Germany and Austria, compiled for Haberl et al. (2021). Values for 2017/2018, reference year chosen: 2017.</t>
  </si>
  <si>
    <t>material; material stock; in-use stock; residential buildings; Germany; Austria; roads; railways; buildings; infrastructure</t>
  </si>
  <si>
    <t>Value(r,t,p,m)</t>
  </si>
  <si>
    <t>The in-use stock of iron/steel in motorway bridge excl. road surface in Germany in 2017 was 2.88 Tg (Mt).</t>
  </si>
  <si>
    <t>[Layer] measuring [data type] of [Aspect 4] in [Aspect 3] in [Aspect 1] in [Aspect 2] is [Value].</t>
  </si>
  <si>
    <t>Helmut Haberl</t>
  </si>
  <si>
    <t>https://doi.org/10.1021/acs.est.0c05642</t>
  </si>
  <si>
    <t>xlsx spreadsheet</t>
  </si>
  <si>
    <t>Numbers manually copied from original source (xlsx supplement) to Excel spreadsheet</t>
  </si>
  <si>
    <t>1_F_Renewable_Electricity_Generation_OWID_2023</t>
  </si>
  <si>
    <t>Energy</t>
  </si>
  <si>
    <t>Electricity generation</t>
  </si>
  <si>
    <t>four main technologies and technology groups</t>
  </si>
  <si>
    <t>Electricity</t>
  </si>
  <si>
    <t>one aggregate commodity group</t>
  </si>
  <si>
    <t>238 countries</t>
  </si>
  <si>
    <t>1965-2022</t>
  </si>
  <si>
    <t>Electricity generation from modern renewable sources</t>
  </si>
  <si>
    <t>electricity; electricity generation; renwable electricity;</t>
  </si>
  <si>
    <t>Value(n,t,r,o,d)</t>
  </si>
  <si>
    <t>Flow of electricity from electricity generation with solar PV to electricity market in USA in 2016 was 54.87 TWh/yr.</t>
  </si>
  <si>
    <t>[data type] of [data layer] of [Aspect 5] from [Aspect 3] to [Aspect 4] in [Aspect 1] in [Aspect 2] is [Value].</t>
  </si>
  <si>
    <t>Hannah Ritchie</t>
  </si>
  <si>
    <t>https://ourworldindata.org/grapher/modern-renewable-prod</t>
  </si>
  <si>
    <t>csv</t>
  </si>
  <si>
    <t>Main source: Ember's dataset contains yearly electricity generation, capacity, emissions, import and demand data for over 200 geographies. Data is collected from multi-country datasets (EIA, Eurostat, BP, UN) as well as national sources (e.g China data from the National Bureau of Statistics). You can find more about Ember's methodology in this document: https://ember-climate.org/app/uploads/2022/07/Ember-Electricity-Data-Methodology.pdf</t>
  </si>
  <si>
    <t>Numbers copied from csv file to Excel upload template</t>
  </si>
  <si>
    <t>3_MC_Buildings_Netherlands_Sprecher_2021</t>
  </si>
  <si>
    <t>2 end use sectors</t>
  </si>
  <si>
    <t>Residential and utility buildings</t>
  </si>
  <si>
    <t>Two buildings types, five age-cohort ranges for the Netherlands</t>
  </si>
  <si>
    <t>14 materials</t>
  </si>
  <si>
    <t>The Netherlands</t>
  </si>
  <si>
    <t>before 1945 - after 2000</t>
  </si>
  <si>
    <t>five age-cohort ranges</t>
  </si>
  <si>
    <t>Material content of residential and utility buildings in the Netherlands, compiled by Sprecher et al. (2021), DOI https://doi.org/10.1111/jiec.13143. Data are from sheet "Overall MI per age cohort" of the supplement.</t>
  </si>
  <si>
    <t>material; material content; residential buildings; utility buildings; the Netherlands</t>
  </si>
  <si>
    <t>Unit is kg/m², not t/m². Data are reported for some of the age-cohort ranges only.</t>
  </si>
  <si>
    <t>component</t>
  </si>
  <si>
    <t>Value(r,T,c,k,m)</t>
  </si>
  <si>
    <t>Residential buildings, high-rise, the Netherlands, in age-cohort 1971-2000, have a brick content of 245.8 kg/m2 for building components and structure.</t>
  </si>
  <si>
    <t>[Layer] of [data type] of [Aspect 5] in [Aspect 4] in [Aspect 2] in [Aspect 1] built in [Aspect 3] is [Value].</t>
  </si>
  <si>
    <t>Benjamin Sprecher</t>
  </si>
  <si>
    <t>https://doi.org/10.1111/jiec.13143</t>
  </si>
  <si>
    <t>Numbers manually copied from original source (xlsx) to Excel spreadsheet</t>
  </si>
  <si>
    <t>one aggregate use phase process</t>
  </si>
  <si>
    <t>ca. 4-12 sectors per metal, 41 different application fields in total.</t>
  </si>
  <si>
    <t>61 metals</t>
  </si>
  <si>
    <t>Value(T,c,e)</t>
  </si>
  <si>
    <t>End-use share of magnesium in construction in time period 2010-2020 is 17%.</t>
  </si>
  <si>
    <t>[Layer] of [data type] of [Aspect 3] of [Aspect 2] going into end use [Aspect 1] is [Value].</t>
  </si>
  <si>
    <t>6_IMI_Material_Footprint_Wiedmann_2015</t>
  </si>
  <si>
    <t>Impact indicators</t>
  </si>
  <si>
    <t>Material footprint, raw material equivalents of imports and exports, by country, for 2008. All values in dry mass.</t>
  </si>
  <si>
    <t>raw materials; material footprint; MF; RME; RMI; raw material equivalent; raw material input; material flow accounting; biomass; fossil fuels; non-metallic minerals; construction minerals; metal ores;</t>
  </si>
  <si>
    <t>impact_indicator</t>
  </si>
  <si>
    <t>Value(I,t,r,m)</t>
  </si>
  <si>
    <t>Mass of material footprint for metal ores for Canada in 2008 was 216.789 Mt/yr.</t>
  </si>
  <si>
    <t>[Layer] of [data type] for [Aspect 3] for [Aspect 4] in [Aspect 2] in [Aspect 1] is [Value].</t>
  </si>
  <si>
    <t>6_PCS_Metals_Watari_2021</t>
  </si>
  <si>
    <t>six chemical elements</t>
  </si>
  <si>
    <t>Fe, Al, Cu, Pn, Zn, Ni</t>
  </si>
  <si>
    <t>222 countries</t>
  </si>
  <si>
    <t>1970-2010</t>
  </si>
  <si>
    <t>Per capita in-use stock of six different chemical elements, 1970-2010, by region, from Watari and Yokoi (2021).</t>
  </si>
  <si>
    <t>in-use stock; dynamic MFA; iron; aluminium; copper; zinc; lead; nickel;</t>
  </si>
  <si>
    <t>Value(r,e,t)</t>
  </si>
  <si>
    <t>Per capita in-use stock of copper, 1999, in Japan, was 134.42 kg/cap.</t>
  </si>
  <si>
    <t>[Layer] of [data type] of [Aspect 2] in [Aspect 1] in [Aspect 3] is [Value].</t>
  </si>
  <si>
    <t>Takuma Watari</t>
  </si>
  <si>
    <t>https://doi.org/10.1016/j.resourpol.2020.101968</t>
  </si>
  <si>
    <t>dataset entry does not exist yet, need to figure out how to create the custom classification</t>
  </si>
  <si>
    <t>6_MIP_EUROSTAT_circular_material_use_rate</t>
  </si>
  <si>
    <t>update_24-01-2023</t>
  </si>
  <si>
    <t>Misc_intensive</t>
  </si>
  <si>
    <t>entire economy</t>
  </si>
  <si>
    <t>one aggregate economic process</t>
  </si>
  <si>
    <t>all materials</t>
  </si>
  <si>
    <t>one aggregate material group</t>
  </si>
  <si>
    <t>EU, UK</t>
  </si>
  <si>
    <t>all EU member states and the UK</t>
  </si>
  <si>
    <t>2004-2022</t>
  </si>
  <si>
    <t>Circular material use rate, share of recyclable material in total material use, indicator cei_srm030. Definition: The circular material use, also known as circularity rate is defined as the ratio of the circular use of materials to the overall material use. The overall material use is measured by summing up the aggregate domestic material consumption (DMC) and the circular use of materials. DMC is defined in economy-wide material flow accounts. The circular use of materials is approximated by the amount of waste recycled in domestic recovery plants minus imported waste destined for recovery plus exported waste destined for recovery abroad.</t>
  </si>
  <si>
    <t>circular material use rate; EU; recycling; recycled content; cei_srm030</t>
  </si>
  <si>
    <t>contains the following dataset (last updates): cei_srm030, last update: 24-01-2023. The indicator measures the share of material recycled and fed back into the economy - thus saving extraction of primary raw materials - in overall material use. The circular material use, also known as circularity rate is defined as the ratio of the circular use of materials to the overall material use.</t>
  </si>
  <si>
    <t>Mass ratio of recyclable materials (all materials) in total input of all materials into the entire economy in EU27 in 2019 was 12 %.</t>
  </si>
  <si>
    <t>[Layer] of recyclable [Aspect 1] in total input of [Aspect 1] into [Aspect 3] in [Aspect 2] in [Aspect 4] is [Value].</t>
  </si>
  <si>
    <t>tsv text files with data and flags mixed.</t>
  </si>
  <si>
    <t>https://ec.europa.eu/eurostat/cache/metadata/en/cei_srm030_esmsip2.htm</t>
  </si>
  <si>
    <t>Numbers transferred from original data files (.tsv) to iedc data insertion template with Python script.</t>
  </si>
  <si>
    <t>5_PP_Meng_PNAS_2023_Global_Plastics_Pathways_Process_Data</t>
  </si>
  <si>
    <t>Process parameters</t>
  </si>
  <si>
    <t>process parameters for ethylene, propylene, and butadiene production</t>
  </si>
  <si>
    <t>ethylene; propylene; butadiene; CAPEX; lifetime; capacity; O&amp;M;</t>
  </si>
  <si>
    <t>dataset contains more technologies (ammonia, urea, benzene, etc.) but only the major plastic monomers where converted. Dataset also contains intensive (per ton of output) indicators, which were added for convenience.</t>
  </si>
  <si>
    <t>economic_indicator</t>
  </si>
  <si>
    <t>Value(p,E,T,L,c)</t>
  </si>
  <si>
    <t>Indicator "CAPEX - new build brownfield, CCS" for sub-process CCS unit of process Ethylene production via Naphtha steam cracking + CCS, constructed in year 2020-2080, on layer Monetary is 246,96 USD / t.</t>
  </si>
  <si>
    <t>Indicator [Aspect 2] for sub-process [Aspect 3] of process [Aspect 1], constructed in year [Aspect 5], on layer [Aspect 4] is [value, unit].</t>
  </si>
  <si>
    <t>https://github.com/systemiqofficial/Pathways-Chemical-Industry/tree/master/data</t>
  </si>
  <si>
    <t>Numbers manually copied from original source (xlsx workbook) to Excel spreadsheet</t>
  </si>
  <si>
    <t>4_UPI_Meng_PNAS_2023_Global_Plastics_Pathways_Process_Data</t>
  </si>
  <si>
    <t>Value(p,r,g,T,c,Y)</t>
  </si>
  <si>
    <t>The UPI flow of Electricity of type 'from technosphere (energy_carrier)' for sub-process CCS unit of Ethylene production via Naphtha steam cracking + CCS for Global for 2020-2080 has value 1.3632 GJ.</t>
  </si>
  <si>
    <t>UPI flow of [Aspect 3] of type [Aspect 6] for sub-process [Aspect 4] of [Aspect 1] for [Aspect 2] for [Aspect 5] has [value].</t>
  </si>
  <si>
    <t>4_PY_Meng_PNAS_2023_Global_Plastics_Pathways_Process_Data</t>
  </si>
  <si>
    <t>CCS capture rate / yield factor for ethylene, propylene, and butadiene production technologies with CCS</t>
  </si>
  <si>
    <t>ethylene; propylene; butadiene; unit process inventories; process parameters; CCS; capture rate</t>
  </si>
  <si>
    <t>Value(p,T,c,b,f)</t>
  </si>
  <si>
    <t>The mass ratio for process yield factor of CO2-rich off-gas into CO2, ready for transport and storage in sub-process CCS unit of Propylene production via PDH + CCS for 2020-2080 is 95%.</t>
  </si>
  <si>
    <t>The [layer] for the [data type] of [Aspect 4] into [Aspect 5] in sub-process [Aspect 2] of process [Aspect 1] for [Aspect 3] has [value].</t>
  </si>
  <si>
    <t>4_PY_EUROSTAT_EoL_Recycling_Rates</t>
  </si>
  <si>
    <t>waste management industry</t>
  </si>
  <si>
    <t>waste management industry by waste type</t>
  </si>
  <si>
    <t>all waste</t>
  </si>
  <si>
    <t>seven different types of waste, plus the total</t>
  </si>
  <si>
    <t>2000-2021</t>
  </si>
  <si>
    <t>The indicator is calculated by dividing the weight of waste type X that enters the recycling/preparing for re-use facility by the weight of all separately collected waste type X (both in mass unit).</t>
  </si>
  <si>
    <t>recycling; waste collection; EU; recycling rates; share of generated or collected waste going into recycling processes;</t>
  </si>
  <si>
    <t>recycling rate as waste sent to recycling per waste collected for different treatment options. contains the following datasets (last updates): cei_wm010, last update: 19-01-2023; cei_wm011, last update: 21-08-2023; cei_wm020, last update: 21-03-2023; cei_wm060, last update: 03-03-2023.</t>
  </si>
  <si>
    <t>Value(r,p,b,f,t)</t>
  </si>
  <si>
    <t>Mass ratio of yield coefficient of WEEE (collected/generated) into waste for recycling in waste management in Estonia in 2017 was 85.7 %.</t>
  </si>
  <si>
    <t>[Layer] of [data type] of [Aspect 3] (collected/generated) into [Aspect 4] in [Aspect 2] in [Aspect 1] in [Aspect 5] is [Value].</t>
  </si>
  <si>
    <t>https://ec.europa.eu/eurostat/cache/metadata/en/cei_wm020_esmsip2.htm</t>
  </si>
  <si>
    <t>3_SHA_Renewable_Electricity_OWID_2023</t>
  </si>
  <si>
    <t>Electricity market</t>
  </si>
  <si>
    <t>230 countries</t>
  </si>
  <si>
    <t>1985-2022</t>
  </si>
  <si>
    <t>Share of renewable-based electricity in total electricity generated, by country and year.</t>
  </si>
  <si>
    <t>renewable-based electricity; electricity; renewables; wind; solar; hydropower; biomass; geothermal;</t>
  </si>
  <si>
    <t>focus_object</t>
  </si>
  <si>
    <t>reference_object</t>
  </si>
  <si>
    <t>Value(i,j,r,t)</t>
  </si>
  <si>
    <t>The energy share of electricity, from renewables sources, in electricity in Africa in 2001 was 19.286 %.</t>
  </si>
  <si>
    <t>[Layer] [data type] of [Aspect 1] in [Aspect 2] in [Aspect 3] in [Aspect 4] is [Value].</t>
  </si>
  <si>
    <t>https://ourworldindata.org/grapher/share-electricity-renewables?tab=chart</t>
  </si>
  <si>
    <t>6_PCF_EUROSTAT_per_capita_waste_flows</t>
  </si>
  <si>
    <t>update_21-08-2023</t>
  </si>
  <si>
    <t>Per capita flows</t>
  </si>
  <si>
    <t>per capita waste generation by source and waste type, by country, four different waste types: cei_pc040, cei_pc050, cei_pc031, cei_pc034</t>
  </si>
  <si>
    <t>EU, Europe, waste, per capita waste generation</t>
  </si>
  <si>
    <t>contains the following datasets (last updates): cei_pc040: 21-03-2023, cei_pc050: 21-03-2023, cei_pc031: 21-08-2023, cei_pc034: 30-05-2023. Not specified whether reported figures are total mass or dry mass. cei_pc034 includes major mineral waste, like from mining.</t>
  </si>
  <si>
    <t>Value(r,o,d,m,t)</t>
  </si>
  <si>
    <t>Mass of per capita flow of packaging waste from all (entire economy including households and other end-use sectors) to waste management in Austria in 2015 is 151.72 kg.</t>
  </si>
  <si>
    <t>[Layer] of [data type] of [Aspect 4] from [Aspect 2] to [Aspect 3] in [Aspect 1] in [Aspect 5] is [Value].</t>
  </si>
  <si>
    <t>https://ec.europa.eu/eurostat/cache/metadata/en/cei_pc034_esmsip2.htm</t>
  </si>
  <si>
    <t>1_F_EUROSTAT_waste_trade</t>
  </si>
  <si>
    <t>update_13-02-2023</t>
  </si>
  <si>
    <t>waste markets</t>
  </si>
  <si>
    <t>14 markets for different waste types</t>
  </si>
  <si>
    <t>14 different waste types</t>
  </si>
  <si>
    <t>all EU member states</t>
  </si>
  <si>
    <t>2004-2021</t>
  </si>
  <si>
    <t>waste trade by waste type, by country, fourteen different waste types, indicator type: cei_srm020</t>
  </si>
  <si>
    <t>EU, Europe, waste, trade</t>
  </si>
  <si>
    <t>contains the following datasets (last updates): cei_srm020: 13-02-2023. Not specified whether reported figures are total mass or dry mass.</t>
  </si>
  <si>
    <t>Value(m,O,D,o,d,t)</t>
  </si>
  <si>
    <t>Mass of flow of glass waste from the waste market in other EU 27 (2020) countries to the waste market in the Czech Republic in 2019 was 198803.69 t/yr.</t>
  </si>
  <si>
    <t>[Layer] of [data type] of [Aspect 1] from [Aspect 4] in [Aspect 2 ] to [Aspect 5] in [Aspect 3] in [Aspect 6] is [Value].</t>
  </si>
  <si>
    <t>https://ec.europa.eu/eurostat/cache/metadata/en/cei_srm020_esmsip2.htm</t>
  </si>
  <si>
    <t>6_MIP_EUROSTAT_recycling_input_rate</t>
  </si>
  <si>
    <t>update_12-05-2023</t>
  </si>
  <si>
    <t>manufacturing</t>
  </si>
  <si>
    <t>aggregate manufacturing sector</t>
  </si>
  <si>
    <t>aggregate manufacturing output</t>
  </si>
  <si>
    <t>major materials and chemical elements</t>
  </si>
  <si>
    <t>30 different major materials and chemical elements</t>
  </si>
  <si>
    <t>all EU member states (aggregate)</t>
  </si>
  <si>
    <t>2013-2022</t>
  </si>
  <si>
    <t>data reported for four years</t>
  </si>
  <si>
    <t>Reycling input rate, share of recycled material in total manufacturing input, indicator cei_srm010</t>
  </si>
  <si>
    <t>recycling input rate; EU; recycling; recycled content; cei_srm010</t>
  </si>
  <si>
    <t>contains the following dataset (last updates): cei_srm010, 12-05-2023</t>
  </si>
  <si>
    <t>Mass ratio of recycled copper in total copper input into manufacturing in EU in 2019 was 16.9 %.</t>
  </si>
  <si>
    <t>[Layer] of recycled [Aspect 1] in total input of [Aspect 1] into [Aspect 3] in [Aspect 2] in [Aspect 4] is [Value].</t>
  </si>
  <si>
    <t>https://ec.europa.eu/eurostat/cache/metadata/en/cei_srm010_esmsip2.htm</t>
  </si>
  <si>
    <t>5_CAP_Solar_Wind_Geothermal_OWID_2023</t>
  </si>
  <si>
    <t>3 subsectors/technologies</t>
  </si>
  <si>
    <t>Installed power generation capacity, by technology, by country and year.</t>
  </si>
  <si>
    <t>renewable-based electricity; electricity; renewables; wind; solar; geothermal;</t>
  </si>
  <si>
    <t>Value(p,r,T,t)</t>
  </si>
  <si>
    <t>Power generation capacity of solar PV in use phase in China in 2022 is 393.03 GW.</t>
  </si>
  <si>
    <t>[Layer] of [Aspect 3] in [Aspect 1] in [Aspect 2] in [Aspect 4] is [value].</t>
  </si>
  <si>
    <t>https://ourworldindata.org/grapher/cumulative-installed-wind-energy-capacity-gigawatts / https://ourworldindata.org/grapher/installed-solar-PV-capacity?tab=map / https://ourworldindata.org/grapher/installed-geothermal-capacity</t>
  </si>
  <si>
    <t>6_PCS_Buildings_Kennedy_Megacities_2015</t>
  </si>
  <si>
    <t>Gross floor area</t>
  </si>
  <si>
    <t>all urban buildings</t>
  </si>
  <si>
    <t>two building categories</t>
  </si>
  <si>
    <t>Gobal megacities</t>
  </si>
  <si>
    <t>City-level average</t>
  </si>
  <si>
    <t>2001-2011</t>
  </si>
  <si>
    <t>Per capita floor space of major building types in different megacities, from literature and statistical data, 2001-2011</t>
  </si>
  <si>
    <t>floor space; residential buildings; urban; megacities; buildings;</t>
  </si>
  <si>
    <t>Per capita floor area of urban residential buildings in Istanbul in 2011 was 11.05 m²/cap.</t>
  </si>
  <si>
    <t>Christopher A. Kennedy</t>
  </si>
  <si>
    <t>DOI 10.1073/pnas.1504315112</t>
  </si>
  <si>
    <t>Numbers manually copied from original source (xlxs supplement) to iedc excel template</t>
  </si>
  <si>
    <t>3_LT_Metals_Technosphere_Charpentier_Poncelet_2022</t>
  </si>
  <si>
    <t>one aggregate use phase</t>
  </si>
  <si>
    <t>all applications (average across all end uses)</t>
  </si>
  <si>
    <t>one aggregate category</t>
  </si>
  <si>
    <t>61 metals, base and technology metals</t>
  </si>
  <si>
    <t>For contemporary consumption, losses extrapolated with currect technological parameters</t>
  </si>
  <si>
    <t>year-by-year calculation</t>
  </si>
  <si>
    <t>Average technical lifetimes of different chemical elements in use phase, global average estimates. From Alexandre Charpentier Poncelet et al.'s work on metal losses and lifetimes.</t>
  </si>
  <si>
    <t>lifetime; use phase; technosphere; losses; average lifetime; dissipation;</t>
  </si>
  <si>
    <t>The average lifetime of lithium in the technosphere/use phase, global, is 7.06 years.</t>
  </si>
  <si>
    <t>[aspect1] in [aspect2] in [aspect 3] has [data type] with [Layer] of [value].</t>
  </si>
  <si>
    <t>3_MC_Buildings_Infrastructure_Haberl_2021</t>
  </si>
  <si>
    <t>all age-cohorts</t>
  </si>
  <si>
    <t>Material content of buildings and infrastructure in Germany and Austria, compiled for Haberl et al. (2021). Values for all age-cohorts.</t>
  </si>
  <si>
    <t>material; material content; residential buildings; Germany; Austria; roads; railways; buildings; infrastructure</t>
  </si>
  <si>
    <t>Value(r,g,T,m)</t>
  </si>
  <si>
    <t>Subway underground, part of railway category, in Austria, has concrete material intensity of 13.19 t/m².</t>
  </si>
  <si>
    <t>[Layer] measuring [data type] of [Aspect 4] in [Aspect 3] part of [Aspect 2] in [Aspect1] is [Value].</t>
  </si>
  <si>
    <t>6_IMI_CarbonIntensity_Electricity_OurWorldInData_2023</t>
  </si>
  <si>
    <t>Carbon intensity of electricity (gCO2/kWh), 2022. Our World in Data. Carbon intensity is measured in grams of carbon dioxide-equivalents emitted per kilowatt-hour of electricity.</t>
  </si>
  <si>
    <t xml:space="preserve">Carbon intensity of electricity; Electricity; GHG; Carbon; </t>
  </si>
  <si>
    <t>Value(r,t,I)</t>
  </si>
  <si>
    <t>Carbon intensity of electricity (gCO2/kWh) in Algeria in 2010 was 503.60544 g CO2-eq/kWh.</t>
  </si>
  <si>
    <t>[Layer] of [data type] for [Aspect 3] in [Aspect1] for [Aspect 2] is [Value].</t>
  </si>
  <si>
    <t>https://ourworldindata.org/grapher/carbon-intensity-electricity</t>
  </si>
  <si>
    <t>6_PCS_Buildings_Dhaka_Sikder_2019</t>
  </si>
  <si>
    <t>Four building types</t>
  </si>
  <si>
    <t>Dhaka, Bangladesh</t>
  </si>
  <si>
    <t>Per capita floor space of major building types in Dhaka, Bangladesh, from literature, ca. 2010-2015, exact time range not specified in paper.</t>
  </si>
  <si>
    <t>floor space; residential buildings; urban; Dhaka; buildings;</t>
  </si>
  <si>
    <t>Data for ca. 2010-2015, exact time range not specified in paper.</t>
  </si>
  <si>
    <t>Per capita floor area of urban residential buildings in Dhaka around 2010-2015 was 10.32 m²/cap.</t>
  </si>
  <si>
    <t>Sujit Kumar Sikder</t>
  </si>
  <si>
    <t>https://doi.org/10.1007/s41651-019-0029-y</t>
  </si>
  <si>
    <t>datasets entry exists, data yet to be inserted, classifications 82 and 83 need to be established</t>
  </si>
  <si>
    <t>3_LT_Vehicles_Allekotte_2019_Germany</t>
  </si>
  <si>
    <t>Vehicle</t>
  </si>
  <si>
    <t>20 vehicle types</t>
  </si>
  <si>
    <t>Single country value</t>
  </si>
  <si>
    <t>Lifetimes of vehicle products in use phase. Region-specific estimates. From Michel Allekotte. et al's 2019 work on the Ökologische Bewertung von Verkehrsarten.</t>
  </si>
  <si>
    <t>lifetime; vehicle; use phase; useful product lifetime;</t>
  </si>
  <si>
    <t>Product 'bicycle' of age-cohorts 2017 in the use phase in region 'Germany' has lifetime of 10 years.</t>
  </si>
  <si>
    <t>Michel Allekotte et al.</t>
  </si>
  <si>
    <t>https://www.umweltbundesamt.de/publikationen/oekologische-bewertung-von-verkehrsarten</t>
  </si>
  <si>
    <t>Huimei Li</t>
  </si>
  <si>
    <t>3_LT_Vehicles_Baojun Tang_2019_China</t>
  </si>
  <si>
    <t>Single-country value</t>
  </si>
  <si>
    <t>2015-2050</t>
  </si>
  <si>
    <t>Lifetimes of vehicle products in use phase. Region-specific estimates. From Baojun Tang's et al. 2019 work on Sustainable development pathway for intercity passenger transport: A case study of China.</t>
  </si>
  <si>
    <t>Product 'Diesel_Bus' of age-cohorts 2015-2050 in the use phase in region 'China' has lifetime of 15 years.</t>
  </si>
  <si>
    <t>Bao-Jun Tang et al.</t>
  </si>
  <si>
    <t>https://doi.org/10.1016/j.apenergy.2019.113632</t>
  </si>
  <si>
    <t>3_LT_Vehicles_Chester_2008_USA</t>
  </si>
  <si>
    <t>9 vehicle types</t>
  </si>
  <si>
    <t>data for vehicle lifetime in selected cities and states</t>
  </si>
  <si>
    <t>2004-2006</t>
  </si>
  <si>
    <t>One representative value</t>
  </si>
  <si>
    <t>Lifetimes of vehicle products in use phase. Region-specific estimates. From Mikhail Chester and Arpad Horvath's 2008 work on the Environmental LCA of Passenger Transportation.</t>
  </si>
  <si>
    <t>Product 'BART train, Heavy Rail Transit' of age-cohorts 2006 in the use phase in region 'USA' has lifetime of 26 years.</t>
  </si>
  <si>
    <t>Mikhail Chester and Arpad Horvath</t>
  </si>
  <si>
    <t>https://escholarship.org/uc/item/5670921q</t>
  </si>
  <si>
    <t>3_LT_Vehicles_Chester_2009_USA</t>
  </si>
  <si>
    <t>11 vehicle types</t>
  </si>
  <si>
    <t>age-cohort info not supplied</t>
  </si>
  <si>
    <t>Lifetimes of other vehicle products in use phase. Region-specific estimates. From Mikhail Chester and Arpad Horvath 2009 work on Life-cycle Energy and Emissions Inventories for Motorcycles, Diesel Automobiles, School Buses, Electric Buses, Chicago Rail, and New York City Rail.</t>
  </si>
  <si>
    <t>Product 'motorcycle(4-cylinder)' of age-cohorts na in the use phase in region 'USA' has lifetime of 13 years.</t>
  </si>
  <si>
    <t>https://escholarship.org/uc/item/6z37f2jr</t>
  </si>
  <si>
    <t>3_LT_Motorcycle_Cox_Mutel_2018_Switzerland</t>
  </si>
  <si>
    <t>Motorcycle</t>
  </si>
  <si>
    <t>4 motorcycle types</t>
  </si>
  <si>
    <t>Switzerland</t>
  </si>
  <si>
    <t>1990-2030</t>
  </si>
  <si>
    <t>single value</t>
  </si>
  <si>
    <t>Lifetimes of motorcycle products in use phase. Region-specific estimates for Switzerland.</t>
  </si>
  <si>
    <t>lifetime; motorcycle; use phase; useful product lifetime;</t>
  </si>
  <si>
    <t>Product 'motorcycle, engine power 4kW' of age-cohorts 1990-2030 in the use phase in region 'Switzerland' has lifetime of 11.6 years.</t>
  </si>
  <si>
    <t>Brian L. Cox and Christopher L. Mutel</t>
  </si>
  <si>
    <t>https://doi.org/10.1016/j.apenergy.2017.12.100</t>
  </si>
  <si>
    <t>3_LT_Vehicles_Siavash_2019</t>
  </si>
  <si>
    <t>Vehicles</t>
  </si>
  <si>
    <t>5 vehicle types</t>
  </si>
  <si>
    <t>1 aggregate world region</t>
  </si>
  <si>
    <t>Single value representative for entire period</t>
  </si>
  <si>
    <t>Lifetimes of other vehicle products in use phase. Region-specific estimates. From Siavash Khalili's et al. 2019 work on the Global Transportation Demand Development with Impacts on the Energy Demand and Greenhouse Gas Emissions in a Climate-Constrained World.</t>
  </si>
  <si>
    <t>lifetime; other vehicle; use phase; useful product lifetime;</t>
  </si>
  <si>
    <t>Product ‘Light duty vehicles' of age-cohorts 2010 in the use phase in region 'Global' has lifetime of 15 years.</t>
  </si>
  <si>
    <t>Siavash Khalili</t>
  </si>
  <si>
    <t>https://doi.org/10.3390/en12203870</t>
  </si>
  <si>
    <t>10.3390/en12203870</t>
  </si>
  <si>
    <t>3_LT_Vehicles_Taptich_2015</t>
  </si>
  <si>
    <t>14 vehicle types</t>
  </si>
  <si>
    <t>8 world regions</t>
  </si>
  <si>
    <t>2010-2050</t>
  </si>
  <si>
    <t>Entire time period</t>
  </si>
  <si>
    <t>Lifetimes of other vehicle products in use phase. Region-specific estimates. From Michael N. Taptich's et al. 2015 work on the Worldwide Greenhouse Gas Reduction Potentials in Transportation by 2050.</t>
  </si>
  <si>
    <t>Product 'bus, diesel' of age-cohorts 2010 in the use phase in region 'China' has lifetime of 14 years.</t>
  </si>
  <si>
    <t>Michael N. Taptich</t>
  </si>
  <si>
    <t>https://doi.org/10.1111/jiec.12391</t>
  </si>
  <si>
    <t>DOI: 10.1111/jiec.12391</t>
  </si>
  <si>
    <t>3_LT_Vehicles_Gassner_2018_Austria</t>
  </si>
  <si>
    <t>Single age-cohort value</t>
  </si>
  <si>
    <t>Lifetimes of vehicle products in use phase. Region-specific estimates. From Andreas Gassner's 2018 work on Extended ecological footprint for different modes of urban public transport: The case of Vienna, Austria.</t>
  </si>
  <si>
    <t>Product 'type V subway train ' of age-cohorts 2012 in the use phase in region 'Austria' has lifetime of 30 years.</t>
  </si>
  <si>
    <t>Andreas Gassner et al.</t>
  </si>
  <si>
    <t>https://doi.org/10.1016/j.landusepol.2017.12.012</t>
  </si>
  <si>
    <t>3_LT_Vehicles_HAO Han_2011_China</t>
  </si>
  <si>
    <t>1980-2004</t>
  </si>
  <si>
    <t>Lifetimes of vehicle products in use phase. Region-specific estimates. From Han HAO's et al. 2011 work on Vehicle survival patterns in China.</t>
  </si>
  <si>
    <t>Product 'Private passenger vehicles' of age-cohorts 1980 in the use phase in region 'China' has lifetime of 14.46 years.</t>
  </si>
  <si>
    <t>Hao H, Wang H W, Ouyang M G,</t>
  </si>
  <si>
    <t>https://link.springer.com/article/10.1007/s11431-010-4256-1</t>
  </si>
  <si>
    <t>3_LT_Vehicles_LiVES_NIES_Japan</t>
  </si>
  <si>
    <t>37 vehicle types</t>
  </si>
  <si>
    <t>Whole country</t>
  </si>
  <si>
    <t>different age-cohorts</t>
  </si>
  <si>
    <t>Lifetimes of vehicle products in use phase. Region-specific estimates. Project hosted by NIES, results based on published information that had been reviewed by the authors by March 31, 2009</t>
  </si>
  <si>
    <t>some time ranges where converted to representative year: "2005-2006" -&gt; 2005; 1988-1992 -&gt; 1990.</t>
  </si>
  <si>
    <t>Product 'Bicycles' of age-cohorts 2005 in the use phase in region 'Japan' has lifetime of 14.7 years.</t>
  </si>
  <si>
    <t>Proprietary dataset, static web page</t>
  </si>
  <si>
    <t>Ichiro Daigo, Seiji Hashimoto, Shinsuke Murakami, Masahiro Oguchi, and Tomohiro Tasaki</t>
  </si>
  <si>
    <t>https://www.nies.go.jp/lifespan/index-e.html</t>
  </si>
  <si>
    <t>https://doi.org/10.1111/j.1530-9290.2010.00251.x</t>
  </si>
  <si>
    <t>"Database LiVES by National Institute for Environmental Studies was used to find the literature."</t>
  </si>
  <si>
    <t>3_LT_Vehicles_Virag_2021_Austria</t>
  </si>
  <si>
    <t>7 vehicle types</t>
  </si>
  <si>
    <t>Lifetimes of vehicle products in use phase. Region-specific estimates. From Doris Virag's 2021 work on the stock-flow-service nexus of personal mobility in an urban context: Vienna, Austria.</t>
  </si>
  <si>
    <t>Product 'private cars' of age-cohorts 2010-2018 in the use phase in region 'Austria' has lifetime of 6 years.</t>
  </si>
  <si>
    <t>Doris Virág et al.</t>
  </si>
  <si>
    <t>https://doi.org/10.1016/j.envdev.2021.100628</t>
  </si>
  <si>
    <t>3_LT_Vehicles_Walsh_2008_Ireland</t>
  </si>
  <si>
    <t>6 vehicle typies</t>
  </si>
  <si>
    <t>Ireland</t>
  </si>
  <si>
    <t>Ca. 2000</t>
  </si>
  <si>
    <t>Lifetimes of vehicle products in use phase. Region-specific estimates. From Conor Walsh's et al. 2008 work on A comparison of carbon dioxide emissions associated with motorised transport modes and cycling in Ireland.</t>
  </si>
  <si>
    <t>Product 'Intercity bus' of age-cohort ca. 2000 in the use phase in region 'Ireland' has lifetime of 13 years.</t>
  </si>
  <si>
    <t>Conor Walsh et al.</t>
  </si>
  <si>
    <t>https://doi.org/10.1016/j.trd.2008.07.002</t>
  </si>
  <si>
    <t>3_MC_Miatto_Italy_2023</t>
  </si>
  <si>
    <t>Single family and multi-family houses</t>
  </si>
  <si>
    <t>3 materials: concrete, bricks, and structural wood</t>
  </si>
  <si>
    <t>Italy</t>
  </si>
  <si>
    <t>representative of recent (2020-2023) in-use stock</t>
  </si>
  <si>
    <t>Material composition of residential buildings in Italy, summary statistics of a sample of 7000 buildings in 7 building types</t>
  </si>
  <si>
    <t>material; material content; buildings; concrete; bricks; structural wood</t>
  </si>
  <si>
    <t>Value is median value of original dataset. Uncertainty range is the min, the 25th and 75th percentiles, and the max of the original dataset (1000 samples)</t>
  </si>
  <si>
    <t>Value(m,g,r)</t>
  </si>
  <si>
    <t>The concrete content of medium apartment buildings in Italy is 2.38 t/m² (median), with a mix/25th-75th percentile range/max of 2.04;2.28;2.48;2.74 t/m².</t>
  </si>
  <si>
    <t>[Layer] measuring [data type] of [Aspect 1] in [Aspect 2] in [Aspect3] is [Value].</t>
  </si>
  <si>
    <t>Alessio Miatto</t>
  </si>
  <si>
    <t>https://doi.org/10.1016/j.resconrec.2023.107093</t>
  </si>
  <si>
    <t>table</t>
  </si>
  <si>
    <t>Numbers reformatted manually to Excel spreadsheet, summary statistics of sample calculated with Excel's QUARTILE function.</t>
  </si>
  <si>
    <t>3_MC_RASMI_v20230905</t>
  </si>
  <si>
    <t>v20230905</t>
  </si>
  <si>
    <t>Single family and multi-family houses; non-residential buildings in four construction types each</t>
  </si>
  <si>
    <t>8 materials</t>
  </si>
  <si>
    <t>32 regions in the SSP 32 regions classification</t>
  </si>
  <si>
    <t>representative of current (2023) in-use stock</t>
  </si>
  <si>
    <t>RASMI: Regional Assessment of buildings’ Material Intensities. A framework to estimate ranges of buildings' material intensities (kg/m²). RASMI aims to answer the question which MI data are appropriate for my country/region of interest? Please refer to the Data Descriptor article for full details.</t>
  </si>
  <si>
    <t>material; material content; buildings; concrete; steel; copper; aluminium</t>
  </si>
  <si>
    <t>Value is median value of original dataset. Uncertainty range is the 25th and 75th percentiles. Tomer Fishman: "We recommend using the 25th, median, and 75th percentiles. Especially the 0th and 100th percentiles are not recommended because they tend to capture outliers whose realism can’t be confirmed."</t>
  </si>
  <si>
    <t>non-residential buildings, concrete structure in China have a concrete content of 945.36 kg/m² (median), with a 25th-75th percentile range of 623 to 1502 kg/m².</t>
  </si>
  <si>
    <t>Tomer FISHMAN</t>
  </si>
  <si>
    <t>https://github.com/TomerFishman/MaterialIntensityEstimator</t>
  </si>
  <si>
    <t>https://doi.org/10.1038/s41597-024-03190-7</t>
  </si>
  <si>
    <t>https://zenodo.org/records/10782341</t>
  </si>
  <si>
    <t>Numbers reformatted with Python script and manually to Excel spreadsheet</t>
  </si>
  <si>
    <t>June 2024 update</t>
  </si>
  <si>
    <t>next update</t>
  </si>
  <si>
    <t>3_LT_NIES_LiVES</t>
  </si>
  <si>
    <t>v_2010_March_31</t>
  </si>
  <si>
    <t>vehicles, equipment, structures</t>
  </si>
  <si>
    <t>about 200 different products</t>
  </si>
  <si>
    <t>data from 16 different countries</t>
  </si>
  <si>
    <t>age-cohorts from 1892-2010</t>
  </si>
  <si>
    <t>different years/age-cohorts</t>
  </si>
  <si>
    <t xml:space="preserve">The database LiVES has been compiled through a review of lifespan data of commodities reported in statistical surveys by the national government and other public organizations, research papers, reports by industry associations, and other publications. It includes over 1300 records that had been surveyed and estimated in 16 countries. </t>
  </si>
  <si>
    <t>lifetime; use phase; useful product lifetime; vehicles; equipment; buildings; structures; NIES</t>
  </si>
  <si>
    <t>This entry does not contain any data. The LiVES database has its own user interface, please check the homepage, see link below.</t>
  </si>
  <si>
    <t>Value(g,p,r,c)</t>
  </si>
  <si>
    <t>https://www.nies.go.jp/lifespan/</t>
  </si>
  <si>
    <t>online database</t>
  </si>
  <si>
    <t>https://doi.org/10.1111/j.1530-9290.2010.00250.x</t>
  </si>
  <si>
    <t>Database LiVES by National Institute for Environmental Studies was used to find the literature.</t>
  </si>
  <si>
    <t>No reformatting. The LiVES database has its own user interface, please check the homepage, see link below.</t>
  </si>
  <si>
    <t>Ichiro Daigo, Seiji Hashimoto, Shinsuke Murakami, Masahiro Oguchi, Tomohiro Tasaki</t>
  </si>
  <si>
    <t>[aspect1] in [aspect2] in [aspect 3] produced in [aspect 4] has [layer] of [data type] of [value].</t>
  </si>
  <si>
    <t>Product 'Trucks (tractors) for freight' in the use phase in Japan produced in 2005-2006 has an average domestic service lifespan of 11.8 years.</t>
  </si>
  <si>
    <t>3_SHA_EndUseShares_61Metals_Charpentier_Poncelet_2022</t>
  </si>
  <si>
    <t>3_EI_Other_Vehicles_Taptich_2015</t>
  </si>
  <si>
    <t>3_EI_VehicleArchetypes_Wolfram_2020</t>
  </si>
  <si>
    <t>3_MC_VehicleArchetypes_Wolfram_2020</t>
  </si>
  <si>
    <t>MAT_STOCKS_MISO2_Ew_Material_Cycles_2024</t>
  </si>
  <si>
    <t>flows and stocks of materials</t>
  </si>
  <si>
    <t>flows and in-use stocks of materials</t>
  </si>
  <si>
    <t>markets for final products, use phase, markets for waste</t>
  </si>
  <si>
    <t>aggregate processes</t>
  </si>
  <si>
    <t>4 aggregate ew-MFA groups, 14 material groups</t>
  </si>
  <si>
    <t>single country data (4 material groups), global aggregate (14 material groups)</t>
  </si>
  <si>
    <t>1900-2016</t>
  </si>
  <si>
    <t>The MISO2 database covers 14 supply chain processes from raw material extraction to processing, trade, recycling and waste management, as well as 13 end-use types of stocks.</t>
  </si>
  <si>
    <t>MAT_STOCKS; MISO2; ew-MFA; MFA; materials; in-use stocks</t>
  </si>
  <si>
    <t>MAT_STOCKS_MISO2_Ew_Material_Cycles_2024.png</t>
  </si>
  <si>
    <t>https://doi.org/10.1111/jiec.13557</t>
  </si>
  <si>
    <t>https://doi.org/10.1111/jiec.13575</t>
  </si>
  <si>
    <t>https://zenodo.org/records/12794253</t>
  </si>
  <si>
    <t>Data are available on Zenodo via https://zenodo.org/records/12794253</t>
  </si>
  <si>
    <t>MAT_STOCKS_MISO2_Ew_Material_Cycles_2024_F_10_11_EoL_waste</t>
  </si>
  <si>
    <t>Dry mass</t>
  </si>
  <si>
    <t>1 aggregate process</t>
  </si>
  <si>
    <t>4 aggregate product groups: Buildings, Infrastructure, Machinery, Short lived products</t>
  </si>
  <si>
    <t>4 aggregate material groups: Biomass, Fossil-fuels derived, Metals, Non-metallics</t>
  </si>
  <si>
    <t>ca. 200 individual countries and territories</t>
  </si>
  <si>
    <t>annual data</t>
  </si>
  <si>
    <t>MAT_STOCKS; MISO2; ew-MFA; MFA; materials; EoL waste flows</t>
  </si>
  <si>
    <t>Data are available in proper formatting on https://zenodo.org/records/12794253. Original name of flow: F_10_11_supply_EoL_waste_enduse</t>
  </si>
  <si>
    <t>v1.0.0</t>
  </si>
  <si>
    <t>Data are not contained in the iedc, because their are available in proper formatting on https://zenodo.org/records/12794253</t>
  </si>
  <si>
    <t>Value(M,g,o,O,d,D,t)</t>
  </si>
  <si>
    <t>[Layer] measuring [data type] of [Aspect 1] in [Aspect 2] from [Aspect3] in [Aspect4] to [Aspect5] in [Aspect6] in [Aspect7] is [Value].</t>
  </si>
  <si>
    <t>Mass measuring flow of metals in machinery from use phase in Brazil to EoL products market in Brazil in 2010 is xxx kt/yr.</t>
  </si>
  <si>
    <t>MAT_STOCKS_MISO2_Ew_Material_Cycles_2024_F_9_10_final_consumption</t>
  </si>
  <si>
    <t>Outflow from use phase. Original name of flow: F_10_11_supply_EoL_waste_enduse. Aggregated results of the MAT_STOCKS project, MISO2 model.</t>
  </si>
  <si>
    <t>Inflow to use phase (final consumption). Original name of flow: F_9_10_GAS_enduse. Aggregated results of the MAT_STOCKS project, MISO2 model.</t>
  </si>
  <si>
    <t>MAT_STOCKS; MISO2; ew-MFA; MFA; materials; final consumption flows</t>
  </si>
  <si>
    <t>Data are available in proper formatting on https://zenodo.org/records/12794253. Original name of flow: F_9_10_GAS_enduse (GAS: gross addition to stocks)</t>
  </si>
  <si>
    <t>Mass measuring flow of metals in machinery from final products market in Brazil to use phase in Brazil in 2010 is xxx kt/yr.</t>
  </si>
  <si>
    <t>MAT_STOCKS; MISO2; ew-MFA; MFA; materials; In-use stock</t>
  </si>
  <si>
    <t>Data are available in proper formatting on https://zenodo.org/records/12794253. Original name of stock: S10_stock_enduse</t>
  </si>
  <si>
    <t>Value(M,g,p,r,t)</t>
  </si>
  <si>
    <t>Mass measuring in-use stock of metals in machinery in use phase in Brazil in 2010 is xxx kt/yr.</t>
  </si>
  <si>
    <t>[Layer] measuring [data type] of [Aspect 1] in [Aspect 2] in [Aspect3] in [Aspect4] in [Aspect5] is [Value].</t>
  </si>
  <si>
    <t>MAT_STOCKS_MISO2_Ew_Material_Cycles_2024_S_10_In-use-stock</t>
  </si>
  <si>
    <t>14 aggregate product groups</t>
  </si>
  <si>
    <t>1 aggregate material group</t>
  </si>
  <si>
    <t>global total</t>
  </si>
  <si>
    <t>In-use stock by region and material. Original name of stock: S10_stock_enduse. Aggregated results of the MAT_STOCKS project, MISO2 model.</t>
  </si>
  <si>
    <t>Data are available in proper formatting on https://zenodo.org/records/12794253. These are the data for Fig. 3a and 3c in the paper.</t>
  </si>
  <si>
    <t>In-use stock by product group, global. These are the data for Fig. 3a and 3c in the paper. Original name of stock: S10_stock_enduse. Aggregated results of the MAT_STOCKS project, MISO2 model.</t>
  </si>
  <si>
    <t>MAT_STOCKS_MISO2_Ew_Material_Cycles_2024_IUS_10_In-use-stock_Global_Fig3</t>
  </si>
  <si>
    <t>MAT_STOCKS_MISO2_Ew_Material_Cycles_2024_PCS_10_In-use-stock_Global_Fig5</t>
  </si>
  <si>
    <t>1 aggregate product groups</t>
  </si>
  <si>
    <t>ca. 200 individual countries and territories (map)</t>
  </si>
  <si>
    <t>Per capita in-use stock by county, 2016. These are the data for Fig. 5a in the paper. Original name of stock: S10_stock_enduse. Aggregated results of the MAT_STOCKS project, MISO2 model.</t>
  </si>
  <si>
    <t>MAT_STOCKS; MISO2; ew-MFA; MFA; materials; In-use stock per capita</t>
  </si>
  <si>
    <t>Data are available in proper formatting on https://zenodo.org/records/12794253. These are the data for Fig. 5a in the paper.</t>
  </si>
  <si>
    <t>Passenger vehicles, different drive technologies, segments, and designs</t>
  </si>
  <si>
    <t>six different drive technologies, four segments/sizes, and two designs</t>
  </si>
  <si>
    <t>major vehicle materials</t>
  </si>
  <si>
    <t>global aggregate</t>
  </si>
  <si>
    <t>contemporal design, around 2020-2030</t>
  </si>
  <si>
    <t>one representative value</t>
  </si>
  <si>
    <t>Material composition of 2020-2030 contemporary vehicles, compiled by Wolfram et al. as part of the RECC project, DOI 10.1111/jiec.13067.</t>
  </si>
  <si>
    <t>material; material content; passenger vehicles; light-weighting; material substitution; vehicle segments;</t>
  </si>
  <si>
    <t>This dataset is contained in the RECC v2.4 model input database.</t>
  </si>
  <si>
    <t>Value(g,r,c,m)</t>
  </si>
  <si>
    <t>Mass per unit of material composition of copper in ICEV-g_Microcar_Conventional design, global, production year 2020-2030, is 13.56 kg/unit.</t>
  </si>
  <si>
    <t>[Layer] of [data type] of [Aspect 4] in [Aspect 1] in [Aspect 2] built in [Aspect 3] is [Value].</t>
  </si>
  <si>
    <t>© The authors</t>
  </si>
  <si>
    <t>Paul Wolfram, Qingshi Tu</t>
  </si>
  <si>
    <t>https://doi.org/10.1111/jiec.13067</t>
  </si>
  <si>
    <t>Numbers supplied in spreadsheet format by Qingshi Tu, reformatted to iedc template.</t>
  </si>
  <si>
    <t>Specific energy consumption of products</t>
  </si>
  <si>
    <t>Energy per product operation</t>
  </si>
  <si>
    <t>aggregate representation of average km driven</t>
  </si>
  <si>
    <t>Specific energy consumption of driving 2020-2030 contemporary vehicles, compiled by Wolfram et al. as part of the RECC project, DOI 10.1111/jiec.13067.</t>
  </si>
  <si>
    <t>energy; specific energy consumption; driving; passenger vehicles; light-weighting; material substitution; vehicle segments;</t>
  </si>
  <si>
    <t>Value(n,g,c,r)</t>
  </si>
  <si>
    <t>Specific energy consumption of all energy carries in ICEV-g_Microcar_Conventional design, global, production year 2020-2030, is 1.368 MJ/km.</t>
  </si>
  <si>
    <t>Numbers supplied in spreadsheet format by Paul Wolfram, reformatted to iedc template.</t>
  </si>
  <si>
    <t>1 end use sector where vehicles are operated</t>
  </si>
  <si>
    <t>land transport vehicles for passenger and freight other than passenger vehicles, airplanes and ships</t>
  </si>
  <si>
    <t>ca. 15 different vehicle types</t>
  </si>
  <si>
    <t>8 different world regions</t>
  </si>
  <si>
    <t>values for 2010, 2030, and 2050</t>
  </si>
  <si>
    <t>values for different age-cohorts (marginal technology), historic data and future scenarios</t>
  </si>
  <si>
    <t>Energy Intensity, by energy carrier, per unit of operation of vehicle (km driven): MJ/km</t>
  </si>
  <si>
    <t>Energy Intensity; freight transport; passenger vehicles</t>
  </si>
  <si>
    <t>Data refer to the year of manufacturing (age-cohort): "we offer estimates on the marginal GHG benefits of new technologies"</t>
  </si>
  <si>
    <t>Value(n,g,r,c)</t>
  </si>
  <si>
    <t>Energy per product operation as measure of specific energy consumption of products of diesel for operating a bus in India manufactured in 2030 is 15.74 MJ/km</t>
  </si>
  <si>
    <t>[layer] as measure of [data type] of [aspect1] for operating [aspect2] in [aspect3] manufactured in [aspect4] has [value] [unit].</t>
  </si>
  <si>
    <t>Michael N. Taptich, Arpad Horvath, Mikhail V. Chester</t>
  </si>
  <si>
    <t>Supplementary material of https://doi.org/10.1111/jiec.12391</t>
  </si>
  <si>
    <t>pdf</t>
  </si>
  <si>
    <t>Taptich et al. (2015), https://doi.org/10.1111/jiec.12391</t>
  </si>
  <si>
    <t>Ilham Chekrad</t>
  </si>
  <si>
    <t>Numbers converted from PDF to Excel</t>
  </si>
  <si>
    <t>Changed representative year and product label for some entries</t>
  </si>
  <si>
    <t>Contributors: Ilham Checkrad, Huimei Li, Stefan Pauliuk</t>
  </si>
  <si>
    <t>3_MC_Yang_CBMICD_2019</t>
  </si>
  <si>
    <t>v1</t>
  </si>
  <si>
    <t>industrial and civil buildings</t>
  </si>
  <si>
    <t>63 different building types</t>
  </si>
  <si>
    <t>province-level data</t>
  </si>
  <si>
    <t>1949-2015</t>
  </si>
  <si>
    <t>age-cohort-specific values</t>
  </si>
  <si>
    <t>Material content of industrial and civil buildings in China, extracted from the CBMICD database by Dong et al., https://zenodo.org/records/2704917</t>
  </si>
  <si>
    <t>material; material content; buildings; China; province-level data</t>
  </si>
  <si>
    <t>Value(r,Y,g,c,m)</t>
  </si>
  <si>
    <t>Mass per area of material composition of steel in residential building in group civil building, steel-concrete built in 1950 in Liaoning is 90 kg/m²</t>
  </si>
  <si>
    <t>[Layer] of [data type] of [Aspect 5] in [Aspect 3] in group [Aspect 2] built in [Aspect 4] in [Aspect 1] is [Value].</t>
  </si>
  <si>
    <t>Dong YANG</t>
  </si>
  <si>
    <t>https://zenodo.org/records/2704917</t>
  </si>
  <si>
    <t>Yang, D., Shi, F., Liu, J., Guo, J., &amp; Tanikawa, H. (2019). CBMICD1.0: China's building material intensity coefficient dataset (1949-2015) [Data set]. Zenodo.  https://doi.org/10.5281/zenodo.2704917</t>
  </si>
  <si>
    <t>Numbers manually reformatted from original source (xlsx) to Excel spreadsheet</t>
  </si>
  <si>
    <t>1_F_MaterialFlows_UNEP_IRP</t>
  </si>
  <si>
    <t>v2024</t>
  </si>
  <si>
    <t>The full dataset used herein can be downloaded from the Global Material Flow Database hosted by the United Nations Environment Program International Resource Panel.</t>
  </si>
  <si>
    <t>Heinz SCHANDL</t>
  </si>
  <si>
    <t>United Nations Environment Programme, International Resource Panel, Global Material Flows Database” or “UNEP IRP Global Material Flows Database</t>
  </si>
  <si>
    <t>https://doi.org/10.1111/jiec.13593</t>
  </si>
  <si>
    <t>https://www.resourcepanel.org/global-material-flows-database</t>
  </si>
  <si>
    <t>Data not converted for iedc, can be downloaded from UNEP-IRP directly</t>
  </si>
  <si>
    <t>ecomomy-wide data</t>
  </si>
  <si>
    <t>11 major material groups</t>
  </si>
  <si>
    <t>single country data</t>
  </si>
  <si>
    <t>1970-2024</t>
  </si>
  <si>
    <t>THE global single-country database for global primary material extraction, trade of primary materials and products, material use, and waste. Contains DE; DMC; DMI; IMP; EXP; MF; PTB; RME_IMP; RME_EXP;</t>
  </si>
  <si>
    <t>Material flow accounting; UNEP-IRP material flow database; MFA; biomass; fossil fuels; metal ores; minerals; DE; DMC; DMI; IMP; EXP; MF; PTB; RME_IMP; RME_EXP;</t>
  </si>
  <si>
    <t>Value(r,m,o,d,X,t)</t>
  </si>
  <si>
    <t>Dry mass of domestic extraction (DE) from environment to industrial metabolism of biomass in Afghanistan in 2024 was 38628527 tons.</t>
  </si>
  <si>
    <t>[Layer] of [data type] of [Aspect 5] of [Aspect 2] from [Aspect ] to [Aspect 4] in [Aspect 1] in [Aspect 6] is [Value].</t>
  </si>
  <si>
    <t>CIRCOMOD</t>
  </si>
  <si>
    <t>https://circomod.eu/</t>
  </si>
  <si>
    <t>CIRCOMOD = Circular Economy Modelling for Climate Change Mitigation</t>
  </si>
  <si>
    <t>circular economy; materials; material cycles; MFA; CGE; IAM; resource efficiency</t>
  </si>
  <si>
    <t>The current scenario models for policy pathways do not include circular economy options. CIRCOMOD will develop a new generation of models that will address this gap.</t>
  </si>
  <si>
    <t>CIRCOMOD_scenario_drivers</t>
  </si>
  <si>
    <t>CIRCOMOD project team</t>
  </si>
  <si>
    <t>population, GDP, service demand etc. as exogenous input to scenario modelling</t>
  </si>
  <si>
    <t>economic and physical</t>
  </si>
  <si>
    <t>national to global level</t>
  </si>
  <si>
    <t>population, economy</t>
  </si>
  <si>
    <t>1970-2100</t>
  </si>
  <si>
    <t>CIRCOMOD project input database of exogenous parameters to drive the different scenario models</t>
  </si>
  <si>
    <t>Data will be available on Zenodo as of 2026</t>
  </si>
  <si>
    <t>CIRCOMOD_technologies_strategies</t>
  </si>
  <si>
    <t>CIRCOMOD_historic_data</t>
  </si>
  <si>
    <t>CIRCOMOD_project_results</t>
  </si>
  <si>
    <t>technology parameters, CE parameters, etc. as exogenous input to scenario modelling</t>
  </si>
  <si>
    <t>manufacturing, use phase, waste management industries</t>
  </si>
  <si>
    <t>all major end-use sectors</t>
  </si>
  <si>
    <t>climate-relevant materials concrete, steel, plastics, wood, aluminium, and copper</t>
  </si>
  <si>
    <t>2000-2060</t>
  </si>
  <si>
    <t>CIRCOMOD project input database of technology parameters, CE parameters, etc. to describe manufacturing, use phase, waste management industries, as exogenous input to scenario modelling</t>
  </si>
  <si>
    <t>population, GDP, service demand, technology parameters etc. as exogenous input to scenario modelling</t>
  </si>
  <si>
    <t>population, economy, technology</t>
  </si>
  <si>
    <t>CIRCOMOD historic information database of exogenous parameters to calibrate the different scenario models</t>
  </si>
  <si>
    <t>2020-2100</t>
  </si>
  <si>
    <t>Material stocks and demand, recycling, GVA, labour, GHG, CED, RMI, land use, water use, as result of scenario modelling</t>
  </si>
  <si>
    <t>material cycles, economy, env. pressure indicators</t>
  </si>
  <si>
    <t>CIRCOMOD result database of material stocks and demand, recycling, GVA, labour, GHG, CED, RMI, land use, water use, as result of scenario modelling of the different scenario models</t>
  </si>
  <si>
    <t>CIRCOMOD_CE_profile_data</t>
  </si>
  <si>
    <t>Material production, GHG by sector, waste statistics, etc.</t>
  </si>
  <si>
    <t>ca. 2020</t>
  </si>
  <si>
    <t>CIRCOMOD CE profile data for the status quo in different end-use sectors, materials, and regions: Material production, GHG by sector, waste statistics, etc.</t>
  </si>
  <si>
    <t>SOUVERAEN</t>
  </si>
  <si>
    <t>energy transition; materials; critical materials; EU; supply chains</t>
  </si>
  <si>
    <t>SOUVERAEN is a joint project of Fraunhofer ISE, Uni Bayreuth, and Uni Freiburg</t>
  </si>
  <si>
    <t>SOUVERÄN: Sovereign and sustainable supply chains for key energy transition technologies in the EU</t>
  </si>
  <si>
    <t>SOUVERAEN project team</t>
  </si>
  <si>
    <t>Data will be available on Zenodo as of 2027</t>
  </si>
  <si>
    <t>2020-2060</t>
  </si>
  <si>
    <t>single country level</t>
  </si>
  <si>
    <t>stocks, flows, intensive, and extensive properties</t>
  </si>
  <si>
    <t>production and trade flows, production and installed capacity, material composition, unit process inventories, criticality metrics</t>
  </si>
  <si>
    <t>major technology and critical materials</t>
  </si>
  <si>
    <t>four energy conversion technologies</t>
  </si>
  <si>
    <t>PV, wind turbines, batteries, and electrolysers</t>
  </si>
  <si>
    <t>major processes in global supply chains and in the EU use phase and waste management industries</t>
  </si>
  <si>
    <t>3_LC_LorenzCurves_WID_Chancel_2019</t>
  </si>
  <si>
    <t>Lorenz curve, normalized</t>
  </si>
  <si>
    <t>Misc. Units</t>
  </si>
  <si>
    <t>Lorenz curve (normalized for population and indicators) for income and wealth in 2019 for ca. 160 countries, generated from the World Inequality Database (WID).</t>
  </si>
  <si>
    <t>income; wealth; inequality; Lorenz curve; World Inequality Database; monetary inequality</t>
  </si>
  <si>
    <t>This dataset was created from the raw data from the World Inequality Database and converted to Lorenz curves by Pauliuk (2024), https://doi.org/10.1016/j.ecolecon.2024.108161</t>
  </si>
  <si>
    <t>unity</t>
  </si>
  <si>
    <t>Value(r,t,1,I)</t>
  </si>
  <si>
    <t>Lorenz curve in misc. units for aptinc_992_j, pre-tax national income in Uruguay in 2019 for cumulative population share 0.6 is 0.233.</t>
  </si>
  <si>
    <t>[data type] in [Layer] of [Aspect 3] in [Aspect 1] and [Aspect 2] for cumulative population share [Aspect 4] is [Value].</t>
  </si>
  <si>
    <t>Lucas CHANCEL</t>
  </si>
  <si>
    <t>https://ars.els-cdn.com/content/image/1-s2.0-S0921800924000582-mmc1.xlsx</t>
  </si>
  <si>
    <t>Numbers (indicator by decile) downloaded from website, manually copied from original source (xlsx) to Excel spreadsheet, and converted to Lorenz curve with Python Script</t>
  </si>
  <si>
    <t>Chancel, L., Piketty, T., Saez, E., Zucman, G., et al., 2022. World Inequality Report 2022. World Inequality Lab</t>
  </si>
  <si>
    <t>3_MC_Buildings_Odense_Lanau_2020</t>
  </si>
  <si>
    <t>Three buildings types</t>
  </si>
  <si>
    <t>9 materials and the total</t>
  </si>
  <si>
    <t>Odense, Denmark</t>
  </si>
  <si>
    <t>one representative value for the city</t>
  </si>
  <si>
    <t>1850-2020</t>
  </si>
  <si>
    <t>10 age-cohort ranges</t>
  </si>
  <si>
    <t>Material content of residential buildings in Odense, Denmark, compiled by Lanau and Liu (2020), DOI: 10.1021/acs.est.9b07749  - for transferability purposes, see the Supporting Information S1.12 of this work.</t>
  </si>
  <si>
    <t>material; material content; residential buildings; urban; Odense; Denmark;</t>
  </si>
  <si>
    <t>Material Intensity Coefficient of Residential Buildings per floor area, directly copied from sheet "RB MIC (per floor area)" of supplementary file "es9b07749_si_002.xlsx" - for transferability purposes see the Supporting Information S1.12)</t>
  </si>
  <si>
    <t>Value(r,g,T,c,m)</t>
  </si>
  <si>
    <t>The mass per area of material composition of concrete in single family houses, aboveground, in Odense, Denmark, built in 1979-1998 is 83.61 kg/m².</t>
  </si>
  <si>
    <t>[Layer] of [data type] of [Aspect 5] in [Aspect 2], [Aspect 3] in [Aspect 1] built in [Aspect 4] is [Value].</t>
  </si>
  <si>
    <t>Maud LANAU</t>
  </si>
  <si>
    <t>https://doi.org/10.1021/acs.est.9b07749</t>
  </si>
  <si>
    <t>table in supplementary material</t>
  </si>
  <si>
    <t>3_MC_mobile_phones_Fontana_2019</t>
  </si>
  <si>
    <t>mobile phones</t>
  </si>
  <si>
    <t>20 types of mobile phones</t>
  </si>
  <si>
    <t>metals, plastics, total mass</t>
  </si>
  <si>
    <t>15 individual metals, 5 types of plastics, plus the total mass by 5 components</t>
  </si>
  <si>
    <t>one representative value for each type of phone</t>
  </si>
  <si>
    <t>1998-2016</t>
  </si>
  <si>
    <t>one representative value for each mobile phone</t>
  </si>
  <si>
    <t>material composition of mobile phones, for 20 individual models, extracted from Fontana et al. (2019), https://doi.org/10.1016/j.wasman.2019.08.011</t>
  </si>
  <si>
    <t>material composition; element composition; mobile phones; measurement; samples</t>
  </si>
  <si>
    <t>Measurements</t>
  </si>
  <si>
    <t>Data extracted from Tables 1, 2, and 3 and converted to g/unit. A few values "&lt;0.01%" converted to 0.</t>
  </si>
  <si>
    <t>Value(g,c,k,m)</t>
  </si>
  <si>
    <t>The mass per unit of copper in electronic components in Nokia 5110 manufactured in 1998 is 25.89 g.</t>
  </si>
  <si>
    <t>[Layer] of [Aspect 4] in [Aspect 3] in [Aspect 1] manufactured in [Aspect 2] is [Value].</t>
  </si>
  <si>
    <t>Danilo FONTANA</t>
  </si>
  <si>
    <t>https://doi.org/10.1016/j.wasman.2019.08.011</t>
  </si>
  <si>
    <t>Jad Nasr</t>
  </si>
  <si>
    <t>3_MC_Buildings_Toronto_Rankin_2024</t>
  </si>
  <si>
    <t>low-rise multi unit buildings</t>
  </si>
  <si>
    <t>Toronto, Canada</t>
  </si>
  <si>
    <t>39 building samples</t>
  </si>
  <si>
    <t>n.a.</t>
  </si>
  <si>
    <t>Material content of low-rise multi-uni residential buildings in Toronto, Canada, compiled by Rankin et al. (2024), https://doi.org/10.1111/jiec.13461</t>
  </si>
  <si>
    <t>material; material content; residential buildings; urban; low-rise multi-unit; Toronto; Canada</t>
  </si>
  <si>
    <t>Data behind Fig. 2b in the table, taken from data supplement</t>
  </si>
  <si>
    <t>Value(r,g,c,m)</t>
  </si>
  <si>
    <t>The mass per area of material composition of concrete in low-rise multi-unit residential building, laneway, in Toronto, Canada, built in n.a. is 694.16 kg/m².</t>
  </si>
  <si>
    <t>Keagan RANKIN</t>
  </si>
  <si>
    <t>https://doi.org/10.1111/jiec.13461</t>
  </si>
  <si>
    <t>3_MC_mobile_phones_Gomez_2023</t>
  </si>
  <si>
    <t>three types of mobile phones: feature phones, multimedia phones, smartphones, divided into six components</t>
  </si>
  <si>
    <t>metals, total mass</t>
  </si>
  <si>
    <t>63 individual metals, plus the total mass by component</t>
  </si>
  <si>
    <t>2003-2015</t>
  </si>
  <si>
    <t>one representative value for different time ranges</t>
  </si>
  <si>
    <t>material composition of mobile phones, average over five actual models for each type of phone, extracted from Goméz et al. (2023), https://doi.org/10.1016/j.jclepro.2023.138099</t>
  </si>
  <si>
    <t>Data copied from Appendix A Supplementary Data and converted from mass-% and ppm to g/component. data represent the average of five models for each type of phone</t>
  </si>
  <si>
    <t>Value(e,k,g,c)</t>
  </si>
  <si>
    <t>The mass per unit of copper in screens in feature phone manufactured in 2003-2015 is 0.15 g.</t>
  </si>
  <si>
    <t>[Layer] of [Aspect 1] in [Aspect 2] in [Aspect 3] manufactured in [Aspect 4] is [Value].</t>
  </si>
  <si>
    <t>Moisés GOMÉZ</t>
  </si>
  <si>
    <t>https://doi.org/10.1016/j.jclepro.2023.138099</t>
  </si>
  <si>
    <t>3_MC_mobile_phones_Gupta_2021</t>
  </si>
  <si>
    <t>26 types of mobile phones</t>
  </si>
  <si>
    <t>metals, battery, total mass</t>
  </si>
  <si>
    <t>24 individual metals, plus the total mass, plus battery mass</t>
  </si>
  <si>
    <t>2000-2016</t>
  </si>
  <si>
    <t>material composition of mobile phones, for 26 individual models, extracted from Gupta et al. (2021), https://doi.org/10.1016/j.jece.2020.104603</t>
  </si>
  <si>
    <t>Data extracted from Tables 1 and 2 and converted to g/unit. Some values with "ND" (not detected) converted to 0.</t>
  </si>
  <si>
    <t>The mass per unit of copper in entire device, without battery in Nokia 3310 manufactured in 2000 is 7.397 g.</t>
  </si>
  <si>
    <t>Nipoon GUPTA</t>
  </si>
  <si>
    <t>https://doi.org/10.1016/j.jece.2020.104603</t>
  </si>
  <si>
    <t>table in journal paper (pdf)</t>
  </si>
  <si>
    <t>3_MC_Urban_Stock_China_Xiang_LI_2023</t>
  </si>
  <si>
    <t>Urban stocks: buildings, infrastructure, vehicles, appliances</t>
  </si>
  <si>
    <t>ca. 40 buildings, infrastructure types, vehicles, appliances</t>
  </si>
  <si>
    <t>major and technology materials</t>
  </si>
  <si>
    <t>24 major and technology materials</t>
  </si>
  <si>
    <t>country-level representative value</t>
  </si>
  <si>
    <t>1978-2020</t>
  </si>
  <si>
    <t>representative values for different time ranges</t>
  </si>
  <si>
    <t>material composition of buildings, infrastructure, vehicles, and appliances in China, 1978-2020, from "Product, building, and infrastructure material stocks dataset for 337 Chinese cities between 1978 and 2020" by Li et al. (2023), DOI https://doi.org/10.1038/s41597-023-02143-w</t>
  </si>
  <si>
    <t>material composition; buildings; infrastructure; vehicles; appliances; China; urban</t>
  </si>
  <si>
    <t>taken from data supplement, table "Material intensity 1978-2020.xlsx"</t>
  </si>
  <si>
    <t>Material composition of gravel in urban residential buildings in China built in 2000-2020 is 881 kg/m².</t>
  </si>
  <si>
    <t>[Data type] of [Aspect 4] in [Aspect 1] in [Aspect 2] built in [Aspect 3] is [Value].</t>
  </si>
  <si>
    <t>Xiang Li</t>
  </si>
  <si>
    <t>https://doi.org/10.6084/m9.figshare.c.6315987.v1</t>
  </si>
  <si>
    <t>https://doi.org/10.1038/s41597-023-02143-w</t>
  </si>
  <si>
    <t>3_MC_residential_buildings_Germany_per_area_IOER</t>
  </si>
  <si>
    <t>one aggregate process</t>
  </si>
  <si>
    <t>13 different building types/groups of residential buildings</t>
  </si>
  <si>
    <t>46 materials</t>
  </si>
  <si>
    <t>country sample</t>
  </si>
  <si>
    <t>material content of residential buildings in Germany, average values based on a sample of real projects from the BKI-Database</t>
  </si>
  <si>
    <t>material; material content; residential buildings; Germany; buildings; building materials; construction materials; useful floor area</t>
  </si>
  <si>
    <t>Representative (synthetic) sample, aggregated from survey results</t>
  </si>
  <si>
    <t xml:space="preserve">data converted from material content of a typical building, divided by its useful floor area ('Nutzungsfläche'). </t>
  </si>
  <si>
    <t>Value(r,c,m,g)</t>
  </si>
  <si>
    <t>Mass per area measuring material composition of standard concrete in single-family house in Germany built in 1949-1978 is 0.812 t/m².</t>
  </si>
  <si>
    <t>[Layer] measuring [data type] of [Aspect 3] in [Aspect 4] in [Aspect 1] built in [Aspect 2] is [Value].</t>
  </si>
  <si>
    <t xml:space="preserve">Leibniz-Institut für ökologische Raumentwicklung e. V. </t>
  </si>
  <si>
    <t>https://ioer-isbe.de/en/resources/construction-data/residential-buildings</t>
  </si>
  <si>
    <t>Materials divided by the gross floor area to calculate material intensity</t>
  </si>
  <si>
    <t>added age-cohort aspect</t>
  </si>
  <si>
    <t>3_MC_residential_buildings_Germany_per_volume_IOER</t>
  </si>
  <si>
    <t>material; material content; residential buildings; Germany; buildings; building materials; construction materials; gross building volume</t>
  </si>
  <si>
    <t xml:space="preserve">data converted from material content of a typical building, divided by its gross building volume ('Bruttorauminhalt'). </t>
  </si>
  <si>
    <t>Mass per area measuring material composition of standard concrete in single-family house in Germany built in 1949-1978 is 0.227 t/m³.</t>
  </si>
  <si>
    <t>3_MC_nonresidential_buildings_Germany_per_area_IOER</t>
  </si>
  <si>
    <t>nonresidential buildings</t>
  </si>
  <si>
    <t>25 different building types/groups of nonresidential buildings</t>
  </si>
  <si>
    <t>material content of nonresidential buildings in Germany, average values based on a sample of real projects from the BKI-Database</t>
  </si>
  <si>
    <t>material; material content; non-residential buildings; Germany; buildings; building materials; construction materials; gross floor area</t>
  </si>
  <si>
    <t>data converted from material content of a typical building, divided by its gross floor area ('Brutto-Grundfläche'). Two independent datasets on office buildings (listed twice).</t>
  </si>
  <si>
    <t>Mass per area measuring material composition of standard concrete in multi-story car park in Germany built in ca. 2020 is 1.288 t/m².</t>
  </si>
  <si>
    <t>https://ioer-isbe.de/en/resources/construction-data/non-residential-buildings</t>
  </si>
  <si>
    <t>Material content of nonresidential buildings in Germany, average values based on a sample of real projects from the BKI-Database</t>
  </si>
  <si>
    <t>material; material content; non-residential buildings; Germany; buildings; building materials; construction materials; gross building volume</t>
  </si>
  <si>
    <t>data converted from material content of a typical building, divided by its gross building volume ('Bruttorauminhalt'). Two independent datasets on office buildings (listed twice).</t>
  </si>
  <si>
    <t>Mass per volume measuring material composition of standard concrete in multi-story car park in Germany built in ca. 2020 is 0.507 t/m³.</t>
  </si>
  <si>
    <t>Materials divided by the gross volume to calculate material intensity</t>
  </si>
  <si>
    <t>1_F_MISO2_Ew_Material_Cycles_2024_F_9_10_final_consumption_Single_Country</t>
  </si>
  <si>
    <t>14 end-use sectors, including Buildings, Infrastructure, Machinery, Short lived products</t>
  </si>
  <si>
    <t>24 material groups</t>
  </si>
  <si>
    <t>single value for the year 2016</t>
  </si>
  <si>
    <t>Inflow to use phase (final consumption). Original name of flow: F_9_10_GAS_enduse. Results of the MAT_STOCKS project, MISO2 model.</t>
  </si>
  <si>
    <t>Original name of flow: Flow F_9_10 (gross additions to stock) by country, material, end-use product group. MISO2_config_id 5b36b2f8-3abc-4060-abc0-2ed0fc3ee474</t>
  </si>
  <si>
    <t>Value(m,O,g,D,r,t)</t>
  </si>
  <si>
    <t>Dry mass measuring flow of bricks from markets for final products and commodities to residential buildings in use phase in Afghanistan in 2016 is 4375,357787 kt/yr.</t>
  </si>
  <si>
    <t>[Layer] measuring [data type] of [Aspect 1] from [Aspect 2] to [Aspect 3] in [Aspect 4] in [Aspect 5] in [Aspect 6] is [Value].</t>
  </si>
  <si>
    <t>xlsx file</t>
  </si>
  <si>
    <t>This dataset is a high-resolution version of the publicly available aggregated dataset on Zenodo. Labels were shifted to IEDC classifications without changing their meaning.</t>
  </si>
  <si>
    <t>3_EI_Appliances_CIRCOMOD</t>
  </si>
  <si>
    <t>v0</t>
  </si>
  <si>
    <t>Appliances</t>
  </si>
  <si>
    <t>ca. 70 different types of appliances</t>
  </si>
  <si>
    <t>values for the USA, Europe, and Germany</t>
  </si>
  <si>
    <t>ca. 2012</t>
  </si>
  <si>
    <t>single value per appliance</t>
  </si>
  <si>
    <t>Specific energy consumption of appliances, in kWh/unit/yr</t>
  </si>
  <si>
    <t>appliances; energy consumption; use phase; specific energy consumption; energy intensity of operation</t>
  </si>
  <si>
    <t>Compiled by the CIRCOMOD team under coordination of Martijn van Engelenburg.</t>
  </si>
  <si>
    <t>Value(g,V,r,t,n)</t>
  </si>
  <si>
    <t>Specific energy consumption of products for 'coffee maker: percolater (warm)' consuming electricity to generate services generated by household appliances in USA in 2012 was 29 kWh/yr</t>
  </si>
  <si>
    <t>[Layer] for [Aspect 1] consuming [Aspect 5] to generate [Aspect 2] in [Aspect 3] in [Aspect 4] was [Value].</t>
  </si>
  <si>
    <t>See comment for each data entry</t>
  </si>
  <si>
    <t>Martijn van Engelenburg</t>
  </si>
  <si>
    <t>Numbers manually copied from original sources to Excel spreadsheet</t>
  </si>
  <si>
    <t>3_LT_Appliances_CIRCOMOD</t>
  </si>
  <si>
    <t>appliances</t>
  </si>
  <si>
    <t>about 200 different types of appliances</t>
  </si>
  <si>
    <t>representative values for the world, European countries, China, and Japan</t>
  </si>
  <si>
    <t>single year values</t>
  </si>
  <si>
    <t>mean lifetime of appliances in the use phase, compiled by several colleagues from the CIRCOMOD EU project</t>
  </si>
  <si>
    <t>lifetime; appliances; use phase;</t>
  </si>
  <si>
    <t>Product 'electric cooker' of age-cohort ca. 2020 in the use phase in region 'China' has average lifetime of 5 years.</t>
  </si>
  <si>
    <t>3_MC_appliances_repair_refurbishment_Boldoczki_Otterbach</t>
  </si>
  <si>
    <t>product repair and refurbishment</t>
  </si>
  <si>
    <t>one aggregate manufacturing step</t>
  </si>
  <si>
    <t>washing maschines</t>
  </si>
  <si>
    <t>engineering materials</t>
  </si>
  <si>
    <t>8-10 different materials per appliance type</t>
  </si>
  <si>
    <t>country-specific values</t>
  </si>
  <si>
    <t>2020-2024</t>
  </si>
  <si>
    <t>product specific</t>
  </si>
  <si>
    <t>Material (in kg/unit) added during repair and refurbishment of appliance</t>
  </si>
  <si>
    <t>material; refurbish; refurbishment; repair; washing machines</t>
  </si>
  <si>
    <t>Aggregated dataset with data from various sources, see the comment for each entry!</t>
  </si>
  <si>
    <t>Value(g,c,r,m,v,L)</t>
  </si>
  <si>
    <t>Mass per unit of aluminium built into washing machines manufactured in 2024 in Germany for circular economy strategy 'refurbish' is 1177.5 g/1.</t>
  </si>
  <si>
    <t>[Layer/Aspect 6] of [Aspect 4] in [Aspect 1] built in [Aspect 2] in [Aspect 3] for circular economy strategy [Aspect 5] is [Value].</t>
  </si>
  <si>
    <t>Boldoczki, S., Thorenz, A. &amp; Tuma, A. (2021), https://onlinelibrary.wiley.com/doi/abs/10.1111/jiec.13104</t>
  </si>
  <si>
    <t>journal paper with figures, tables, and supplement</t>
  </si>
  <si>
    <t>Natale Otterbach, Magnus Fröhling (2024), https://doi.org/10.1016/j.resconrec.2024.107446</t>
  </si>
  <si>
    <t>Arias Castillo</t>
  </si>
  <si>
    <t>6_PCS_Appliances_CIRCOMOD</t>
  </si>
  <si>
    <t>use phase - appliances</t>
  </si>
  <si>
    <t>ca. 38 different types of appliances</t>
  </si>
  <si>
    <t>13 different countries and regions</t>
  </si>
  <si>
    <t>1974-2050</t>
  </si>
  <si>
    <t>values for different appliances vary, from historic stock estimates to scenario trajectories</t>
  </si>
  <si>
    <t>per capita in use stocks of appliances, in different regions</t>
  </si>
  <si>
    <t>per capita stocks, in use stocks; appliances; use phase</t>
  </si>
  <si>
    <t>See comment for each data entry for the data source of each data point</t>
  </si>
  <si>
    <t>Value(g,p,t,r,y)</t>
  </si>
  <si>
    <t>In-use stock of microwave oven in use phase - appliances in rural and urban regions in Denmark in 2010 is 0,76 1/household.</t>
  </si>
  <si>
    <t>[Type] of [Aspect 1] in [Aspect 2] in [Aspect 5] in [Aspect 4] in [Aspect 3] is [value].</t>
  </si>
  <si>
    <t>3_MC_appliances_CIRCOMOD</t>
  </si>
  <si>
    <t>product manufacturing processes</t>
  </si>
  <si>
    <t>household appliances</t>
  </si>
  <si>
    <t>large number of different appliance types</t>
  </si>
  <si>
    <t>typically 5-20 different materials per appliance type</t>
  </si>
  <si>
    <t>Global, multi-regional</t>
  </si>
  <si>
    <t>mix of globally representative and country-specific (China, EU, …) values</t>
  </si>
  <si>
    <t>different age-cohorts, from n.a. to back to the 1980s to post 2020 data</t>
  </si>
  <si>
    <t>Material composition (in kg/item or in %) of household appliances</t>
  </si>
  <si>
    <t>material; material composition; household appliances; appliances</t>
  </si>
  <si>
    <t>Aggregated dataset with data from various sources, see the comment for each entry! Compiled by the CIRCOMOD team under coordination of Meng Jiang.</t>
  </si>
  <si>
    <t>Value(g,c,r,k,m,v,L)</t>
  </si>
  <si>
    <t>Mass per unit of copper in component 'entire device' in refrigerators built in 1983 in China for circular economy strategy 'none' is 1.5 kg/1.</t>
  </si>
  <si>
    <t>[Layer/Aspect 7] of [Aspect 5] in [Aspect 4] in [Aspect 1] built in [Aspect 2] in [Aspect 3] for circular economy strategy [Aspect 6] is [Value].</t>
  </si>
  <si>
    <t>Meng Jiang</t>
  </si>
  <si>
    <t>3_MC_electronics_Buechler_2020</t>
  </si>
  <si>
    <t>electronics</t>
  </si>
  <si>
    <t>ten different specific products and components thereof</t>
  </si>
  <si>
    <t>metals</t>
  </si>
  <si>
    <t>48 individual metals, plus the total mass</t>
  </si>
  <si>
    <t>one representative value for each product</t>
  </si>
  <si>
    <t>not explicitly defined, can be inferred from the model year of the devices listed</t>
  </si>
  <si>
    <t>material composition of specific electronic devices, for 48 metals and the total mass, from Buechler et al. (2020), https://doi.org/10.1016/j.wasman.2019.12.014</t>
  </si>
  <si>
    <t>material composition; element composition; electronic goods; computer; telecommunication; measurement; samples</t>
  </si>
  <si>
    <t>Data extracted from Tables 1, 2, 4, 5, and 6 and converted to g/unit. Entries converted to 0: D: Detected but not quantifiable, ND: Not detected, N/A: Not applicable, LA: Low accuracy</t>
  </si>
  <si>
    <t>Value(g,e)</t>
  </si>
  <si>
    <t>The mass per unit of cobalt in HP – LaserJet 4100TN printer is 0.115 g.</t>
  </si>
  <si>
    <t>[Layer] of [Aspect 2] in [Aspect 1] is [Value].</t>
  </si>
  <si>
    <t>Dylan T Buechler</t>
  </si>
  <si>
    <t>https://doi.org/10.1016/j.wasman.2019.12.014</t>
  </si>
  <si>
    <t>3_MC_Heat_Pumps_Kaegi_2021</t>
  </si>
  <si>
    <t>heat pumps</t>
  </si>
  <si>
    <t>3 different types of heat pumps: 7 kW, 15 kW, 50 kW</t>
  </si>
  <si>
    <t>main materials of the heat pumps</t>
  </si>
  <si>
    <t>8 different materials, plus misc. materials in electronics</t>
  </si>
  <si>
    <t>Western Europe</t>
  </si>
  <si>
    <t>unknown/not specified, ca. 2015-2020 chosen as representative value</t>
  </si>
  <si>
    <t>Material content of air-water heat pumps of 7 kW, 15 kW, and 50 kW thermal power</t>
  </si>
  <si>
    <t>material; material content; Europe; heat pump; air-water heat pump</t>
  </si>
  <si>
    <t>Estimation, based on (alpha innotec deutschland GmbH, 2017, 2020; CTA AG, 2017; CTC Giersch AG, 2018, 2019; Heck, PSI, 2003; Vaillant GmbH, 2019; Viessmann Werke GmbH &amp; Co. KG, 2019, 2020b, 2020a). See main reference for the sources.</t>
  </si>
  <si>
    <t>Material composition of air-water heat pump, 7 kW measured as mass of R410A per unit of air-water heat pump, 7 kW in Western Europe in ca. 2015-2020 is 3.5 kg/item.</t>
  </si>
  <si>
    <t>[data type] of [Aspect 2] measured as [layer] of [Aspect 4] per area of [aspect 2] in [Aspect 1] in [Aspect 3] is [Value].</t>
  </si>
  <si>
    <t>Thomas KÄGI &amp; Mischa ZSCHOKKE</t>
  </si>
  <si>
    <t>https://www.bafu.admin.ch/dam/bafu/en/dokumente/wirtschaft-konsum/externe-studien-berichte/life-cycle-inventories-of-heating.pdf.download.pdf/life-cycle-inventories-of-heating.pdf</t>
  </si>
  <si>
    <t>table in pdf</t>
  </si>
  <si>
    <t>Life cycle inventories of heating systems Life cycle inventories of heating systems, Carbotech AG, Switzerland, 2021.</t>
  </si>
  <si>
    <t>3_MC_Heating_Technologies_Saoud_2021</t>
  </si>
  <si>
    <t>heating technologies</t>
  </si>
  <si>
    <t>heat pump, solar heater, electric boiler</t>
  </si>
  <si>
    <t>main materials</t>
  </si>
  <si>
    <t>steel, aluminium, copper, plastics, refrigerants</t>
  </si>
  <si>
    <t>Western Europe/Global</t>
  </si>
  <si>
    <t>Material content of heat pump, solar heater, electric boiler</t>
  </si>
  <si>
    <t>material; material content; Europe; heat pump; air source heat pump; solar heater; electric boiler</t>
  </si>
  <si>
    <t>Estimation, based on Stiebel Eltron WPL57, conventional electric water heater with a 315 l capacity, flat plate solar water heater with data from previous study</t>
  </si>
  <si>
    <t>Value(r,g,k,c,m)</t>
  </si>
  <si>
    <t>Material composition of air source heat pump measured as mass of copper in evaporator per unit of air source heat pump in Germany in ca. 2015-2020 is 20.52 kg/item.</t>
  </si>
  <si>
    <t>[data type] of [Aspect 2] measured as [layer] of [Aspect 5] in [Aspect 4] per item of [aspect 2] in [Aspect 1] in [Aspect 3] is [Value].</t>
  </si>
  <si>
    <t>Assaad Saoud</t>
  </si>
  <si>
    <t>https://doi.org/10.1016/j.jobe.2021.103253</t>
  </si>
  <si>
    <t>3_MC_HS92_FeNiCu_Nakajima_2018</t>
  </si>
  <si>
    <t>commodity markets</t>
  </si>
  <si>
    <t>about 650 different categories of manufactured goods, distinguished by HS92 code</t>
  </si>
  <si>
    <t>iron, copper, nickel</t>
  </si>
  <si>
    <t>3 different materials</t>
  </si>
  <si>
    <t>unknown/not specified, ca. 2003 chosen as representative value, as study period is 1995-2010.</t>
  </si>
  <si>
    <t>Material content (in t/t and t/money) of about 650 different categories of manufactured goods, distinguished by HS92 code</t>
  </si>
  <si>
    <t>material; material content; commodity; manufactured goods; HS92</t>
  </si>
  <si>
    <t>Data copied from supplementary sheets "Tab_S2_Iron", "Tab_S2_Copper", and "Tab_S2_Nickel". Time aspect "ca. 2003" added, as this is the middle year for the time range of the analysis. Reference year for the currency "MY" not indicated.</t>
  </si>
  <si>
    <t>Value(r,m,g,t)</t>
  </si>
  <si>
    <t>Material composition of iron in "260112, Iron ores and concentrates, other than roasted iron pyrites :-- Agglomerated" in Global in ca. 2003 is 0.5352 t/t.</t>
  </si>
  <si>
    <t>[data type] of [Aspect 2] in [Aspect 3] in [Aspect 1] in [Aspect 4] is [Value].</t>
  </si>
  <si>
    <t>CC BY NC ND 4.0</t>
  </si>
  <si>
    <t>Kenichi NAKAJIMA</t>
  </si>
  <si>
    <t>https://doi.org/10.1016/j.resconrec.2017.08.029</t>
  </si>
  <si>
    <t>table in supplementary excel file</t>
  </si>
  <si>
    <t>3_MC_Infrastructure_Steger_2011</t>
  </si>
  <si>
    <t>Infrastructure</t>
  </si>
  <si>
    <t>5 road types, 3 types of road bridges, railway tracks, catenary, singalling, bridges, and tunnels</t>
  </si>
  <si>
    <t>Major construction materials</t>
  </si>
  <si>
    <t>10+ Materials</t>
  </si>
  <si>
    <t>Depends on sector. ca. 1990-2010 for some, age-cohorts from 2001 onwards for others.</t>
  </si>
  <si>
    <t>Material content of roads and rail infrastructure in Germany. Based on the final report of the MaRess project, Wuppertal Institut, 2001.</t>
  </si>
  <si>
    <t>material; material content; Germany; roads; railways; infrastructure; bridges; tunnels</t>
  </si>
  <si>
    <t>Data as reported by final project report of MaRess project. Original data sources are given in the report.</t>
  </si>
  <si>
    <t>Mass per area measuring material composition of gravel in motorway in Germany built in 2001 or later is 647.5 kg/m².</t>
  </si>
  <si>
    <t>[Layer] measuring [data type] of [Aspect 4] in [Aspect 2] in [Aspect 1] built in [Aspect3] is [Value].</t>
  </si>
  <si>
    <t>Sören STEGER</t>
  </si>
  <si>
    <t>https://epub.wupperinst.org/frontdoor/deliver/index/docId/3973/file/MaRess_AP2_4.pdf</t>
  </si>
  <si>
    <t>data come in tables in pdf</t>
  </si>
  <si>
    <t>Alexander McShane</t>
  </si>
  <si>
    <t>3_MC_Roads_Lanau_2020</t>
  </si>
  <si>
    <t>material volume per area</t>
  </si>
  <si>
    <t>roads</t>
  </si>
  <si>
    <t>6 road types, distinguished by function, pavement, and bike lane</t>
  </si>
  <si>
    <t>road construction materials</t>
  </si>
  <si>
    <t>seven main road construction materials</t>
  </si>
  <si>
    <t xml:space="preserve">Denmark </t>
  </si>
  <si>
    <t>Material content of roads in Denmark based on the Danish Road Directorate</t>
  </si>
  <si>
    <t>material; material content; Denmark; roads; infrastructure</t>
  </si>
  <si>
    <t>temporal scope/age-cohort is unknown/not specified, ca. 2015-2020 chosen as representative value</t>
  </si>
  <si>
    <t>Material composition of primary local road measured as material volume per area of powdered asphalt per area of primary local road in Denmark in ca. 2015-2020 is 0.025 m³/m².</t>
  </si>
  <si>
    <t>Numbers manually copied from original source (SI) to Excel spreadsheet and converted from mm thickness to m³ of material per m² of road area</t>
  </si>
  <si>
    <t>3_MC_WEEE_Hlavatska_Ukraine_2021</t>
  </si>
  <si>
    <t>WEEE (end-of-life electronic goods)</t>
  </si>
  <si>
    <t>mobile phone and parts of computer</t>
  </si>
  <si>
    <t>all materials together (total weight)</t>
  </si>
  <si>
    <t>Ukraine</t>
  </si>
  <si>
    <t>ca. 2020 as year of measurement, paper was submitted and published in 2021.</t>
  </si>
  <si>
    <t>Mass of components of WEEE (end-of-life electronic goods), sample size: 1 device for each component</t>
  </si>
  <si>
    <t>material; material content; Ukraine; WEEE; mobile phone; computer</t>
  </si>
  <si>
    <t>Mass of components of WEEE (end-of-life electronic goods), determined by dismantling the devices and weighing their components. Sample size: 1 device for each component</t>
  </si>
  <si>
    <t>Value(m,k,g,t,r)</t>
  </si>
  <si>
    <t>Material composition, measured in mass per unit of all materials in capacitor in mobile phone discarded in 2020 in Ukraine is 4,2 g per unit.</t>
  </si>
  <si>
    <t>[Data type], measured as [Layer] of [Aspect 1] in [Aspect 2] in [Aspect 2] in [Aspect 4] in [Aspect 5] is [Value].</t>
  </si>
  <si>
    <t>Lilia HLAVATSKA</t>
  </si>
  <si>
    <t>https://doi.org/10.12911/22998993/141571</t>
  </si>
  <si>
    <t>6_IMI_Metals_Nuss_Eckelman_LCA_2014</t>
  </si>
  <si>
    <t>from_SI</t>
  </si>
  <si>
    <t>global average LCA product systems for producing different metals and other pure chemical elements</t>
  </si>
  <si>
    <t>one aggregate product system for each chemical element</t>
  </si>
  <si>
    <t>64 chemical elements, from He to U</t>
  </si>
  <si>
    <t>by chemical element</t>
  </si>
  <si>
    <t>ca. 2008</t>
  </si>
  <si>
    <t>one representative value for the time range covered by ecoinvent 2.2</t>
  </si>
  <si>
    <t>Core CED and GWP100 per kg of chemical element results from "Life Cycle Assessment of Metals: A Scientific Synthesis", by Nuss and Eckelman (2014).</t>
  </si>
  <si>
    <t>CED; GWP100; metals; elements</t>
  </si>
  <si>
    <t>2.5th and 97.5th percentiles converted to stats_array_string</t>
  </si>
  <si>
    <t>Value(e,I,o,d,r,t)</t>
  </si>
  <si>
    <t>CED of Fe from natural environment to product system of a given commodity in ca. 2008 for Global was 23,1 MJ/kg with uncertainty 27;20.9;25.5;none.</t>
  </si>
  <si>
    <t>[Aspect 2] of [Aspect 1] from [Aspect 3] to [Aspect 4] for [Aspect 5] for [Aspect 6] is [Value].</t>
  </si>
  <si>
    <t>Philip NUSS</t>
  </si>
  <si>
    <t>https://doi.org/10.1371/journal.pone.0101298</t>
  </si>
  <si>
    <t>docx file with data in table</t>
  </si>
  <si>
    <t>Numbers transferred from original data files (.docx) to iedc data insertion template (xlsx).</t>
  </si>
  <si>
    <t>6_IMI_Metals_Van_der_Voet_2019</t>
  </si>
  <si>
    <t>global average LCA product systems for producing different metals, divided into primary production from ore and secondary production from scrap</t>
  </si>
  <si>
    <t>one aggregate product system for each metal</t>
  </si>
  <si>
    <t>seven major metals</t>
  </si>
  <si>
    <t>by metal</t>
  </si>
  <si>
    <t>2010 and 2020</t>
  </si>
  <si>
    <t>one representative value for each year</t>
  </si>
  <si>
    <t>CED and GWP100 per kg for producing different metals, divided into primary production from ore and secondary production from scrap, by van der Voet et al. (2019)</t>
  </si>
  <si>
    <t>CED; GWP100; metals; steel; copper; aluminium; lead; zinc; manganese; nickel</t>
  </si>
  <si>
    <t>In the original source, scenario values are also available for 2015, 2025, 2030, 2035, 2040, 2045, and 2050.</t>
  </si>
  <si>
    <t>CED of steel from natural environment to product system of a given commodity, primary production from ore for Global in 2010 is 30.8 MJ/kg.</t>
  </si>
  <si>
    <t>Ester Van der Voet</t>
  </si>
  <si>
    <t>https://onlinelibrary.wiley.com/doi/10.1111/jiec.12722</t>
  </si>
  <si>
    <t>pdf file with data in table</t>
  </si>
  <si>
    <t>DOI: 10.1111/jiec.12722</t>
  </si>
  <si>
    <t>Numbers transferred from original data files (.pdf) to iedc data insertion template (xlsx).</t>
  </si>
  <si>
    <t>6_MIP_EnergyCarriers_Wikipedia</t>
  </si>
  <si>
    <t>status_2025_March_11</t>
  </si>
  <si>
    <t>one aggregate sector</t>
  </si>
  <si>
    <t>major energy carriers</t>
  </si>
  <si>
    <t>ca. 20 major energy carriers</t>
  </si>
  <si>
    <t>one average value, independent of location</t>
  </si>
  <si>
    <t>one average value, independent of time</t>
  </si>
  <si>
    <t>specific energy, energy density, CO2 per kg of fuel combusted/burned, and energy per CO2 for ca. 20 major energy carriers</t>
  </si>
  <si>
    <t>specific energy; energy density; CO2 per fuel; energy per CO2; biofuels; fossil fuels</t>
  </si>
  <si>
    <t>copied from table on Wikipedia page on March 11, 2025</t>
  </si>
  <si>
    <t>Value(n,X)</t>
  </si>
  <si>
    <t>CO2 per kg of fuel combusted/burned (scope 1) of diesel is 3.4 kg/kg.</t>
  </si>
  <si>
    <t>[Aspect 2] of [Aspect 1] is [Value].</t>
  </si>
  <si>
    <t>https://en.wikipedia.org/wiki/Energy_content_of_biofuel</t>
  </si>
  <si>
    <t>numbers in table on website</t>
  </si>
  <si>
    <t>Numbers transferred from original format (table on webstie) to IEDC data insertion template.</t>
  </si>
  <si>
    <t>3_LT_Electricity_Generation_Technologies_Allington_2022</t>
  </si>
  <si>
    <t>Electricity generation technologies</t>
  </si>
  <si>
    <t>18 different generation technologies</t>
  </si>
  <si>
    <t>3 continents</t>
  </si>
  <si>
    <t>East Asia, Africa, and South America</t>
  </si>
  <si>
    <t>Lifetime of electricity generation technologies in the use phase, by type of generation technology, continent representative estimates. From Allington et al. (2022): "‘Starter kit’ energy system modelling data for selected countries in Africa, East Asia, and South America".</t>
  </si>
  <si>
    <t>lifetime; energy infrastructure; electricity generation technologies; use phase;</t>
  </si>
  <si>
    <t>Representative values based on compilation from scientific literature and expert estimates</t>
  </si>
  <si>
    <t>Product 'Solar PV (Utility)' of age-cohorts ca. 2020 in the use phase in region 'East Asia' has lifetime of 30 years.</t>
  </si>
  <si>
    <t>Lucy ALLINGTON</t>
  </si>
  <si>
    <t>https://doi.org/10.1016/j.dib.2022.108021</t>
  </si>
  <si>
    <t>3_LT_Appliances_Norway_Krych_2025_own_estimates</t>
  </si>
  <si>
    <t>6 different appliances</t>
  </si>
  <si>
    <t>country-level aggregate</t>
  </si>
  <si>
    <t>1980-2022 (age-cohorts)</t>
  </si>
  <si>
    <t>mean lifetime of appliances in the use phase, estimated for Norway by Krych and Pettersen (2025): "Long-term lifetime trends of large appliances since the introduction in Norwegian households"</t>
  </si>
  <si>
    <t>Krych and Pettersen also report the 0th, 25th, 50th, 75th, and 100th percentiles.</t>
  </si>
  <si>
    <t>Product 'dishwashers' of age-cohort 2022 in the use phase in region 'Norway' has average lifetime of 14.08 years.</t>
  </si>
  <si>
    <t>Kamila KRYCH</t>
  </si>
  <si>
    <t>https://onlinelibrary.wiley.com/action/downloadSupplement?doi=10.1111%2Fjiec.13608&amp;file=jiec13608-sup-0002-SuppMat.xlsx</t>
  </si>
  <si>
    <t>excel spreadsheet</t>
  </si>
  <si>
    <t>https://doi.org/10.1111/jiec.13608</t>
  </si>
  <si>
    <t>Numbers manually copied from original source (xlsx) and reformatted to Excel spreadsheet</t>
  </si>
  <si>
    <t>3_LT_Appliances_Norway_Krych_2025_literature_values</t>
  </si>
  <si>
    <t>high-income countries</t>
  </si>
  <si>
    <t>Norway and other high-income countries</t>
  </si>
  <si>
    <t>1965-2015 (age-cohort)</t>
  </si>
  <si>
    <t>mean lifetime of appliances in the use phase, compiled by Krych and Pettersen (2025): "Long-term lifetime trends of large appliances since the introduction in Norwegian households"</t>
  </si>
  <si>
    <t>Product 'dishwashers' of age-cohort 1972 in the use phase in region 'Norway' has lifetime of 20.2 years.</t>
  </si>
  <si>
    <t>November 2024 update</t>
  </si>
  <si>
    <t>no upload of data, just link!</t>
  </si>
  <si>
    <t>March 2025 update</t>
  </si>
  <si>
    <t>3_MC_nonresidential_buildings_Germany_per_volume_IOER</t>
  </si>
  <si>
    <t>dataset entry created, data uploaded on March 17, 2025.</t>
  </si>
  <si>
    <t>USGS_data</t>
  </si>
  <si>
    <t>stocks and flows</t>
  </si>
  <si>
    <t>mining, extraction, refining</t>
  </si>
  <si>
    <t>major process steps in mining, extraction, refining</t>
  </si>
  <si>
    <t>metals and non-metallic minerals</t>
  </si>
  <si>
    <t>individiual metals and non-metallic minerals</t>
  </si>
  <si>
    <t>2020-2030</t>
  </si>
  <si>
    <t>USGS data on mining, extraction, refining of individiual metals and non-metallic minerals</t>
  </si>
  <si>
    <t>USGS; mining; refining; metal</t>
  </si>
  <si>
    <t>USGS</t>
  </si>
  <si>
    <t>https://www.usgs.gov/centers/national-minerals-information-center/mineral-commodity-summaries</t>
  </si>
  <si>
    <t>EU-HOTMAPS</t>
  </si>
  <si>
    <t>EU HOTMAPS project consortium</t>
  </si>
  <si>
    <t>stocks and energy intensities</t>
  </si>
  <si>
    <t>floorspace and final energy</t>
  </si>
  <si>
    <t xml:space="preserve">use phase </t>
  </si>
  <si>
    <t>aggregate process</t>
  </si>
  <si>
    <t>residential and non-residential buildings</t>
  </si>
  <si>
    <t>two residential and six non-residential building types</t>
  </si>
  <si>
    <t>in-use stock (constructed and covered building area) and specific final energy demand for the three building services heating, cooling, and domestic hot water</t>
  </si>
  <si>
    <t>HOTMAPS; building area; building energy demand; final energy; in-use stock; buildings</t>
  </si>
  <si>
    <t>https://www.hotmaps-project.eu/hotmaps-project/</t>
  </si>
  <si>
    <t>EU HOTMAPS - The open source mapping and planning tool for heating and cooling</t>
  </si>
  <si>
    <t>https://gitlab.com/hotmaps</t>
  </si>
  <si>
    <t>EU material criticality indicators</t>
  </si>
  <si>
    <t>criticality indicators</t>
  </si>
  <si>
    <t>use phase, entire industry</t>
  </si>
  <si>
    <t>major critical materials, metals and minerals</t>
  </si>
  <si>
    <t>aggregate EU level indicators</t>
  </si>
  <si>
    <t>2011-future updates</t>
  </si>
  <si>
    <t>values for fixed years: 2011, 2020, …</t>
  </si>
  <si>
    <t>EU critical raw materials list and indicators for 2011, 2020, ..., concentration of imports, recycling rates</t>
  </si>
  <si>
    <t>EU; European Union; critical materials; import dependency; raw materials; criticality</t>
  </si>
  <si>
    <t>European Commission</t>
  </si>
  <si>
    <t>https://eur-lex.europa.eu/legal-content/EN/TXT/</t>
  </si>
  <si>
    <t>3_EI_HOTMAPS_EU_2015_residential</t>
  </si>
  <si>
    <t>v2018</t>
  </si>
  <si>
    <t>all residential buildings</t>
  </si>
  <si>
    <t>three building types, plus the total</t>
  </si>
  <si>
    <t>EU28 plus total</t>
  </si>
  <si>
    <t>single value, broken down into seven age-cohort ranges</t>
  </si>
  <si>
    <t>Specific final energy demand for building energy services (heating, cooling, domestic hot water DHW), final energy [kWh/m² year] for the 28 EU countries in 2015, from the EU-HOTMAPS project for the single EU countries</t>
  </si>
  <si>
    <t>final energy; residential buildings; HOTMAPS; heating; cooling; hot water; specific energy demand; building energy services</t>
  </si>
  <si>
    <t xml:space="preserve">final energy [kWh/m² year] </t>
  </si>
  <si>
    <t>Value(n,V,U,r,c,t,Y)</t>
  </si>
  <si>
    <t>Specific energy consumption of products of all energy carriers for cooling in use phase - residential buildings in Spain for multi-family houses built in 2000-2010 measured in 2015 is 12.318 kWh/m²*yr.</t>
  </si>
  <si>
    <t>[Data type] of [Aspect 1] for [Aspect 2] in [Aspect 3] in [Aspect 4] for [Aspect 7] built in [Aspect 5] measured in [Aspect 6] is [Value].</t>
  </si>
  <si>
    <t>Pezzutto et al. (2018). D2.3 WP2 Report – Open Data Set for the EU28. EU HOTMAPS - The open source mapping and planning tool for heating and cooling</t>
  </si>
  <si>
    <t>Numbers copied from original sources (excel spreadsheet) with Python script</t>
  </si>
  <si>
    <t>2_IUS_HOTMAPS_EU_2015_residential</t>
  </si>
  <si>
    <t>in-use stock (constructed and covered building area) for the 28 EU countries in 2015, from the EU-HOTMAPS project for the single EU countries</t>
  </si>
  <si>
    <t>residential building stock; HOTMAPS; in-use stock; buildings</t>
  </si>
  <si>
    <t>Covered area: constructed [Mm²]</t>
  </si>
  <si>
    <t>Value(U,r,t,c,Y)</t>
  </si>
  <si>
    <t>Constructed floor area of in-use stock in use phase - residential buildings in Austria in 2015 for age-cohort before 1945 for single-family houses is 44.59 Mm² (km2).</t>
  </si>
  <si>
    <t>[Layer] of [data type] in [Aspect 1] in [Aspect 2] in [Aspect 3] constructed [Aspect 4] for [Aspect 5] is [Value].</t>
  </si>
  <si>
    <t>3_EI_HOTMAPS_EU_2015_nonresidential</t>
  </si>
  <si>
    <t>aggregate nonresidential building stock</t>
  </si>
  <si>
    <t>all nonresidential buildings</t>
  </si>
  <si>
    <t>five building types, plus 'other'</t>
  </si>
  <si>
    <t>final energy; nonresidential buildings; HOTMAPS; heating; cooling; hot water; specific energy demand; building energy services</t>
  </si>
  <si>
    <t>Specific energy consumption of products of all energy carriers for cooling in use phase - nonresidential buildings in Spain for healthcare buildings built in 2000-2010 measured in 2015 is 46.96 kWh/m²*yr.</t>
  </si>
  <si>
    <t>2_IUS_HOTMAPS_EU_2015_nonresidential</t>
  </si>
  <si>
    <t>nonresidential building stock; HOTMAPS; in-use stock; buildings</t>
  </si>
  <si>
    <t>Constructed floor area of in-use stock in use phase - nonresidential buildings in Austria in 2015 for age-cohort before 1945 for healthcare buildings is 0.26 Mm² (km2).</t>
  </si>
  <si>
    <t>4_PY_ReMeasures_Electricity_CIRCOMOD</t>
  </si>
  <si>
    <t>recycling and reuse/remanufacturing</t>
  </si>
  <si>
    <t>two aggregate processes</t>
  </si>
  <si>
    <t>electricity generation technologies</t>
  </si>
  <si>
    <t>one aggregate product group</t>
  </si>
  <si>
    <t>six major materials: steel, concrete, wood, copper, aluminium, glass</t>
  </si>
  <si>
    <t>2020-2050</t>
  </si>
  <si>
    <t>two representative values for 2020 and 2050</t>
  </si>
  <si>
    <t>circular economy potentials for recycling and re-use for electricity generation technologies for six major materials: steel, concrete, wood, copper, aluminium, glass, compiled from the 2024 Global Resources Outlook by the UNEP IRP.</t>
  </si>
  <si>
    <t>reuse; recycling</t>
  </si>
  <si>
    <t>Value(b,B,p,f,F,t,r,v)</t>
  </si>
  <si>
    <t>Mass ratio of steel in electricity generation - all technologies for circular economy strategy recycling in recycling process into steel in all products in global (worldwide) in 2050 is 93%.</t>
  </si>
  <si>
    <t>[Layer] of [Aspect 1] in [Aspect 2] for circular economy strategy [Aspect 8] in [Aspect 3] into [Aspect 4] in [Aspect 5] in [Aspect 6] in [Aspect 7] is [value].</t>
  </si>
  <si>
    <t>miscellaneous licenses, see the comments in the dataset</t>
  </si>
  <si>
    <t>UNEP-IRP. Global Resources Outlook 2024: Bend the Trend – Pathways to a liveable planet as resource use spikes</t>
  </si>
  <si>
    <t>Marcel Geller</t>
  </si>
  <si>
    <t>1_F_Metal_Ore_Extraction_byCountry_2023_USGS_MCS</t>
  </si>
  <si>
    <t>mining and refining</t>
  </si>
  <si>
    <t>major technology metals</t>
  </si>
  <si>
    <t>about 20 individual metals</t>
  </si>
  <si>
    <t>Global total and individual values for main producing countries</t>
  </si>
  <si>
    <t>2023 (or latest year with available data)</t>
  </si>
  <si>
    <t>Extraction of metals in ore, by country</t>
  </si>
  <si>
    <t xml:space="preserve">mining; metals; production; extraction; </t>
  </si>
  <si>
    <t>For some commodities, the metal in the ore is counted. Data extracted from the USGS Mineral Commodity Summary 2025</t>
  </si>
  <si>
    <t>Value(o,d,m,r,t)</t>
  </si>
  <si>
    <t>Mass of flow of silver from mining and refining to market for extracted resources in Mexico in 2023 was 6400 t/yr.</t>
  </si>
  <si>
    <t>[Layer] of [Data type] of [aspect3] flowing from [aspect1] to [aspect2] in [aspect4] in [aspect5] has [value].</t>
  </si>
  <si>
    <t>US Geological Survey (USGS)</t>
  </si>
  <si>
    <t>https://pubs.usgs.gov/periodicals/mcs2025/mcs2025.pdf</t>
  </si>
  <si>
    <t>pdf report with tables</t>
  </si>
  <si>
    <t>Numbers extracted from websites and converted to IEDC templates</t>
  </si>
  <si>
    <t>1_F_Refined_Metal_Production_byCountry_2023_USGS_MCS</t>
  </si>
  <si>
    <t>2020-2023 (or latest year with available data)</t>
  </si>
  <si>
    <t>Production of refined metals from ore, by country</t>
  </si>
  <si>
    <t>refining; smelting; metals; production;</t>
  </si>
  <si>
    <t>Refined metal from smelters. Data extracted from the USGS 2025 Mineral Commodity Summary.</t>
  </si>
  <si>
    <t>Mass of flow of copper from material production to market for refined materials in Japan in 2020 was 1259400 t/yr.</t>
  </si>
  <si>
    <t>2_S_Metal_Ore_Reserves_byCountry_2023_USGS_MCS</t>
  </si>
  <si>
    <t>mining (reserves)</t>
  </si>
  <si>
    <t>Global total and individual values for main reserve-bearing countries</t>
  </si>
  <si>
    <t>single year value</t>
  </si>
  <si>
    <t>Metals and ores in ore reserve, by country</t>
  </si>
  <si>
    <t>reserve; metals; mining; minerals</t>
  </si>
  <si>
    <t>For some ores, only the metal in the ore is counted. Data extracted from the USGS Mineral Commodity Summary 2025</t>
  </si>
  <si>
    <t>Value(p,m,r,t)</t>
  </si>
  <si>
    <t>Mass of stock of silver in mining (reserves) in Mexico in 2023 was 0.037 Mt.</t>
  </si>
  <si>
    <t>[Layer] of [Data type] of [Aspect 2] in [Aspect 1] in [Aspect 3] in [Aspect 4] has [value].</t>
  </si>
  <si>
    <t>3_LT_Appliances_Netherlands_Bakker_2014</t>
  </si>
  <si>
    <t>16 different appliances</t>
  </si>
  <si>
    <t>single country value</t>
  </si>
  <si>
    <t>2000 and 2005</t>
  </si>
  <si>
    <t>median lifetime of appliances in the use phase, Netherlands 2000 and 20005, from Table 2 in the journal paper (Bakker et al. 2014),</t>
  </si>
  <si>
    <t>median lifetime; appliances; use phase; Netherlands</t>
  </si>
  <si>
    <t>From Table 2 in the journal paper (Bakker et al. 2014), based on Dutch data (Wang et al., 2013, DOI https://doi.org/10.1016/j.wasman.2013.07.005). Labels adjustet to fit the product classification chosen</t>
  </si>
  <si>
    <t>Product 'dishwashers' of age-cohort 2000 in the use phase in region 'Netherlands' has lifetime of 10.7 years.</t>
  </si>
  <si>
    <t>Conny BAKKER</t>
  </si>
  <si>
    <t>https://doi.org/10.1016/j.jclepro.2014.01.028</t>
  </si>
  <si>
    <t>Table in article pdf</t>
  </si>
  <si>
    <t>https://doi.org/10.1016/j.wasman.2013.07.005</t>
  </si>
  <si>
    <t>Numbers manually copied from original source (pdf) and reformatted to Excel spreadsheet</t>
  </si>
  <si>
    <t>3_LT_Electricity_CIRCOMOD</t>
  </si>
  <si>
    <t>electricty infrastructure</t>
  </si>
  <si>
    <t>different technologies</t>
  </si>
  <si>
    <t>lifetime of electricity infrastrucutre commodities, global averages</t>
  </si>
  <si>
    <t>lifetime, electricity infrastrucutre, use phase</t>
  </si>
  <si>
    <t>Value(U,g,r,L,v)</t>
  </si>
  <si>
    <t>Lifetime of product 'electricity grid - transformers' in the use phase in region global has lifetime of 30 years for strategy 'none'.</t>
  </si>
  <si>
    <t>[aspect4] of [aspect2] in [aspect1] in [aspect 3] is [value] for circular economy strategy [Aspect 5].</t>
  </si>
  <si>
    <t>6_CR_EU_criticality_2011</t>
  </si>
  <si>
    <t>Criticality</t>
  </si>
  <si>
    <t>critial materials of the EU, 2011 list</t>
  </si>
  <si>
    <t>14 metals and minerals</t>
  </si>
  <si>
    <t>single EU value</t>
  </si>
  <si>
    <t>Single year value</t>
  </si>
  <si>
    <t>EU critical raw materials 2011, concentration of imports, recycling rates</t>
  </si>
  <si>
    <t>EU; critical raw material; import; recycling rate</t>
  </si>
  <si>
    <t>Data extracted from Annex table "Concentration of production of critical raw materials, and recycling and substitution rates" in EUR-lex Document 52011DC0025</t>
  </si>
  <si>
    <t>Value(m,C,I,r,t)</t>
  </si>
  <si>
    <t>import share EU for Peru for antimony in form of refined metal in 2007 is 6%.</t>
  </si>
  <si>
    <t>[Aspect 3] for [Aspect4] for [Aspect 1] in form of [Aspect 2] in [Aspect 5] is [Value].</t>
  </si>
  <si>
    <t>https://eur-lex.europa.eu/legal-content/EN/TXT/?uri=CELEX:52011DC0025</t>
  </si>
  <si>
    <t>docx file</t>
  </si>
  <si>
    <t>Numbers copied from original source (docx) to Excel spreadsheet</t>
  </si>
  <si>
    <t>6_CR_EU_criticality_2020</t>
  </si>
  <si>
    <t>critial materials of the EU, 2020 list</t>
  </si>
  <si>
    <t>30 metals and minerals</t>
  </si>
  <si>
    <t>EU critical raw materials 2020, concentration of imports, recycling rates</t>
  </si>
  <si>
    <t>Data extracted from Annex table "Annex 1: List of Critical Raw Materials" in EUR-lex Document 52020DC0474</t>
  </si>
  <si>
    <t>end-of-life recycling input rate for European Union for antimony in form of refined metal in 2020 is 28%.</t>
  </si>
  <si>
    <t>https://eur-lex.europa.eu/legal-content/EN/TXT/?uri=CELEX:52020DC0474</t>
  </si>
  <si>
    <t>April 2025 update</t>
  </si>
  <si>
    <t>Jonas Golisch</t>
  </si>
  <si>
    <t>2_IUS_Electricity_CIRCOMOD</t>
  </si>
  <si>
    <t>around 20 technologies</t>
  </si>
  <si>
    <t>single country resolution</t>
  </si>
  <si>
    <t>1970-2023</t>
  </si>
  <si>
    <t>annual values, technology specific</t>
  </si>
  <si>
    <t>In use stocks for the different technology groups included in the CIRCOMOD project. Electricity generation and distribution</t>
  </si>
  <si>
    <t>in-use stocks; age-cohort; regional stocks; electricity infrastructure; electricity grid; electricity generation; electricity distribution</t>
  </si>
  <si>
    <t>Value(U,g,t,r,L)</t>
  </si>
  <si>
    <t>In-use stock of electricity transmission, 35 kV in use phase - electricity infrastructure in China in 2014 measured as lenght is 484295 km.</t>
  </si>
  <si>
    <t>[Data type] of [Aspect 2] in [Aspect 1] in [Aspect 4] in [Aspect 3] measured as [Aspect 5] is [Value].</t>
  </si>
  <si>
    <t>Marcel Geller and Stefan Pauliuk</t>
  </si>
  <si>
    <t>3_MC_Furniture_CIRCOMOD</t>
  </si>
  <si>
    <t>furniture</t>
  </si>
  <si>
    <t>five different types of furniture</t>
  </si>
  <si>
    <t>typical furniture materials</t>
  </si>
  <si>
    <t>15 material groups</t>
  </si>
  <si>
    <t>Material composition of furniture, taken from Y. Ikeda (2023). Values are an average of existing data in literature, thus not really representing World data but rather unspecific to a region.</t>
  </si>
  <si>
    <t>material; material composition; furniture</t>
  </si>
  <si>
    <t>Taken from Ikeda, Y. (2023). Quantifying materials in household furniture: A case study of dynamic furniture stock in American homes. Values are an average of existing data in literature, thus not really representing World data but rather unspecific to a region.</t>
  </si>
  <si>
    <t>Value(m,g,U,r,c)</t>
  </si>
  <si>
    <t>Mass per unit of wood, solid, in chair, upholstered in use phase - furniture built in ca. 2020 in Global is 16.9113 kg/unit.</t>
  </si>
  <si>
    <t>[Layer] of [Aspect 1] in [Aspect 2] in [Aspect 3] built in [Aspect 5] in [Aspect 4] is [Value].</t>
  </si>
  <si>
    <t>Y. IKEDA</t>
  </si>
  <si>
    <t>https://repository.tudelft.nl/islandora/object/uuid%3Afec8d24f-f856-43a4-8673-570cc6de9d01</t>
  </si>
  <si>
    <t>tables and figures in original source</t>
  </si>
  <si>
    <t>Ikeda, Y. (2023). Quantifying materials in household furniture: A case study of dynamic furniture stock in American homes.</t>
  </si>
  <si>
    <t>4_PE_EnergyIntensity_Fabrication_Furniture_CIRCOMOD</t>
  </si>
  <si>
    <t>Energy per unit of output</t>
  </si>
  <si>
    <t>furniture manufacturing</t>
  </si>
  <si>
    <t>six different types of furniture</t>
  </si>
  <si>
    <t>Germany, China, United States</t>
  </si>
  <si>
    <t>country average</t>
  </si>
  <si>
    <t>2005-2016</t>
  </si>
  <si>
    <t>Per unit-of-output energy demand of furniture manufacturing</t>
  </si>
  <si>
    <t>furniture; manufacturing; energy intensity; unit process;</t>
  </si>
  <si>
    <t>Value(n,g,p,c,r)</t>
  </si>
  <si>
    <t>Process extension of energy per unit of output of energy carrier all (unspecified) in manufacturing of furniture per unit of desk in United States in 2005 was 3490 MJ/item.</t>
  </si>
  <si>
    <t>[Data type] of [Layer] of [Aspect 1] in [Aspect 3] for producing [Aspect 2] in [Aspect 5] in [Aspect 4] is [Value].</t>
  </si>
  <si>
    <t>4_PY_Asphalt_Recycling_CIRCOMOD</t>
  </si>
  <si>
    <t>road maintenance</t>
  </si>
  <si>
    <t>asphalt pavement</t>
  </si>
  <si>
    <t>one infrastructure type</t>
  </si>
  <si>
    <t>asphalt</t>
  </si>
  <si>
    <t>one material category</t>
  </si>
  <si>
    <t>USA, Europe</t>
  </si>
  <si>
    <t>country-level values</t>
  </si>
  <si>
    <t>2019-ca. 2050</t>
  </si>
  <si>
    <t>most values for around 2020-2022</t>
  </si>
  <si>
    <t>recycling yield for extracting asphalt from asphalt pavement in road maintenance</t>
  </si>
  <si>
    <t>asphalt; pavement; recycling;</t>
  </si>
  <si>
    <t>Value(v,b,B,f,p,t,r)</t>
  </si>
  <si>
    <t>Mass ratio for strategy Recycle of asphalt in asphalt pavement into recycled asphalt in process road maintenance in 2022 in Croatia is 63%.</t>
  </si>
  <si>
    <t>[Layer] for [Aspect 1] of [Aspect 2] in [Aspect 3] into [Aspect 4] in process [Aspect 5] in [Aspect 6] in [Aspect 7] is [Value].</t>
  </si>
  <si>
    <t>4_PY_Fabrication_Furniture_CIRCOMOD</t>
  </si>
  <si>
    <t>furniture manufacturing processes</t>
  </si>
  <si>
    <t>15 different types of furniture components</t>
  </si>
  <si>
    <t>Wood yield factors for furniture manufacturing, 15 different components of furniture</t>
  </si>
  <si>
    <t>furniture; manufacturing; yield factor; unit process; wood</t>
  </si>
  <si>
    <t>Value(b,k,F,p,t,r)</t>
  </si>
  <si>
    <t>Mass ratio of yield coefficient of wood into boards from butt log in furniture in manufacturing of furniture - sawing (3X) in Sweden in 2015 is 37%.</t>
  </si>
  <si>
    <t>[Layer] of [Data type] of [Aspect 1] into [Aspect 2] in [Aspect 3] in process [Aspect 4] in [Aspect 5] in [Aspect 6] is [Value].</t>
  </si>
  <si>
    <t>Broman &amp; Fredriksson</t>
  </si>
  <si>
    <t>https://urn.kb.se/resolve?urn=urn:nbn:se:ltu:diva-28597</t>
  </si>
  <si>
    <t>Table in report</t>
  </si>
  <si>
    <t>Broman &amp; Fredriksson 2015. Effect of Raw Material on Yield in a Furniture Production Process. Proceedings of the 22nd International Wood Machining Seminar, June 14-17, 2015 Qebec City, Canada</t>
  </si>
  <si>
    <t>May 7, 2025 update</t>
  </si>
  <si>
    <t>3_LT_CIRCOMOD_Infrastructure</t>
  </si>
  <si>
    <t>infrastructure</t>
  </si>
  <si>
    <t>ca. 100 different types of infrastructure</t>
  </si>
  <si>
    <t>typical infrastructure materials</t>
  </si>
  <si>
    <t>most data apply to the entire asset (all materials) but for some, specific lifetime apply for different materials</t>
  </si>
  <si>
    <t>country- and region-specific values</t>
  </si>
  <si>
    <t>no age-cohort information given</t>
  </si>
  <si>
    <t>mean lifetime of infrastructure in the use phase, compiled by several colleagues from the CIRCOMOD EU project</t>
  </si>
  <si>
    <t>lifetime; infrastructure; use phase; road; rail; pipes</t>
  </si>
  <si>
    <t>See comment for each data entry for the reference/literature source</t>
  </si>
  <si>
    <t>Value(m,g,p,r,c)</t>
  </si>
  <si>
    <t>Cement in roads and runways in use phase - infrastructure in Global of age-cohort n.a. has lifetime of 33 yr with rel. standard deviation of +/- 15%.</t>
  </si>
  <si>
    <t>[Aspect 1] in [Aspect 2] in [Aspect 3] in [Aspect 4] built in [Aspect 5] has [data type] of [value].</t>
  </si>
  <si>
    <t>May 8, 2025 update</t>
  </si>
  <si>
    <t>3_MC_Infrastructure_CIRCOMOD</t>
  </si>
  <si>
    <t>ca. 90 different materials</t>
  </si>
  <si>
    <t>Global average plus single-country values for six larger economies, including Germany, USA, and China</t>
  </si>
  <si>
    <t>1978-2024</t>
  </si>
  <si>
    <t>product specific, single-year values</t>
  </si>
  <si>
    <t>Material content of infrastructure, compiled by the CIRCOMOD project team</t>
  </si>
  <si>
    <t>material; material content; material composition; infrastructure; road; rail; pipe;</t>
  </si>
  <si>
    <t>Value(m,g,p,c,r,v,L)</t>
  </si>
  <si>
    <t>Material composition for layer mass per area of all materials in road bridge in use phase - infrastructure built in n.a. in Austria for CE strategy none is 1.431 t/m².</t>
  </si>
  <si>
    <t>[Data type] as [Layer/Aspect 7] of [Aspect 1] in [Aspect 2] in [Aspect 3] built in [Aspect 4] in [Aspect 5] for circular economy strategy [Aspect 6] is [Value].</t>
  </si>
  <si>
    <t>3_MC_Electricity_Sector_CIRCOMOD</t>
  </si>
  <si>
    <t>45 different generation, distribution, and storage technologies</t>
  </si>
  <si>
    <t>76 different engineering materials</t>
  </si>
  <si>
    <t>Global values, plus values for China, Denmark, Germany, and the Netherlands</t>
  </si>
  <si>
    <t>product specific, single year values</t>
  </si>
  <si>
    <t>Material content of electricity generation, distribution, and storage technologies technologies</t>
  </si>
  <si>
    <t>material; material content; electricity generation; electricity storage; electricity distribution</t>
  </si>
  <si>
    <t>Compiled from different sources, see the comment for each data point</t>
  </si>
  <si>
    <t>Value(p,g,k,c,r,m)</t>
  </si>
  <si>
    <t>Mass per unit of silicon in module, buffer layer in electricity generation - PV CIGS (ground-mounted) in use phase - electricity infrastructure in China built in 2025 is 6.7 kg/MWp.</t>
  </si>
  <si>
    <t>[Layer] of [Aspect 6] in [Aspect 3] in [Aspect 2] in [Aspect 1] in [Aspect 5] built in [Aspect 4] is [Value].</t>
  </si>
  <si>
    <t>3_MC_Electricity_Sector_CIRCOMOD_LightWeighting_Potential_Relative</t>
  </si>
  <si>
    <t>7 different generation, distribution, and storage technologies</t>
  </si>
  <si>
    <t>one value for all materials together</t>
  </si>
  <si>
    <t>single future year scenario values</t>
  </si>
  <si>
    <t>Material content reduction potential, compared to 2020 baseline, of electricity generation, distribution, and storage technologies</t>
  </si>
  <si>
    <t>material; material content; electricity generation; electricity storage; electricity distribution; lightweighting; circular economy; reduction;</t>
  </si>
  <si>
    <t>The values indicate the material content reduction potential, in %, compared to 2020 baseline, of electricity generation, distribution, and storage technologies</t>
  </si>
  <si>
    <t>Value(p,g,k,c,r,m,v)</t>
  </si>
  <si>
    <t>Material content reduction potential, expressed as mass ratio of all materials in entire device in electricity generation - wind offshore in use phase - electricity infrastructure in Global built in 2050 for circular economy strategy lightweighting is 10 %/MWp.</t>
  </si>
  <si>
    <t>Material content reduction potential, expressed as [Layer] of [Aspect 6] in [Aspect 3] in [Aspect 2] in [Aspect 1] in [Aspect 5] built in [Aspect 4] for circular economy strategy [Aspect 7] is [Value].</t>
  </si>
  <si>
    <t>UNEP-IRP</t>
  </si>
  <si>
    <t>https://wedocs.unep.org/20.500.11822/44902</t>
  </si>
  <si>
    <t>Table in background material</t>
  </si>
  <si>
    <t>Global Resources Outlook 2024: Bend the Trend – Pathways to a liveable planet as resource use spikes</t>
  </si>
  <si>
    <t>May 9, 2025 update</t>
  </si>
  <si>
    <t>6_IMI_Material_GHG_Footprint_Hertwich_2021_by_Sector</t>
  </si>
  <si>
    <t>global supply chains of material commodities</t>
  </si>
  <si>
    <t>four supply chain stages (mining, energy suppply, prodution, and supplying manufacturing and services) and one aggregate product system for each material</t>
  </si>
  <si>
    <t>8 major material groups</t>
  </si>
  <si>
    <t>by material</t>
  </si>
  <si>
    <t>production-related emissions (carbon footprint across supply chain), GWP 100 for 8 major material groups, broken down into four supply chain stages, from Hertwich (2021).</t>
  </si>
  <si>
    <t>GWP100; materials; global supply chain; production; carbon footprint</t>
  </si>
  <si>
    <t>Data from Table 1a in the paper</t>
  </si>
  <si>
    <t>Value(I,r,m,t,p)</t>
  </si>
  <si>
    <t>production-related emissions (carbon footprint across supply chain), GWP 100 of aluminium in Global in 2011 in energy supply is 0.3596 Gt CO2-eq/yr.</t>
  </si>
  <si>
    <t>[Aspect 1] of [Aspect 3] in [Aspect 2] in [Aspect 4] in [Aspect 5] is [Value].</t>
  </si>
  <si>
    <t>Edgar HERTWICH</t>
  </si>
  <si>
    <t>https://doi.org/10.1038/s41561-021-00690-8</t>
  </si>
  <si>
    <t>supplementary data file</t>
  </si>
  <si>
    <t>Numbers transferred from original data files (.xlsx) to IEDC data insertion template (xlsx).</t>
  </si>
  <si>
    <t>6_IMI_Material_GHG_Footprint_Hertwich_2021</t>
  </si>
  <si>
    <t>one aggregate product system for each material</t>
  </si>
  <si>
    <t>16 major material groups plus the total</t>
  </si>
  <si>
    <t>1995-2016</t>
  </si>
  <si>
    <t>production-related emissions (carbon footprint across supply chain), GWP 100 for 16 major material groups plus the total, from Hertwich (2021).</t>
  </si>
  <si>
    <t>Data behind Extended Data Fig. 1, 41561_2021_690_MOESM5_ESM.xlsx</t>
  </si>
  <si>
    <t>Value(I,r,m,t)</t>
  </si>
  <si>
    <t>production-related emissions (carbon footprint across supply chain), GWP 100 of paper in Global in 2001 is 0.52298 Gt CO2-eq/yr.</t>
  </si>
  <si>
    <t>[Aspect 1] of [Aspect 3] in [Aspect 2] in [Aspect 4] is [Value].</t>
  </si>
  <si>
    <t>https://static-content.springer.com/esm/art%3A10.1038%2Fs41561-021-00690-8/MediaObjects/41561_2021_690_MOESM5_ESM.xlsx</t>
  </si>
  <si>
    <t>3_SHA_UseShares_8Materials_Hertwich_2021</t>
  </si>
  <si>
    <t>Ratio of monetary values</t>
  </si>
  <si>
    <t>eight material consuming sectors, both intermediate (manufacturing) and final consumption</t>
  </si>
  <si>
    <t>entire manufacturing and construction</t>
  </si>
  <si>
    <t>seven product groups</t>
  </si>
  <si>
    <t>Split ratios (%) or share of materials going into the different manufacturing sectors (including construction) and final demand</t>
  </si>
  <si>
    <t>Sector split; use shares; use fraction; manufacturing; materials;</t>
  </si>
  <si>
    <t>Value(r,c,p,m)</t>
  </si>
  <si>
    <t>Ratio of monetary values of iron/steel going into construction in Global in 2011 is 23%.</t>
  </si>
  <si>
    <t>[Layer] of [Aspect 4] going into [Aspect 3] in [Aspect 1] in [Aspect 2] is [Value].</t>
  </si>
  <si>
    <t>6_CR_criticality_Naegler_2025</t>
  </si>
  <si>
    <t>major metals and energy carriers</t>
  </si>
  <si>
    <t>ca. 30 bulk and technology metals, 4 energy carriers</t>
  </si>
  <si>
    <t>2022-2023</t>
  </si>
  <si>
    <t>Criticality indicators for ca. 30 bulk and technology metals, 4 energy carriers, extracted from Table 1 in Naegler et al. (2025); https://doi.org/10.1016/j.enpol.2025.114622</t>
  </si>
  <si>
    <t>HHI; WCR; price; technology metals; energy carriers; criticality</t>
  </si>
  <si>
    <t>Extracted from Table 1 in Naegler et al. (2025); https://doi.org/10.1016/j.enpol.2025.114622</t>
  </si>
  <si>
    <t>Value(m,E,r,t)</t>
  </si>
  <si>
    <t>HHI (Herfindahl-Hirschman index) for chromium in Global in 2022 was 0.27.</t>
  </si>
  <si>
    <t>[Aspect 2] for [Aspect 1] in [Aspect 3] in [Aspect 4] is [Value].</t>
  </si>
  <si>
    <t>Tobias NAEGLER</t>
  </si>
  <si>
    <t>https://doi.org/10.1016/j.enpol.2025.114622</t>
  </si>
  <si>
    <t>Numbers copied from original source (pdf) to Excel spreadsheet</t>
  </si>
  <si>
    <t>3_SHA_MISO2_Ew_Material_Cycles_2024_End_Use_Shares_Single_Country</t>
  </si>
  <si>
    <t>Mass ratio of inflow to use phase (final consumption) by end-use sector, divided by the total final consumption (end-use shares or sector split). Original name of flow from which the shares were calculated: F_9_10_GAS_enduse. Results of the MAT_STOCKS project, MISO2 model.</t>
  </si>
  <si>
    <t>MAT_STOCKS; MISO2; ew-MFA; MFA; materials; end-use share; sector split</t>
  </si>
  <si>
    <t>This dataset was converted from flows in 1_F_MISO2_Ew_Material_Cycles_2024_F_9_10_final_consumption_Single_Country to end-use shares simply by dividing by the total. Labels were shifted to IEDC classifications without changing their meaning. Original name of flow: Flow F_9_10 (gross additions to stock) by country, material, end-use product group. MISO2_config_id 5b36b2f8-3abc-4060-abc0-2ed0fc3ee474</t>
  </si>
  <si>
    <t>Mass ratio of bricks from markets for final products and commodities to residential buildings in use phase in Afghanistan in 2016 as share of total final demand is 0.4088.</t>
  </si>
  <si>
    <t>[Layer] of [Aspect 1] from [Aspect 2] to [Aspect 3] in [Aspect 4] in [Aspect 5] in [Aspect 6] as share of total final demand is [Value].</t>
  </si>
  <si>
    <t>This dataset was converted from flows in 1_F_MISO2_Ew_Material_Cycles_2024_F_9_10_final_consumption_Single_Country to end-use shares simply by dividing by the total. Labels were shifted to IEDC classifications without changing their meaning.</t>
  </si>
  <si>
    <t>May 21, 2025 update</t>
  </si>
  <si>
    <t>4_SHR_Renewable_Energy_Technologies_Production_byCountry_2023</t>
  </si>
  <si>
    <t>general ratio of flows linked to a process</t>
  </si>
  <si>
    <t>General ratio</t>
  </si>
  <si>
    <t>renewable energy and electricity-based technologies</t>
  </si>
  <si>
    <t>solar PV, wind turbines, electrolysers, batteries</t>
  </si>
  <si>
    <t>Individual values for main producing countries</t>
  </si>
  <si>
    <t>Shares of different countries in the component manufacturing volumes of renewable energy and electricity-based technologies</t>
  </si>
  <si>
    <t>production; production share; renewable energy technologies; electricity-based technologies; market share</t>
  </si>
  <si>
    <t>organization</t>
  </si>
  <si>
    <t>Value(o,d,z,g,k,r,t)</t>
  </si>
  <si>
    <t>General ratio indicating the market share of JA solar technology Co. Ltd. In China in manufacturing wafer of/for solar PV generation units of all sizes flowing from manufacturing of electrical machinery n.e.c. to markets for final products and commodities in 2023 is 16.079%.</t>
  </si>
  <si>
    <t>[Layer] indicating the market share of [Aspect 3] in [Aspect 6] in manufacturing [Aspect 5] of/for [Aspect 4] flowing from [Aspect 1] to [Aspect 2] in [Aspect 7] has [value].</t>
  </si>
  <si>
    <t>website with table, tables from pdf reports</t>
  </si>
  <si>
    <t>2_IUS_Renewable_Energy_Technologies_Installed_Capacity_2023</t>
  </si>
  <si>
    <t>one aggregated sector</t>
  </si>
  <si>
    <t>Individual values for individual countries</t>
  </si>
  <si>
    <t>Installed generation capacity (in MW of maximal power) for different energy technologies, by country</t>
  </si>
  <si>
    <t>generation capacity; energy technology; wind turbines; solar PV; manufacturing; electricity</t>
  </si>
  <si>
    <t>Value(p,t,r,g)</t>
  </si>
  <si>
    <t>In-use stock measured as power generation capacity of solar PV generation units of all sizes in use phase - electricity infrastructure in Angola in 2023 is 310 MW.</t>
  </si>
  <si>
    <t>[Data type] measured as [Layer] of [Aspect 4] in [Aspect 1] in [Aspect 2] in [Aspect 3] is [Value].</t>
  </si>
  <si>
    <t>Numbers extracted from websites and converted to IEDC templates. Dataset validated by Marcel Geller</t>
  </si>
  <si>
    <t>5_CAP_Renewable_Energy_Technologies_Production_Capacity_2023</t>
  </si>
  <si>
    <t>Production capacity</t>
  </si>
  <si>
    <t>manufacturing sector</t>
  </si>
  <si>
    <t>Installed production capacity (in GW/yr of maximal production volume) for different energy technologies, by country or by manufacturer</t>
  </si>
  <si>
    <t>production capacity; energy technology; wind turbines; solar PV; manufacturing</t>
  </si>
  <si>
    <t>Value(p,t,r,g,k,z)</t>
  </si>
  <si>
    <t>Production capacity of manufacturing of electrical machinery n.e.c. of nacelle (wind turbine) for wind turbines by all manufacturers in India in 2022 is 11.8 GW/yr.</t>
  </si>
  <si>
    <t>[Layer] of [Aspect 1] of [Aspect 5] for [Aspect 4] by [Aspect 6] in [Aspect 2] in [Aspect 3] is [Value].</t>
  </si>
  <si>
    <t>May 22, 2025 update</t>
  </si>
  <si>
    <t>3_MC_Machinery_CIRCOMOD</t>
  </si>
  <si>
    <t>machinery</t>
  </si>
  <si>
    <t>87 types of machinery</t>
  </si>
  <si>
    <t>main materials and technology metals</t>
  </si>
  <si>
    <t>annual values, product specific</t>
  </si>
  <si>
    <t>Material content/composition of machinery, by type of machinery and material</t>
  </si>
  <si>
    <t>material; material content; machinery; technology metals; material composition</t>
  </si>
  <si>
    <t>Value(p,g,r,m,v,L,c)</t>
  </si>
  <si>
    <t>Mass per unit of cast iron in water pump, 40 kW in use phase - machinery built in n.a. in Global for CE strategy 'none' is 148.3 kg/1.</t>
  </si>
  <si>
    <t>[Layer/Aspect 6] of [Aspect 4] in [Aspect 2] in [Aspect 1] built in [Aspect 7] in [Aspect 3] for circular economy strategy [Aspect 5] is [Value].</t>
  </si>
  <si>
    <t>Numbers manually copied from original sources to Excel spreadsheet, validated by Johan Vélez</t>
  </si>
  <si>
    <t>3_SHA_End_Use_Shares_USA_Streeck_2023</t>
  </si>
  <si>
    <t>18 end-use sectors, including buildings, infrastructure, machinery, appliances, vehicles</t>
  </si>
  <si>
    <t>20 material groups</t>
  </si>
  <si>
    <t>1963-2012</t>
  </si>
  <si>
    <t>values for 1963-2012 in intervales of ca. 5 years</t>
  </si>
  <si>
    <t>U.S. end-use shares estimated with the combination of waste input-output with 'end-use transfer' method (see Streeck et al. 2023). data source: U.S. BEA benchmark input-output tables. This dataset was converted from the original supplementary file USA_endUseShares_EUT-WIO_220501.xlsx by reformatting data from the different sheets (by year) to a common table and switching labels to confirm with IEDC classf. 4 (materials) and 6 (processes/end-use sectors). Output is originally labelled by material production sectors (industries), and was re-labelled to the industries' main output (material groups).</t>
  </si>
  <si>
    <t>United States; materials; end-use share; sector split</t>
  </si>
  <si>
    <t>This dataset was converted from the original supplementary file USA_endUseShares_EUT-WIO_220501.xlsx by reformatting data from the different sheets (by year) to a common table and switching labels to confirm with IEDC classf. 4 (materials) and 6 (processes/end-use sectors)</t>
  </si>
  <si>
    <t>Value(m,O,D,r,t)</t>
  </si>
  <si>
    <t>Ratio of monetary values of planed timber from markets for final products and commodities to use phase - infrastructure in United States in 1963 as share of total final demand is 5.7%</t>
  </si>
  <si>
    <t>[Layer] of [Aspect 1] from [Aspect 2] to [Aspect 3] in [Aspect 4] in [Aspect 5] as share of total final demand is [Value].</t>
  </si>
  <si>
    <t>Jan STREECK</t>
  </si>
  <si>
    <t>DOI: 10.1111/jiec.13379</t>
  </si>
  <si>
    <t>Jan Streeck</t>
  </si>
  <si>
    <t>Converted from SI file USA_endUseShares_EUT-WIO_220501.xlsx by reformatting data from the different sheets (by year).</t>
  </si>
  <si>
    <t>May 23, 2025 update</t>
  </si>
  <si>
    <t>3_LT_Vehicles_CIRCOMOD</t>
  </si>
  <si>
    <t>1 end use sector</t>
    <phoneticPr fontId="9" type="noConversion"/>
  </si>
  <si>
    <t>Vehicle</t>
    <phoneticPr fontId="9" type="noConversion"/>
  </si>
  <si>
    <t>16 vehicle types</t>
  </si>
  <si>
    <t>EU and EFTA countries, China, global</t>
  </si>
  <si>
    <t>ca. 2021</t>
  </si>
  <si>
    <t>singly year value</t>
  </si>
  <si>
    <t>Lifetimes of vehicles in the use phase. Region-specific estimates compiled from different sources.</t>
  </si>
  <si>
    <t>lifetime; vehicle; use phase; useful product lifetime;</t>
    <phoneticPr fontId="9" type="noConversion"/>
  </si>
  <si>
    <t>Value(g,r,c,p)</t>
  </si>
  <si>
    <t>Lifetime of bus in use phase - vehicles registered in Hungary in 2021 is 12 yr.</t>
  </si>
  <si>
    <t>[Data type] of [Aspect 1] in [Aspect 4] registered in [Aspect 3] in [Aspect 2] is [value].</t>
  </si>
  <si>
    <t>Numbers manually copied from original sources to Excel spreadsheet. Additional quality check by Stefan Pauliuk</t>
  </si>
  <si>
    <t>4_PY_FabricationYield_Machinery_CIRCOMOD</t>
  </si>
  <si>
    <t>product manufacturing processes, also repair, refurbishmment, and remanufacturing</t>
  </si>
  <si>
    <t>aggregate manufacturing step</t>
  </si>
  <si>
    <t>different types</t>
  </si>
  <si>
    <t>all materials, steel, aluminium</t>
  </si>
  <si>
    <t>aggregate material groups</t>
  </si>
  <si>
    <t>China, United States</t>
  </si>
  <si>
    <t>country specific_average</t>
  </si>
  <si>
    <t>Manufacturing yield factors for various commodity production and remanufacturing processes studied by the CIRCOMOD models</t>
  </si>
  <si>
    <t>machinery; manufacturing; process yield; manufacturing yield; yield loss; remanufacturing</t>
  </si>
  <si>
    <t>Value(m,g,v,t,r,p)</t>
  </si>
  <si>
    <t>Yield coefficient measured as mass ratio of all materials into traditional vehicle engine in manufacturing of machinery and equipment n.e.c. in year n.a. in United States for CE strategy OEM new is 85%.</t>
  </si>
  <si>
    <t>[Data type] measured as [Layer] of [Aspect 1] into [Aspect 2] in [Aspect 6] in [Aspect 4] in [Aspect 5] for CE strategy [Aspect 3] is [value].</t>
  </si>
  <si>
    <t>May 24, 2025 update</t>
  </si>
  <si>
    <t>4_PY_Vehicle_Manufacturing_CIRCOMOD</t>
  </si>
  <si>
    <t>vehicle manufacturing</t>
  </si>
  <si>
    <t>1 end use sector</t>
    <phoneticPr fontId="10" type="noConversion"/>
  </si>
  <si>
    <t>Vehicle</t>
    <phoneticPr fontId="10" type="noConversion"/>
  </si>
  <si>
    <t>10 passenger vehicle types</t>
  </si>
  <si>
    <t>steel, sheet metal</t>
  </si>
  <si>
    <t>two material groups</t>
  </si>
  <si>
    <t>Global, China, Europe, USA</t>
  </si>
  <si>
    <t>Single-country and region value</t>
  </si>
  <si>
    <t>2009-2060</t>
  </si>
  <si>
    <t>annual values for selected years</t>
  </si>
  <si>
    <t>Manufacturing yield factors for vehicles in different regions, compiled for CIRCOMOD EU project</t>
  </si>
  <si>
    <t>manufacturing; yield loss; manufacturing yield; vehicles; process yield; new scrap; fabrication scrap</t>
  </si>
  <si>
    <t>Yield loss (new scrap rate) = 1 - manufacturing yield.</t>
  </si>
  <si>
    <t>Value(m,g,p,c,r,v,U)</t>
  </si>
  <si>
    <t>Yield coefficient measured as mass ratio of sheet metal into passenger vehicles, segment B in manufacturing of passenger vehicles in Global in 2009-2015 for CE strategy 'none' is 61%.</t>
  </si>
  <si>
    <t>[Data type] measured as [Layer] of [Aspect 1] into [Aspect 2] in [Aspect 3] in [Aspect 5] in [Aspect 4] for CE strategy [Aspect 6] is [value].</t>
  </si>
  <si>
    <t>Numbers manually copied from original sources to Excel spreadsheet. Dataset reformatted and validated by Huimei Li.</t>
  </si>
  <si>
    <t>4_PY_Vehicle_EoL_CIRCOMOD</t>
  </si>
  <si>
    <t>EoL vehicle scrap revovery (dismantling, shredding, sorting)</t>
  </si>
  <si>
    <t>one aggregate process step</t>
  </si>
  <si>
    <t>ca. 10 different materials</t>
  </si>
  <si>
    <t>Sweden, Global</t>
  </si>
  <si>
    <t>ca. 2010-2050</t>
  </si>
  <si>
    <t>single values for selected years</t>
  </si>
  <si>
    <t>Recycling, reuse, and energy recovery potentials for EoL vehicle materials</t>
  </si>
  <si>
    <t>EoL vehicles; end-of-life vehicles; reuse; recycling; waste management; dismantling; sorting; shredding; EoL-RR; end-of-life recovery rate;</t>
  </si>
  <si>
    <t>Value(m,g,p,t,r,v)</t>
  </si>
  <si>
    <t>Yield coefficient measured as mass ratio of aluminium recovered as scrap from end-of-life passenger car, ICEV in treatment of end-of-life vehicle hulk, shredding in Sweden in ca. 2010 for CE strategy recycling is 95%.</t>
  </si>
  <si>
    <t>[Data type] measured as [Layer] of [Aspect 1] recovered as scrap from [Aspect 2] in [Aspect 3] in [Aspect 5] in [Aspect 4] for CE strategy [Aspect 6] is [value].</t>
  </si>
  <si>
    <t>final energy</t>
  </si>
  <si>
    <t>1 end use sector</t>
    <phoneticPr fontId="12" type="noConversion"/>
  </si>
  <si>
    <t>Vehicle</t>
    <phoneticPr fontId="12" type="noConversion"/>
  </si>
  <si>
    <t>14 vehicle types other than land vehicles</t>
  </si>
  <si>
    <t>2000-2050</t>
  </si>
  <si>
    <t>values for specific age-cohorts</t>
  </si>
  <si>
    <t xml:space="preserve">Specific energy consumption per unit of use of products for land vehicles other than passenger vehicles, MJ/km of vehicle driven </t>
  </si>
  <si>
    <t>specific energy consumption of products; use phase; energy intensity; other vehicles; driving</t>
  </si>
  <si>
    <t>Value(n,g,p,V,r,c)</t>
  </si>
  <si>
    <t>Specific energy consumption of products measured as final energy of diesel consumed by bus built in 2010 to generate kilometers driven in use phase - vehicles in OECD North America is 17.3 MJ/km.</t>
  </si>
  <si>
    <t>[Data type] measured as [Layer] of [Aspect 1] consumed by [Aspect 2] built in [Aspect 6] to generate [Aspect 4] in [Aspect 3] in [Aspect 5] is [Value].</t>
  </si>
  <si>
    <t>May 25, 2025 update</t>
  </si>
  <si>
    <t>3_LT_Machinery_CIRCOMOD</t>
  </si>
  <si>
    <t>Use phase - machinery</t>
  </si>
  <si>
    <t>one aggregate use phase / service lifetime</t>
  </si>
  <si>
    <t>ca. 180 different types of machinery</t>
  </si>
  <si>
    <t>values for Europe and Japan</t>
  </si>
  <si>
    <t>ca. 2008-2018</t>
  </si>
  <si>
    <t>single values</t>
  </si>
  <si>
    <t>Life time of machinery in the use phase, by type of machinery</t>
  </si>
  <si>
    <t>lifetime; machinery; service life; use phase</t>
  </si>
  <si>
    <t>Data compiled from different sources - see the comment for each data point for its reference.</t>
  </si>
  <si>
    <t>Lifetime of shovel excavators in use phase - machinery in Japan built in ca. 2018 is 12.5 yr.</t>
  </si>
  <si>
    <t>[Data type] of [Aspect 1] in [Aspect 2] in [Aspect 3] built in [Aspect 4] is [Value].</t>
  </si>
  <si>
    <t>Numbers manually copied from original sources to Excel spreadsheet, Johan Vélez helped with the reformatting</t>
  </si>
  <si>
    <t>3_LT_Buildings_CIRCOMOD</t>
  </si>
  <si>
    <t>Buildings and building parts</t>
  </si>
  <si>
    <t>11 building types and 15 building parts</t>
  </si>
  <si>
    <t>all years</t>
  </si>
  <si>
    <t>Lifetime of buildings, building parts and lifetime distributions</t>
  </si>
  <si>
    <t>lifetime; buildings; lifetime distribution; useful life; lifespan; use phase</t>
  </si>
  <si>
    <t>Lifetime of urban detached building in use phase - buildings in IMAGE 3.0|Central Asia built in all years is 60 yr.</t>
  </si>
  <si>
    <t>[Data type] of [Aspect 1] in [Aspect 4] in [Aspect 2] built in [Aspect 3] is [Value].</t>
  </si>
  <si>
    <t>Christian Hauenstein</t>
  </si>
  <si>
    <t>May 26, 2025 update</t>
  </si>
  <si>
    <t>6_CR_EU_criticality_RMIS_2023</t>
  </si>
  <si>
    <t>aggregated across all products, economy-wide</t>
  </si>
  <si>
    <t>selected materials from RMIS that are not covered in the critial materials of the EU (2020 list)</t>
  </si>
  <si>
    <t>20 metals and minerals</t>
  </si>
  <si>
    <t>2015-2022</t>
  </si>
  <si>
    <t>EU import dependencies and recycling rates as proxy for material criticality. Extracted from RMIS 3.0, released in March 2023.</t>
  </si>
  <si>
    <t>EU; import; recycling rate; critical materials; material criticality; criticality indicator; RMIS</t>
  </si>
  <si>
    <t>Data extracted from Raw Materials Profiles (https://rmis.jrc.ec.europa.eu/rmp/) of the European Commission. RMIS 3.0, released in March 2023. If information on extraction and processing stage were available, the processing stage (refined metals) was preferred. "Import share EU" shows the main EU sourcing countries</t>
  </si>
  <si>
    <t>Criticality measured as end-of-life recycling input rate for antimony in form of refined metal for European Union in 2012 is 28%.</t>
  </si>
  <si>
    <t>[Data type] measured as [Aspect 3] for [Aspect 1] in form of [Aspect 2] for [Aspect 4] in [Aspect 5] is [Value].</t>
  </si>
  <si>
    <t>European Commission, JRC</t>
  </si>
  <si>
    <t>https://rmis.jrc.ec.europa.eu/uploads/rmp/info-dashboard.pdf</t>
  </si>
  <si>
    <t>https://rmis.jrc.ec.europa.eu/about</t>
  </si>
  <si>
    <t>EU-JRC RMIS 3.0, released in March 2023.</t>
  </si>
  <si>
    <t>Numbers copied from original source (website) to Excel spreadsheet</t>
  </si>
  <si>
    <t>1_F_Lumber_Cement_Plastics_Production_byCountry_2020</t>
  </si>
  <si>
    <t>cement, plastics, lumber</t>
  </si>
  <si>
    <t>3 aggregate material groups; lumber is additionally differentiated into 3 categories</t>
  </si>
  <si>
    <t>2019-2023</t>
  </si>
  <si>
    <t>Production of cement, plastics, lumber, by country</t>
  </si>
  <si>
    <t>cement; plastics; lumber; production; timber; wood; production statistics; production flow</t>
  </si>
  <si>
    <t>For lumber, the data considered all countries and was further filtered by production quantity for the years 2019-2023 with a focus on "Sawnwood, coniferous", "Sawnwood, non-coniferous", "Veneer sheets", "Plywood and LVL", "Particle board", "Oriented strand board (OSB)", "Hardboard", "Medium/high density fibreboard (MDF/HDF)", "Other fibreboard", "Glue-laminated timber (glulam)", "Cross-laminated timber (CLT or X-lam)", "I-beams (I-joists)", "Wooden furniture (export/import)", "Prefabricated buildings of wood (export/import)" and "Other manufactured wood products (export/import)". The mass of I-beams was converted to a volume to match the other units using an estimated density of 570 kg/m³.</t>
  </si>
  <si>
    <t>Mass of flow of cement from material production to market for refined materials in South Africa in 2019 was 12400000 t/yr.</t>
  </si>
  <si>
    <t>[Layer] of [Data type] of [Aspect 3] flowing from [Aspect 1] to [Aspect 2] in [Aspect 4] in [Aspect 5] has [Value].</t>
  </si>
  <si>
    <t>website with table</t>
  </si>
  <si>
    <t>Marina Haug</t>
  </si>
  <si>
    <t>6_URB_CityBlocks_Sample_Freiburg_Germany_McShane_2025</t>
  </si>
  <si>
    <t>Urban metabolism indicators</t>
  </si>
  <si>
    <t>Cities</t>
  </si>
  <si>
    <t>71 randomly selected city blocks in Freiburg im Breisgau, Germany</t>
  </si>
  <si>
    <t>buildings and infrastructure (roads), and parking spaces</t>
  </si>
  <si>
    <t>ca. 15 different building and infrastructure types</t>
  </si>
  <si>
    <t>one aggregate construction material group</t>
  </si>
  <si>
    <t>Freiburg im Breisgau, Germany</t>
  </si>
  <si>
    <t>city-level data for 71 randomly selected city blocks</t>
  </si>
  <si>
    <t>ca. 2023</t>
  </si>
  <si>
    <t>land use shares, material stocks, and embodied GHG for 71 randomly selected city blocks in Freiburg im Breisgau, Germany. Extracted from the master thesis of Alexander McShane</t>
  </si>
  <si>
    <t>urban metabolism; MFA; energy; material; Freiburg; parking; buildings; transport; roads</t>
  </si>
  <si>
    <t>Value(y,t,1,I)</t>
  </si>
  <si>
    <t>road, neighbourhood, collector or residential for city block sample number 15 in Freiburg im Breisgau measured in ca. 2023 is 334 m².</t>
  </si>
  <si>
    <t>[Aspect 4] for city block sample number [Aspect 3] in [Aspect 1] measured in [Aspect 2] is [Value].</t>
  </si>
  <si>
    <t>Alexander McSHANE</t>
  </si>
  <si>
    <t>https://doi.org/10.6094/UNIFR/266378</t>
  </si>
  <si>
    <t>Original data compiled in xlsx file and archived on Zenodo with the IEDC 2025 archive.</t>
  </si>
  <si>
    <t>Numbers extracted from original source (csv) via Excel</t>
  </si>
  <si>
    <t>June 2, 2025 update</t>
  </si>
  <si>
    <t>3_LT_Plastics_Buildings_Germany_Schmidt_et_al_2025</t>
  </si>
  <si>
    <t>Buildings and building parts, infrastructure</t>
  </si>
  <si>
    <t>about 25 different components of buildings and infrastructure</t>
  </si>
  <si>
    <t>plastics</t>
  </si>
  <si>
    <t>all polymers, EPS, XPS, and PUR</t>
  </si>
  <si>
    <t>one value for all age-cohorts</t>
  </si>
  <si>
    <t>Lifetime of buildings, building parts, and infrastructure for plastics in building and construction components in Germany</t>
  </si>
  <si>
    <t>lifetime; buildings; infrastructure; lifetime distribution; useful life; lifespan; use phase; Germany; plastics</t>
  </si>
  <si>
    <t>Lifetime of polystyrene, expanded (EPS) in insulation, flat roof in use phase in Germany built in all years is 50 yr.</t>
  </si>
  <si>
    <t>[Data type] of [Aspect 1] in [Aspect 2] in [Aspect 3] in [Aspect 4] built in [Aspect 5] is [Value].</t>
  </si>
  <si>
    <t>CC BY ND 4.0</t>
  </si>
  <si>
    <t>Sarah SCHMIDT</t>
  </si>
  <si>
    <t>https://ars.els-cdn.com/content/image/1-s2.0-S2352340925003841-mmc1.pdf</t>
  </si>
  <si>
    <t>table in supplementary pdf file (page 15)</t>
  </si>
  <si>
    <t>https://doi.org/10.1016/j.dib.2025.111654</t>
  </si>
  <si>
    <t>Numbers copied from original sources to Excel spreadsheet with pdf tools software, manual review and correction afterwards</t>
  </si>
  <si>
    <t>June 5, 2025 update</t>
  </si>
  <si>
    <t>4_PY_Manufacturing_Allwood_2024</t>
  </si>
  <si>
    <t>steel and aluminium casting, rolling, shaping, cutting, and forging</t>
  </si>
  <si>
    <t>about 10 different process steps</t>
  </si>
  <si>
    <t>steel and aluminium in raw form, semi-finished, and finished metal</t>
  </si>
  <si>
    <t>about 20 different product types</t>
  </si>
  <si>
    <t>steel, aluminium</t>
  </si>
  <si>
    <t>single representative value for global manufacturing technologies</t>
  </si>
  <si>
    <t>2005-2020</t>
  </si>
  <si>
    <t>single representative value</t>
  </si>
  <si>
    <t>manufacturing yield ratios / yield factors for various steel and aluminium processing steps, from ore/scrap to finished metal products</t>
  </si>
  <si>
    <t>manufacturing; process yield; manufacturing yield; yield loss; steel; aluminium</t>
  </si>
  <si>
    <t>The process yield factors are estimated from a large number of sources, documented in the reference for this dataset. The time and geographical scope is not defined, an based on the sources cited, it was set to 2005-2020 and Global.</t>
  </si>
  <si>
    <t>Value(m,B,p,F,v,t,r)</t>
  </si>
  <si>
    <t>Yield coefficient measured as mass ratio of steel in slabs, blooms, billets processed into steel rods and bars in hot rolling in Global in 2005-2020 for CE strategy none is 94%.</t>
  </si>
  <si>
    <t>[Data type] measured as [Layer] of [Aspect 1] in [Aspect 2] processed into [Aspect 4] in [Aspect 3] in [Aspect 6] in [Aspect 7] for CE strategy [Aspect 5] is [value].</t>
  </si>
  <si>
    <t>Julian ALLWOOD</t>
  </si>
  <si>
    <t>Table 1 in https://doi.org/10.1098/rsta.2023.0245</t>
  </si>
  <si>
    <t>Table in pdf</t>
  </si>
  <si>
    <t>https://doi.org/10.1098/rsta.2023.0245</t>
  </si>
  <si>
    <t>J.M. Allwood, O. Music. Material efficiency at the component level: how much metal can we do without? Philosophical Transactions of the Royal Society (2024) Volume 382, Issue 2284</t>
  </si>
  <si>
    <t>3_LT_Electricity_System_Technologies_Victoria_et_al_2020</t>
  </si>
  <si>
    <t>Electricity generation, distribution, and storage technologies</t>
  </si>
  <si>
    <t>7 different technologies</t>
  </si>
  <si>
    <t>Europe</t>
  </si>
  <si>
    <t>aggregate value</t>
  </si>
  <si>
    <t>Useful/operatin lifetime of electricity generation, distribution, and storage technologies, compiled from different sources and used for energy system modelling (pyPSA).</t>
  </si>
  <si>
    <t>lifetime; useful life; lifespan; use phase; Europe; EU; energy; electricity; energy system; energy storage; electricity generation;</t>
  </si>
  <si>
    <t>Data were compiled from different sources and used for energy system modelling. Original source indicated in comment field.</t>
  </si>
  <si>
    <t>Lifetime of offshore wind power generation in use phase in EU27 built in all years is 27 yr.</t>
  </si>
  <si>
    <t>Marta VICTORIA</t>
  </si>
  <si>
    <t>https://static-content.springer.com/esm/art%3A10.1038%2Fs41467-020-20015-4/MediaObjects/41467_2020_20015_MOESM1_ESM.pdf</t>
  </si>
  <si>
    <t>table in supplementary pdf file (supplementary table 5)</t>
  </si>
  <si>
    <t>https://doi.org/10.1038/s41467-020-20015-4</t>
  </si>
  <si>
    <t>3_MC_Wooden_Multipurpose_Building_Buschbeck_2025</t>
  </si>
  <si>
    <t>multipurpose building</t>
  </si>
  <si>
    <t>3 different building construction and transformation types</t>
  </si>
  <si>
    <t>main building materials and components</t>
  </si>
  <si>
    <t>13 different materials and building components</t>
  </si>
  <si>
    <t>contemporary building design derived from case study, applicable for ca. 2020-2030</t>
  </si>
  <si>
    <t>Material composition of a case-study design multipurpose building (25 years of parking house, another 25 years of residential+office), for concrete reference, wood-based building with and without demolition between the two use phases.</t>
  </si>
  <si>
    <t>material; material content; buildings; wooden building; circular economy; multipurpose building;</t>
  </si>
  <si>
    <t>Data behind Figure 4 in the linked paper, available from the xlsx supplementary material</t>
  </si>
  <si>
    <t>Value(r,Y,c,k)</t>
  </si>
  <si>
    <t>Material composition of 7-storey multi-purpose building, wood-based, demolition measured as mass of laminated veneer lumber per unit of 7-storey multi-purpose building, wood-based, demolition in Germany built in ca. 2020-2030 is 212.67 kg/m².</t>
  </si>
  <si>
    <t>[data type] of [Aspect 2] measured as [layer] of [Aspect 4] per area of [aspect 2] in [Aspect 1] built in [Aspect 3] is [Value].</t>
  </si>
  <si>
    <t>Christian BUSCHBECK</t>
  </si>
  <si>
    <t>https://zenodo.org/uploads/15805315</t>
  </si>
  <si>
    <t>table in xlsx supplement, Figure in paper</t>
  </si>
  <si>
    <t>https://doi.org/10.6094/UNIFR/268540</t>
  </si>
  <si>
    <t>Numbers manually copied from original source (supplementary xlsx) to Excel spreadsheet and reformated to IEDC data model</t>
  </si>
  <si>
    <t>3_SHA_EndUseShares_Steel_Aluminium_Allwood_2025</t>
  </si>
  <si>
    <t>major end uses of steel and aluminium</t>
  </si>
  <si>
    <t>ca. 20 end uses per metal</t>
  </si>
  <si>
    <t>steel and aluminium</t>
  </si>
  <si>
    <t>10 manufacturing types for steel and 8 for aluminium (extruded, forged, cast, …)</t>
  </si>
  <si>
    <t>Split ratios (%) or end-use shares or sector split of final consumption of metal of a certain type going into a certain application</t>
  </si>
  <si>
    <t>Sector split; end-use shares; split ratios; final use shares; steel; aluminium</t>
  </si>
  <si>
    <t>Original data source: Music and Allwood (2025): https://doi.org/10.1016/j.resconrec.2024.107949. Dataset contains sector split breakdown into material types and product groups "all forms" reports the sum over all material types. Rounding errors of up to 1% occur.</t>
  </si>
  <si>
    <t>Value(m,B,p,F,r,t)</t>
  </si>
  <si>
    <t>Mass ratio of total final consumption of aluminium in form of aluminium, cast going into other metal goods in use phase in Global in 202 is 2.8%.</t>
  </si>
  <si>
    <t>[Layer] of total final consumption of [Aspect 1] in form of [Aspect 2] going into [Aspect 4] in [Aspect 3] in [Aspect 5] in [Aspect 6] is [Value].</t>
  </si>
  <si>
    <t>Figure 10 in https://doi.org/10.1016/j.cirp.2025.04.013</t>
  </si>
  <si>
    <t>Figure in pdf</t>
  </si>
  <si>
    <t>https://doi.org/10.1016/j.cirp.2025.04.013</t>
  </si>
  <si>
    <t>3_EI_Other_Vehicles_CIRCOMOD</t>
  </si>
  <si>
    <t>July 4, 2025 update</t>
  </si>
  <si>
    <t>3_MC_Buildings_UK_Variability_DAI_2025</t>
  </si>
  <si>
    <t>six different building types, differentiated by main building material and by age-cohort of construction</t>
  </si>
  <si>
    <t>concrete, mortar, brick, stone</t>
  </si>
  <si>
    <t>United Kingdom</t>
  </si>
  <si>
    <t>four different age-cohort ranges</t>
  </si>
  <si>
    <t xml:space="preserve">Geometry-informed material intensity of UK housing, including intra-archetype material variability </t>
  </si>
  <si>
    <t>material; material content; buildings; stone building; UK; construction</t>
  </si>
  <si>
    <t>Data extracted from Fig. 2 and Table 1 in the paper.</t>
  </si>
  <si>
    <t>Value(r,Y,c,m)</t>
  </si>
  <si>
    <t>Material composition of residential building, measured as mass of mortar per area of residential building in UK built in 1930-1949 is 123 kg/m².</t>
  </si>
  <si>
    <t>[data type] of [Aspect 2] measured as [layer] of [Aspect 4] per area of [Aspect 2] in [Aspect 1] built in [Aspect 3] is [Value].</t>
  </si>
  <si>
    <t>Menglin DAI</t>
  </si>
  <si>
    <t>https://doi.org/10.1016/j.resconrec.2025.108392</t>
  </si>
  <si>
    <t>table and Figure in paper (pdf)</t>
  </si>
  <si>
    <t>4_PY_Cobalt_Manufacturing_Recycling_GODOY-LEON_2020</t>
  </si>
  <si>
    <t>waste collection, pre-processing, recycling, manufacturing</t>
  </si>
  <si>
    <t>4 aggregated processes</t>
  </si>
  <si>
    <t>cobalt-containing commodities</t>
  </si>
  <si>
    <t>8 different groups</t>
  </si>
  <si>
    <t>cobalt</t>
  </si>
  <si>
    <t>single material</t>
  </si>
  <si>
    <t>Global and some single-country values</t>
  </si>
  <si>
    <t>1980-2017</t>
  </si>
  <si>
    <t>single year values for individual data points</t>
  </si>
  <si>
    <t>process yield coefficients for waste collection (collection rate), recycling (recycling rate), and manufacturing yield for cobalt-containing products</t>
  </si>
  <si>
    <t>cobalt; products; metals; catalysts; alloys; process yield; yield loss; manufacturing yield; collection rate; recycling rate</t>
  </si>
  <si>
    <t>Data extracted from different tables in the supplement, see the comment for each value</t>
  </si>
  <si>
    <t>Value(m,k,o,p,d,r,t)</t>
  </si>
  <si>
    <t>Yield coefficient for process recycling measured as mass ratio of outflow to market for recycled material over inflow from market for waste products and components for cobalt in battery, portable in Germany in 2011 is 90%.</t>
  </si>
  <si>
    <t>[Data type] for process [Aspect 4] measured as [Layer] of outflow to [Aspect 5] over inflow from [Aspect 3] for [Aspect 1] in [Aspect 2] in [Aspect 6] in [Aspect 7] is [Value].</t>
  </si>
  <si>
    <t>María Fernanda Godoy León</t>
  </si>
  <si>
    <t>https://doi.org/10.1016/j.resconrec.2019.104564</t>
  </si>
  <si>
    <t>Data extracted from paper supplement 1-s2.0-S0921344919304707-mmc1.pdf, pages 7-14, Tables A2-A13</t>
  </si>
  <si>
    <t>4_SHR_Cobalt_Products_End_Uses_GODOY-LEON_2020</t>
  </si>
  <si>
    <t>manufacturing and market for final goods and services</t>
  </si>
  <si>
    <t>two aggregate process</t>
  </si>
  <si>
    <t>all major applications of cobalt</t>
  </si>
  <si>
    <t>seven product groups/components</t>
  </si>
  <si>
    <t>European Union (with global markets)</t>
  </si>
  <si>
    <t>One aggregate region</t>
  </si>
  <si>
    <t>2010-2017</t>
  </si>
  <si>
    <t>Shares of cobalt flows in different components in the EU manufacturing output and the EU final consumption, as share of cobalt flows in all products</t>
  </si>
  <si>
    <t>cobalt; manufacturing; product shares; final consumption; end-use shares; sector split; EU; European Union</t>
  </si>
  <si>
    <t>Values describe shares in manufacturing and market shares of final uses for cobalt-containing components.</t>
  </si>
  <si>
    <t>Value(m,k,g,o,O,d,D,t)</t>
  </si>
  <si>
    <t>Mass ratio indicating the share of cobalt in magnets in the flow of all products flowing from manufacturing in the EU to market for manufactured goods and components in the EU in 2016 is 1.67%.</t>
  </si>
  <si>
    <t>[Layer] indicating the share of [Aspect 1] in [Aspect 2] in the flow of [Aspect 3] flowing from [Aspect 4] in [Aspect 5] to [Aspect 6] in [Aspect 7] in [Aspect 8] is [value].</t>
  </si>
  <si>
    <t>https://doi.org/10.1016/j.resconrec.2020.104842</t>
  </si>
  <si>
    <t>Data extracted from paper supplement 1-s2.0-S0921344920301622-mmc2.xlsx, sheet "Share end uses EU", rows 79-124.</t>
  </si>
  <si>
    <t>1_F_Final_Metal_Demand_Watari_2020</t>
  </si>
  <si>
    <t>material demand (use phase, final consumption)</t>
  </si>
  <si>
    <t>all uses</t>
  </si>
  <si>
    <t>depends on the different metals</t>
  </si>
  <si>
    <t>Global total</t>
  </si>
  <si>
    <t>2030 and 2050</t>
  </si>
  <si>
    <t>Scenarios for the final demand of technology metals, compiled by Watari et al. (2020) from more than 80 different studies.</t>
  </si>
  <si>
    <t>technology metals; final demand; review; scenarios; 2030; 2050</t>
  </si>
  <si>
    <t>Paper mentions "demand", which here is interpreted as final demand</t>
  </si>
  <si>
    <t>Value(m,g,o,d,r,t)</t>
  </si>
  <si>
    <t>Mass of flow of platinum in fuel cells from market for final goods to use phase in Global in 2050 is 0.006 kt/yr with comment Extracted from: Watari et al. (2019), … .</t>
  </si>
  <si>
    <t>[Layer] of [Data type] of [aspect1] in [aspect2] flowing from [aspect3] to [aspect4] in [aspect5] in [aspect6] has [value] with comment [comment].</t>
  </si>
  <si>
    <t>Takuma WATARI</t>
  </si>
  <si>
    <t>https://doi.org/10.1016/j.resconrec.2019.104669</t>
  </si>
  <si>
    <t>pdf journal paper with supplementary xlsx</t>
  </si>
  <si>
    <t>Numbers extracted from supplementary xlsx and converted to IEDC templates</t>
  </si>
  <si>
    <t>3_LT_Cobalt_Products_GODOY-LEON_2020</t>
  </si>
  <si>
    <t>1970-2015</t>
  </si>
  <si>
    <t>time ranges (age-cohorts) for the different commodities</t>
  </si>
  <si>
    <t>lifetime estimates (useful lifetime) compiled from various literature sources for MFA study on cobalt</t>
  </si>
  <si>
    <t>cobalt; lifetime; products; metals; catalysts; alloys; use phase; useful product lifetime</t>
  </si>
  <si>
    <t>Value(m,k,p;r,c)</t>
  </si>
  <si>
    <t>Cobalt in magnets of age-cohort 1995-2015 in the use phase in region Japan has lifetime of 16.4 years.</t>
  </si>
  <si>
    <t>[aspect1] in [aspect2] of [aspect5] in [aspect3] in [aspect 4] has [Layer] of [value].</t>
  </si>
  <si>
    <t>August 4, 2025 update</t>
  </si>
  <si>
    <t>3_MC_Buildings_EU_Renovation_Maintenance_Damgaard_2022</t>
  </si>
  <si>
    <t>9 building types</t>
  </si>
  <si>
    <t>12 major construction materials</t>
  </si>
  <si>
    <t>EU27</t>
  </si>
  <si>
    <t>EU aggregate</t>
  </si>
  <si>
    <t>one representative value for all age-cohorts</t>
  </si>
  <si>
    <t>Specific material requirement (in kg/m²) of building renovation. The material values here are added to the building during renovation</t>
  </si>
  <si>
    <t>material requirement; material content; building; renovation; energy efficiency</t>
  </si>
  <si>
    <t>Value(U,Y,c,r,m,v,L)</t>
  </si>
  <si>
    <t>Material composition of glass measured in mass per area for strategy refurbishment (R5) applied to educational buildings, service building of age-cohort n.a. in use phase - buildings in EU27 is 6.13 kg/m², for non-energy related renovation.</t>
  </si>
  <si>
    <t>[Data type] of [Aspect 5] measured in [Aspect 7] for strategy [Aspect 6] applied to [Aspect 2] of age-cohort [Aspect 3] in [Aspect 1] in [Aspect 4] is [Value].</t>
  </si>
  <si>
    <t>Anders DAMGAARD</t>
  </si>
  <si>
    <t>https://doi.org/10.2760/772724</t>
  </si>
  <si>
    <t>pdf report</t>
  </si>
  <si>
    <t>1_F_Function_FreightTransp_History_EUROSTAT</t>
  </si>
  <si>
    <t>Land vehicles (road and rail)</t>
  </si>
  <si>
    <t>2 vehicle types: trucks and freight trains</t>
  </si>
  <si>
    <t>Function (in tkm) of freight transport provided by in-use stocks of vehicle categories</t>
  </si>
  <si>
    <t>freight rail; trucks; service flows; ton km; EU; freight transport</t>
  </si>
  <si>
    <t>Value(V,g,p,r,c)</t>
  </si>
  <si>
    <t>Flow measured as ton-km generated by train in use phase in Croatia in 2010 is 2618 million tkm/yr.</t>
  </si>
  <si>
    <t>[Data type] measured as [Aspect 1] generated by [Aspect 2] in [Aspect 3] in [Aspect 4] in [Aspect 5] is [Value].</t>
  </si>
  <si>
    <t>https://ec.europa.eu/eurostat/databrowser/view/rail_go_total__custom_10629027/default/table?lang=en</t>
  </si>
  <si>
    <t>dynamic web page</t>
  </si>
  <si>
    <t>https://ec.europa.eu/eurostat/cache/metadata/en/rail_if_esms.htm</t>
  </si>
  <si>
    <t>EUROSTAT Transport Statistics</t>
  </si>
  <si>
    <t>Patricia Fortes</t>
  </si>
  <si>
    <t>Numbers manually copied from original source to Excel spreadsheet</t>
  </si>
  <si>
    <t>3_MC_Vehicles_CIRCOMOD</t>
  </si>
  <si>
    <t>one aggregate end-use sector</t>
  </si>
  <si>
    <t>about 100 different passenger vehicle and other vehicle types</t>
  </si>
  <si>
    <t>all major engineering and technology materials</t>
  </si>
  <si>
    <t>up to 80 different materials</t>
  </si>
  <si>
    <t>Values for 8 single-countries and globally aggregate/representative values</t>
  </si>
  <si>
    <t>1976-2060</t>
  </si>
  <si>
    <t>values for individual age-cohorts and for time ranges</t>
  </si>
  <si>
    <t>material composition of vehicles in kg of engineering material by vehicle or by component, compiled from various sources (see comment field).</t>
  </si>
  <si>
    <t>material composition; material content; vehicles; manufacturing; engineering materials; cars; trains; trucks; busses</t>
  </si>
  <si>
    <t>Data compiled from different sources as part of the EU Horizon CIRCOMOD projects input database collection effort. See the comment for the data source of each data point.</t>
  </si>
  <si>
    <t>Value(U,g,c,r,k,m,v,L)</t>
  </si>
  <si>
    <t>Material composition measured as mass per unit of copper in entire device of private car in use phase - vehicles in 1995 in China for resource efficiency strategy none is 20.11 kg.</t>
  </si>
  <si>
    <t>[Data type] measured as [Aspect 8] of [Aspect 6] in [Aspect 5] of [Aspect 2] in [Aspect 1] in [Aspect 3] in [Aspect 4] for resource efficiency strategy [Aspect 7] is [Value].</t>
  </si>
  <si>
    <t>Further checking and formatting by Stefan Pauliuk for IEDC upload</t>
  </si>
  <si>
    <t>1_F_Function_PassTransp_History_EUROSTAT</t>
  </si>
  <si>
    <t>4 vehicle types: private cars, motorcycles, coaches, passenger rail</t>
  </si>
  <si>
    <t>Function (in pkm) of passenger transport provided by in-use stocks of vehicle categories</t>
  </si>
  <si>
    <t>passenger rail; motorcyle; coaches; busses; passenger vehicles; service flows; passenger km; EU; passenger transport</t>
  </si>
  <si>
    <t>Flow measured as passenger-km generated by passenger vehicles in use phase in Czech Republic in 2009 is 72290 million pkm/yr.</t>
  </si>
  <si>
    <t>https://ec.europa.eu/eurostat/databrowser/view/road_pa_mov/default/table?lang=en&amp;category=road.road_pa</t>
  </si>
  <si>
    <t>3_MC_Buildings_Austria_Renovation_Maintenance_Lederer_2021</t>
  </si>
  <si>
    <t>4 building types</t>
  </si>
  <si>
    <t>3 major construction materials</t>
  </si>
  <si>
    <t>country-level average/aggregate</t>
  </si>
  <si>
    <t>1800-1980</t>
  </si>
  <si>
    <t>three age-cohort ranges</t>
  </si>
  <si>
    <t>Material composition of glass measured in mass per area for strategy refurbishment (R5) applied to service building of age-cohort 1946-1980 in use phase - buildings in Austria is 3.35 kg/m², for energy related renovation.</t>
  </si>
  <si>
    <t>[Data type] of [Aspect 5] measured in [Aspect 7] for strategy [Aspect 6] applied to [Aspect 2] of age-cohort [Aspect 3] in [Aspect 1] in [Aspect 4] is [Value], [comment].</t>
  </si>
  <si>
    <t>Jakob LEDERER</t>
  </si>
  <si>
    <t>https://doi.org/10.1016/j.jclepro.2020.125566</t>
  </si>
  <si>
    <t>3_MC_Wind_Turbines_Farina_Anctil_2020</t>
  </si>
  <si>
    <t>Mass per capacity</t>
  </si>
  <si>
    <t>1 end use sector for electricity generation</t>
  </si>
  <si>
    <t>wind turbines</t>
  </si>
  <si>
    <t>onshore and offshore wind turbine technology, global average/representative values by age-cohort</t>
  </si>
  <si>
    <t>13 major construction materials and technology metals</t>
  </si>
  <si>
    <t>Global-level average/aggregate</t>
  </si>
  <si>
    <t>1991-2016</t>
  </si>
  <si>
    <t>single-year values for a number of age-cohorts within the range.</t>
  </si>
  <si>
    <t>Specific material requirement (in t/GW of installed capacity) of wind turbines, onshore and offshore.</t>
  </si>
  <si>
    <t>material requirement; material content; material composition; energy system; wind turbines; electricity generation; wind power</t>
  </si>
  <si>
    <t>Data were provided as xlsx (supplement of DOI https://doi.org/10.1016/j.jclepro.2025.145794) by Fernanda Godoy Leon from original pdf report/dataset and converted from there. For additional conversion and assumption done by Fernanda Leon, see the comment for each data point.</t>
  </si>
  <si>
    <t>Value(U,g,c,r,m)</t>
  </si>
  <si>
    <t>Material composition measured as mass per capacity of aluminium contained in capacity of wind turbines, onshoreof age-cohort 1992 in use phase - electricity generation in Global is 2,334 t/MW.</t>
  </si>
  <si>
    <t>[Data type] measured as [Layer] of [Aspect 5] contained in capacity of [Aspect 2] of age-cohort [Aspect 3] in [Aspect 1] in [Aspect 4] is [Value].</t>
  </si>
  <si>
    <t>Angela FARINA</t>
  </si>
  <si>
    <t>https://doi.org/10.1016/j.resconrec.2021.105938</t>
  </si>
  <si>
    <t>Data were provided as xlsx (supplement of DOI https://doi.org/10.1016/j.jclepro.2025.145794) by Fernanda Godoy Leon from original pdf report/dataset.</t>
  </si>
  <si>
    <t>Data extracted from xlsx (supplement of DOI https://doi.org/10.1016/j.jclepro.2025.145794 compiled by Fernanda Godoy Leon from original pdf) and manually copied to Excel spreadsheet.</t>
  </si>
  <si>
    <t>3_MC_Wind_Turbines_Carrara_2020</t>
  </si>
  <si>
    <t>four different wind turbine technologies</t>
  </si>
  <si>
    <t>20 major construction materials and technology metals</t>
  </si>
  <si>
    <t>EU-level average/aggregate</t>
  </si>
  <si>
    <t>one representative value for the age-cohort range</t>
  </si>
  <si>
    <t>Specific material requirement (in t/GW of installed capacity) of wind turbines, by technology.</t>
  </si>
  <si>
    <t>Data were provided as xlsx (supplement of DOI https://doi.org/10.1016/j.jclepro.2025.145794) by Fernanda Godoy Leon from original pdf report/dataset and converted from there.</t>
  </si>
  <si>
    <t>Material composition measured as mass per capacity of zinc contained in capacity of wind turbines, direct drive turbines include low-speed EESG (type D-EE) of age-cohort ca. 2020 in use phase - electricity generation in EU is 5500 t/GW.</t>
  </si>
  <si>
    <t>Samuel CARRARA</t>
  </si>
  <si>
    <t>https://doi.org/doi:10.2760/160859</t>
  </si>
  <si>
    <t>4_PY_Buildings_CIRCOMOD</t>
  </si>
  <si>
    <t>product manufacturing processes: construction sector</t>
  </si>
  <si>
    <t>one aggregate manufacturing sector</t>
  </si>
  <si>
    <t>buildings and infrastructure</t>
  </si>
  <si>
    <t>one aggregate construction sector/process</t>
  </si>
  <si>
    <t>cement, steel, wood, aluminium, copper</t>
  </si>
  <si>
    <t>aggregate global values, some country-specific values for China</t>
  </si>
  <si>
    <t>region specific</t>
  </si>
  <si>
    <t>Material yield factors for the construction stage in the construction sector</t>
  </si>
  <si>
    <t>material efficiency; construction yield; material efficiency; buildings; construction; process efficiency</t>
  </si>
  <si>
    <t>Value(m,g,t,r,v,p)</t>
  </si>
  <si>
    <t>Yield coefficient measured as mass ratio of concrete manufactured into buildings in process manufacturing of buildings and infrastructure in Global in 2015 for strategy fabrication yield improvement is 0.985.</t>
  </si>
  <si>
    <t>[Data type] measured as [data layer] of [Aspect 1] manufactured into [Aspect 2] in process [Aspect 6] in [Aspect 4] in [Aspect 3] for strategy [Aspect 5] is [Value].</t>
  </si>
  <si>
    <t>3_MC_Wind_Turbines_Godoy_Leon_2025</t>
  </si>
  <si>
    <t>four different wind turbine technologies, partly divided into onshore and offshore</t>
  </si>
  <si>
    <t>9 major construction and technology metals</t>
  </si>
  <si>
    <t>2016-2021</t>
  </si>
  <si>
    <t>Material composition measured as mass per capacity of steel, chromium contained in capacity of wind turbines, offshore, medium/high-speed permanent magnet synchronous generator (PMSG) (type E-PM) of age-cohort 2016-2021 in use phase - electricity generation in EU is 4740 t/GW.</t>
  </si>
  <si>
    <t>María Fernanda GODOY LEON</t>
  </si>
  <si>
    <t>https://doi.org/10.1016/j.jclepro.2025.145794</t>
  </si>
  <si>
    <t>pdf journal paper</t>
  </si>
  <si>
    <t>4_SHR_ReMeasures_Buildings_CIRCOMOD</t>
  </si>
  <si>
    <t>waste management industries</t>
  </si>
  <si>
    <t>one aggregate building type</t>
  </si>
  <si>
    <t>major building materials including steel, concrete, wood but also copper and aluminium</t>
  </si>
  <si>
    <t>Global, EU</t>
  </si>
  <si>
    <t>region/global average</t>
  </si>
  <si>
    <t>potential for reuse and recycling of different components, commodities, and materials of buildings</t>
  </si>
  <si>
    <t>buildings; reuse; recycling; circular economy potential;</t>
  </si>
  <si>
    <t>Value(m,B,U,p,v,t,r,L)</t>
  </si>
  <si>
    <t>General ratio of flows linked to a process measured as recycling potential of materials or components extracted from end-of-life goods, expressed as mass ratio of bricks in buildings from use phase - buildings handled in waste management for strategy recycle (R8) in the European Union in 2020 is 79%.</t>
  </si>
  <si>
    <t>[Data type] measured as [Aspect 8] of [Aspect 1] in [Aspect 2] from [Aspect 3] handled in [Aspect 4] for strategy [Aspect 5] in [Aspect 6] in [Aspect 7] is [Value].</t>
  </si>
  <si>
    <t>August 24, 2025 update</t>
  </si>
  <si>
    <t>5_PP_buildings_EoL_mgmt_costs_and_labor_requirements_CARO_2024</t>
  </si>
  <si>
    <t>EoL processes</t>
  </si>
  <si>
    <t>recycling, landfilling, incineration</t>
  </si>
  <si>
    <t>waste engineering materials</t>
  </si>
  <si>
    <t>12 different waste material groups</t>
  </si>
  <si>
    <t>CAPEX, OPEX, and FTE (full-time equivalent) of treating 12 construction and demolition waste material fractions in three different waste treatment processes, expressed in Indicator/ton.
pathways and treatment technologies</t>
  </si>
  <si>
    <t>waste treatment; recycling, landfilling; incineration; waste management; CAPEX; OPEX; EoL; end-of-life; waste</t>
  </si>
  <si>
    <t>Value(M,p,r,t,E)</t>
  </si>
  <si>
    <t>Process parameter for the treatment of aluminium scrap in recycling in European Union in 2020 has CAPEX of 19.14 EUR/ton.</t>
  </si>
  <si>
    <t>[Data type] for the treatment of [Aspect 1] in [Aspect 2] in [Aspect 3] in [Aspect 4] has [Aspect 5] of [Value].</t>
  </si>
  <si>
    <t>Dario CARO</t>
  </si>
  <si>
    <t>https://doi.org/10.1016/j.scitotenv.2023.168295</t>
  </si>
  <si>
    <t>Appendix. Supplementary materials</t>
  </si>
  <si>
    <t>4_PC_Investment_Costs_Building_Renovations_EU_2019</t>
  </si>
  <si>
    <t>Process costs</t>
  </si>
  <si>
    <t>monetary (constant prices)</t>
  </si>
  <si>
    <t>building use phase - renovation</t>
  </si>
  <si>
    <t>on aggregate process</t>
  </si>
  <si>
    <t>building type</t>
  </si>
  <si>
    <t>residential and non-residential building</t>
  </si>
  <si>
    <t>EU country level</t>
  </si>
  <si>
    <t>2012-2016</t>
  </si>
  <si>
    <t>Average values für period 2012-2016</t>
  </si>
  <si>
    <t>CAPEX per m² for various renovation types with specific energy savings/target energy standards</t>
  </si>
  <si>
    <t>CAPEX; costs; renovation; energy; primary energy savings; buildigs; EU; retrofit</t>
  </si>
  <si>
    <t>Value(E,r,t,g,p)</t>
  </si>
  <si>
    <t>Process costs measured as costs (CAPEX) for achieving 3-30% primary energy saving on monetary (constant prices) layer for residential buildings in use phase - buildings in Czech Republic in 2012-2016 is 62 EUR/m².</t>
  </si>
  <si>
    <t>[Data type] measured as [Aspect 1] on [Layer] for [Aspect 4] in [Aspect 5] in [Aspect 2] in [Aspect 3] is [Value].</t>
  </si>
  <si>
    <t>https://energy.ec.europa.eu/publications/comprehensive-study-building-energy-renovation-activities-and-uptake-nearly-zero-energy-buildings-eu_en</t>
  </si>
  <si>
    <t>doi: 10.2833/14675</t>
  </si>
  <si>
    <t>Numbers extracted from report and converted to IEDC template</t>
  </si>
  <si>
    <t>August 28, 2025 update</t>
  </si>
  <si>
    <t>1_F_Lithium_and_Cobalt_Ore_Extraction_Refining_TAN_2024</t>
  </si>
  <si>
    <t>mining, smelting, refining</t>
  </si>
  <si>
    <t>three aggregate process steps</t>
  </si>
  <si>
    <t>lithium and cobalt as ore, oxide, carbonates, chlorides, etc.</t>
  </si>
  <si>
    <t>individual values for main producing countries</t>
  </si>
  <si>
    <t>extraction and refining of metal ores of lithium and cobalt, 2019, by country</t>
  </si>
  <si>
    <t>mining; metals; production; extraction; lithium; cobalt; 2019; global; refining</t>
  </si>
  <si>
    <t>Metal in ore is counted</t>
  </si>
  <si>
    <t>Value(z,o,d,m,r,t)</t>
  </si>
  <si>
    <t>Mass of flow of cobalt flowing from Murrin Murrin in mining (reserves) to market for extracted resources in Australia in 2019 is 3.04 kt/yr.</t>
  </si>
  <si>
    <t>[Layer] of [Data type] of [Aspect 4] flowing from [Aspect 1] in [Aspect 2] to [Aspect 3] in [Aspect 5] in [Aspect 6] is [Value].</t>
  </si>
  <si>
    <t>Juan TAN</t>
  </si>
  <si>
    <t>https://doi.org/10.1016/j.resconrec.2024.107788</t>
  </si>
  <si>
    <t>1_F_Neodymium_Global_Qiance_LIU_2022</t>
  </si>
  <si>
    <t>mining, benefication, purification, semi-product manufacturing</t>
  </si>
  <si>
    <t>different material life cycle processes</t>
  </si>
  <si>
    <t>major end-use goods</t>
  </si>
  <si>
    <t>ca. 20 semi-finished and finished goods</t>
  </si>
  <si>
    <t>neodymium</t>
  </si>
  <si>
    <t>Global, China, EU, Japan, US, RoW</t>
  </si>
  <si>
    <t>1990-2020</t>
  </si>
  <si>
    <t>Values aggregated for three decades</t>
  </si>
  <si>
    <t>Neodymium flows across different life cycle stages, aggregated by decade. From Liu et al. (2022): "Tracking Three Decades of Global Neodymium Stocks and Flows with a Trade-Linked Multiregional Material Flow Analysis"</t>
  </si>
  <si>
    <t>mining; metals; production; extraction; neodymium; MFA; trade</t>
  </si>
  <si>
    <t>Compiled from SI of the study</t>
  </si>
  <si>
    <t>Value(o,B,d,F,M,t,O,D)</t>
  </si>
  <si>
    <t>Mass of flow of neodymium flowing in form of rare earth elements (REE) metal from fabrication in China to semi-products; NiMH battery in manufacturing in China in 1990-1999 is 0.1 kt/yr.</t>
  </si>
  <si>
    <t>[Layer] of [Data type] of [Aspect 5] flowing in form of [Aspect 2] from [Aspect 1] in [Aspect 7] to [Aspect 4] in [Aspect 3] in [Aspect 8] in [Aspect 6] is [value].</t>
  </si>
  <si>
    <t>All rights reserved</t>
  </si>
  <si>
    <t>Qiance LIU</t>
  </si>
  <si>
    <t>https://doi.org/10.1021/acs.est.2c02247</t>
  </si>
  <si>
    <t>12..6.25</t>
  </si>
  <si>
    <t>CIRCOMOD_MFA_System_May_2025.png</t>
  </si>
  <si>
    <t>CIRCOMOD_Input_Database_IEDC.png</t>
  </si>
  <si>
    <t>https://www.ise.fraunhofer.de/de/forschungsprojekte/souveraen.html</t>
  </si>
  <si>
    <t>See individual data groups and datasets</t>
  </si>
  <si>
    <t>DLS_Consumption_Corridors</t>
  </si>
  <si>
    <t>Research on the quantification of decent living standards (DLS) and consumption corridors</t>
  </si>
  <si>
    <t>decent living standards; DLS; consumption corridors; inequality; sufficiency; wellbeing; high with low;</t>
  </si>
  <si>
    <t>EDITS</t>
  </si>
  <si>
    <t xml:space="preserve">Energy Demand changes Induced by Technological and Social innovations (EDITS). The EDITS network ist hosted at IIASA and brings together experts of various disciplines to regularly discuss about and engage in the multi-faceted energy demand research. </t>
  </si>
  <si>
    <t>Energy demand changes; demand-side solutions; sufficiency; provisioning systems</t>
  </si>
  <si>
    <t>This IEDC project bundles several datagroups for smaller research projects and publications from the EDITS network</t>
  </si>
  <si>
    <t>https://doi.org/10.1038/s41893-025-01670-1</t>
  </si>
  <si>
    <t>Decent_Living_Standards_Gap_STREECK_2025</t>
  </si>
  <si>
    <t>one aggregate material indicator across all end-use products, buildings, vehicles, and infrastructure</t>
  </si>
  <si>
    <t>one aggregate material group, comprising biomass-based and fossil (plastics) materials, metals, and non-metallic minerals</t>
  </si>
  <si>
    <t>175 single country values</t>
  </si>
  <si>
    <t>one representative value for the reference year</t>
  </si>
  <si>
    <t>stocks</t>
  </si>
  <si>
    <t>in-use stocks</t>
  </si>
  <si>
    <t>Per capita existing decent living standards (DLS) stocks, DLS stock gap and threshold, as well as economy-wide material stocks (per capita average, in relation to the regions entire population) for all countries which enters the calculations for Figure 2b in Streeck et al. (2025), DOI https://doi.org/10.1038/s41893-025-01670-1</t>
  </si>
  <si>
    <t>decent living standards; DLS; in-use stocks; material stocks; DLS gap;</t>
  </si>
  <si>
    <t>https://iiasa.ac.at/projects/edits</t>
  </si>
  <si>
    <t>Decent_Living_Standards_Materials_VELEZ_2023</t>
  </si>
  <si>
    <t>Decent_Living_Standards_Materials_CountryLevel_VELEZ_2025</t>
  </si>
  <si>
    <t>https://doi.org/10.1016/j.ecolecon.2025.108819</t>
  </si>
  <si>
    <t>Decent_Living_Standards_Materials_CountryLevel_VELEZ_2026</t>
  </si>
  <si>
    <t>Johan VELEZ</t>
  </si>
  <si>
    <t>https://doi.org/10.1021/acs.est.3c03957</t>
  </si>
  <si>
    <t>in-use stocks and footprints</t>
  </si>
  <si>
    <t>different end-use services</t>
  </si>
  <si>
    <t>up to 4 aggregate material groups, comprising biomass-based and fossil (plastics) materials, metals, and non-metallic minerals</t>
  </si>
  <si>
    <t>global representative value</t>
  </si>
  <si>
    <t>Per capita existing decent living standards (DLS) stocks and material footprints, global aggregate/average.</t>
  </si>
  <si>
    <t>Per capita existing decent living standards (DLS) stocks and material footprints, country-level detail for different scenarios of provisioning systems.</t>
  </si>
  <si>
    <t>decent living standards; DLS; in-use stocks; material stocks; material footprint;</t>
  </si>
  <si>
    <t>China_EU_Electric_Passenger_Vehicle_Dataset_2023_Lang_MAI</t>
  </si>
  <si>
    <t>flows and intensive product properties</t>
  </si>
  <si>
    <t>flows and battery capacity</t>
  </si>
  <si>
    <t>unit and energy</t>
  </si>
  <si>
    <t>different car segments and drive technologies</t>
  </si>
  <si>
    <t>5 car segments and 14 drive technologies</t>
  </si>
  <si>
    <t>China and EU</t>
  </si>
  <si>
    <t>Chinese provinces and EU countries</t>
  </si>
  <si>
    <t>A high-resolution dataset on electric passenger vehicle characteristics in China and the European Union. New registration of alternative drive technologies and battery capacity of new vehicles</t>
  </si>
  <si>
    <t>electric passenger vehicles; battery electric vehicles; new registration; battery capacity; alternative drive technologies; China; EU; 2023</t>
  </si>
  <si>
    <t>Dataset is comprehensive, only some variables and parameters are re-distributed via the IEDC</t>
  </si>
  <si>
    <t>Lang MAI</t>
  </si>
  <si>
    <t>https://doi.org/10.1038/s41597-025-05770-7</t>
  </si>
  <si>
    <t>https://doi.org/10.6084/m9.figshare.29683073</t>
  </si>
  <si>
    <t>China_Sand_Gravel_ChrushedStone_MFA_REN_2025</t>
  </si>
  <si>
    <t>in-use stocks and flows</t>
  </si>
  <si>
    <t>material cycle of concrete aggregates</t>
  </si>
  <si>
    <t>sources, processes, final use, waste handling, recycling</t>
  </si>
  <si>
    <t>2 aggregate end-use product groups</t>
  </si>
  <si>
    <t>https://doi.org/10.1038/s41467-025-64349-3</t>
  </si>
  <si>
    <t>Zijian REN</t>
  </si>
  <si>
    <t>1978-2050</t>
  </si>
  <si>
    <t>single year values, historic data til 2020 and future scenarios til 2050</t>
  </si>
  <si>
    <t>MFA historical analysis and future scenarios for declining demand and circular transition possibilities of sand, gravel and crushed stone in China, 1978-2050.</t>
  </si>
  <si>
    <t>MFA; sand; gravel; crushed stone; cement; concrete aggregates; construction; buildings; infrastructure; China; scenario; 2050;</t>
  </si>
  <si>
    <t>Chinese provinces and country total</t>
  </si>
  <si>
    <t>3 material groups</t>
  </si>
  <si>
    <t>sand and gravel, crushed stone, recycled aggregate</t>
  </si>
  <si>
    <t>3_MC_BuildingArchetypes_West_Asia_North_Africa_AKIN_2025</t>
  </si>
  <si>
    <t>4 different building types</t>
  </si>
  <si>
    <t>construction and technology materials</t>
  </si>
  <si>
    <t>25 individual material groups</t>
  </si>
  <si>
    <t>West Asia and Northern Africa</t>
  </si>
  <si>
    <t>19 different countries</t>
  </si>
  <si>
    <t>2000-2025</t>
  </si>
  <si>
    <t>one representative value for the entire age-cohort range</t>
  </si>
  <si>
    <t>material composition of contemporary residential buildings, for 4 building types and 19 countries in West Asia and Northern Africa, from the database of the paper by Akin et al. (2025), DOI https://doi.org/10.1016/j.scs.2025.106351.</t>
  </si>
  <si>
    <t>material composition; material content; residential buildings; constrution materials; building material intensity; material per area;</t>
  </si>
  <si>
    <t>Numbers copied from original parameter file (RECC parameter template) and labels aligned to IEDC classification labels. Construction time range 2000-2025 is the approximate time frame for which these building archetypes are good representations of actual building types.</t>
  </si>
  <si>
    <t>Value(Y,r,c,m)</t>
  </si>
  <si>
    <t>Mass per area of construction steel in multi-family house, standard design constructed in Algeria in 2000-2025 is 8.92 km/m².</t>
  </si>
  <si>
    <t>[Layer] of [Aspect 4] in [Aspect 1] constructed in [Aspect 2] in [Aspect 3] is [Value].</t>
  </si>
  <si>
    <t>Shahin AKIN</t>
  </si>
  <si>
    <t>https://doi.org/10.1016/j.scs.2025.106351</t>
  </si>
  <si>
    <t>parameter file from model input database</t>
  </si>
  <si>
    <t>Numbers copied from original parameter file (RECC parameter template) and labels aligned to IEDC classification labels.</t>
  </si>
  <si>
    <t>6_IMI_EnvFootprints_DLS_Gap_Selected_Countries_VELEZ_2026</t>
  </si>
  <si>
    <t>9 decent living standards service groups, plus the sum total</t>
  </si>
  <si>
    <t>10 country-specific values, top ten in DLS gap for each of the four impact categories</t>
  </si>
  <si>
    <t>Country-level DLS gap in material footprint, water footprint, land occupation footprint, and carbon footprint for filling the gap between current service provision to the poor and decent living standards (DLS) for all under current provisioning systems and technologies, broken down by end-use service for selected countries with large gap (top ten).</t>
  </si>
  <si>
    <t>material footprint; water footprint; land occupation footprint; carbon footprint; global supply chain; decent living standard; DLS; DLS gap; poverty eradication;</t>
  </si>
  <si>
    <t>Country-level DLS gap in 4 footprints for filling the gap between current service provision to the poor and decent living standards (DLS) for all: 8 decent living standards service groups, plus the sum total, from data supplement 1-s2.0-S0921800925003027-mmc7.xlsx, sheet SI7.fig4</t>
  </si>
  <si>
    <t>Value(V,t,r,S,I)</t>
  </si>
  <si>
    <t>Gap in economy-wide footprint GWP100 for providing all people with shelter in 2015 in Indonesia for current provisioning systems and technologies is 0.10 Gt CO2-eq.</t>
  </si>
  <si>
    <t>Gap in economy-wide footprint [Aspect 5] for providing all people with [Aspect 1] in [Aspect 2] in [Aspect 3] for [Aspect 4] is [Value].</t>
  </si>
  <si>
    <t>Supplementary excel file</t>
  </si>
  <si>
    <t>6_PCS_Indirect_Decent_Living_Standards_VELEZ_2023</t>
  </si>
  <si>
    <t>products for 10 different end-use service groups</t>
  </si>
  <si>
    <t>8 materials and material groups</t>
  </si>
  <si>
    <t xml:space="preserve">Per capita average level for "indirect" (supply chain: industry and agriculture and their supporting infrastructure) in-use stocks, global aggregate/average. </t>
  </si>
  <si>
    <t>in-use stocks; materials; supply chain; industry; decent living standard; DLS;</t>
  </si>
  <si>
    <t>Per capita average level for "indirect" (industry and agriculture and their supporting infrastructure) in-use stocks, data from supplement Velez_2023_Material_Implications_DLS_SI_004.xlsx, sheet S4.19_indirect_stocks_summary</t>
  </si>
  <si>
    <t>Value(m,p,r,t,S,V)</t>
  </si>
  <si>
    <t>Mass of per capita stock of chemicals for providing hygiene in use phase in Global in 2015 for baseline is 29.16 kg.</t>
  </si>
  <si>
    <t>[Layer] of [Data type] of [Aspect 1] for providing [Aspect 6] in [Aspect 2] in [Aspect 3] in [Aspect 4] for [Aspect 5] is [Value].</t>
  </si>
  <si>
    <t>6_IMI_MaterialFootprints_Decent_Living_Standards_VELEZ_2023</t>
  </si>
  <si>
    <t>9 different end-use services</t>
  </si>
  <si>
    <t>5 aggregate material groups, comprising biomass-based and fossil (plastics) materials, metals, and non-metallic minerals</t>
  </si>
  <si>
    <t>Per capita existing decent living standards (DLS) material footprints, global aggregate for average annual consumption.</t>
  </si>
  <si>
    <t>material footprint; materials; global supply chain; decent living standard; DLS;</t>
  </si>
  <si>
    <t>Per capita annual average level data from supplement Velez_2023_Material_Implications_DLS_SI_005.xlsx, sheet S5.1_summary_results</t>
  </si>
  <si>
    <t>Value(V,r,t,S,I)</t>
  </si>
  <si>
    <t>Per capita annual raw material input (RMI), non-metallic minerals for shelter in Global in 2015 for baseline is 276.2 kg/yr.</t>
  </si>
  <si>
    <t>Per capita annual [Aspect 5] for [Aspect 1] in [Aspect 2] in [Aspect 3] for [Aspect 4] is [Value].</t>
  </si>
  <si>
    <t>2_IUS_Residential_Buildings_Nigeria_CHRYSOGONUS_NWAGWU_2024</t>
  </si>
  <si>
    <t>5 different building types, broken down into rural and urban</t>
  </si>
  <si>
    <t>Nigeria</t>
  </si>
  <si>
    <t>single value for entire country</t>
  </si>
  <si>
    <t>2020 in-use stock of residential buildings in Nigeria, 5 different building types, broken down into rural and urban. Unit: number of buildings.</t>
  </si>
  <si>
    <t>Nigeria; residential buildings; in-use stock; rural buildings; urban buildings; number of residential buildings;</t>
  </si>
  <si>
    <t>Data extracted from green-shaded table in supplementary file Nigeria_ArchetypeParameters.xlsx, sheet "2020". Rounded to nearest integer.</t>
  </si>
  <si>
    <t>country_subunit</t>
  </si>
  <si>
    <t>Value(g,p,r,t,u,Y)</t>
  </si>
  <si>
    <t>In-use stock measured as unit of residential building of type mud hut in use phase in Nigeria in 2020 in Ekiti is 99707.</t>
  </si>
  <si>
    <t>[Data type] measured as [Layer] of [Aspect 1] of type [Aspect 6] in [Aspect 2] in [Aspect 3] in [Aspect 4] in [Aspect 5] is [Value].</t>
  </si>
  <si>
    <t>Chibuikem CHRYSOGONUS NWAGWU</t>
  </si>
  <si>
    <t>https://zenodo.org/records/10995123</t>
  </si>
  <si>
    <t>pdf journal paper with supplementary xlsx from Zenodo</t>
  </si>
  <si>
    <t>https://doi.org/10.5334/bc.452</t>
  </si>
  <si>
    <t>3_LC_LorenzCurves_MaterialStocks_Global_WATARI_2021</t>
  </si>
  <si>
    <t>all applications</t>
  </si>
  <si>
    <t>one aggregate end-use category</t>
  </si>
  <si>
    <t>major engineering materials</t>
  </si>
  <si>
    <t>six major engineering materials; steel; copper; aluminium; zinc; lead; nickel</t>
  </si>
  <si>
    <t>five values, one for each decade</t>
  </si>
  <si>
    <t>The numbers represent the Lorenz curve values for the global distribution of the in-use stocks of different materials across countries, compiled at country-level resolution.</t>
  </si>
  <si>
    <t>Lorenz curve; inequality; in-use stock; engineering materials; steel; copper; aluminium; zinc; lead; nickel;</t>
  </si>
  <si>
    <t>xlsx supplied by author upon request for data behind Fig. 2. Values back to 1970 are provided as well.</t>
  </si>
  <si>
    <t>Value(I,p,r,1,t,m)</t>
  </si>
  <si>
    <t>Lorenz curve, normalized for in-use stocks, all materials/products of copper in use phase in Gobal in 2000 for cumulative population share 1 is 1.</t>
  </si>
  <si>
    <t>[Data type] for [Aspect 1] of [Aspect 6] in [Aspect 2] in [Aspect 3] in [Aspect 5] for cumulative population share [Aspect 4] is [Value].</t>
  </si>
  <si>
    <t>xlsx supplied by author upon request for data behind Fig. 2</t>
  </si>
  <si>
    <t>Numbers manually copied and reformatted from original sources to Excel spreadsheet</t>
  </si>
  <si>
    <t>3_MC_Global_3051_Buildings_Database_LIU_2025</t>
  </si>
  <si>
    <t>buildings (all purposes)</t>
  </si>
  <si>
    <t>3051 single values for 50+ different building types, residential and non-residential, specific buildings and average/typical/representative values</t>
  </si>
  <si>
    <t>30 major construction materials; insulation, waterproofing, and cladding materials; decoration materials</t>
  </si>
  <si>
    <t>ca. 90 different cities and regions in ca. 40 different countries</t>
  </si>
  <si>
    <t>1891-2017</t>
  </si>
  <si>
    <t>values for many different age-cohorts, dependent on specific source and sample</t>
  </si>
  <si>
    <t>material composition (in kg/m²) from a large data compilation on residential and non-residential buildings of all types, age-cohorts, and regions, by Qiance LIU et al. (2025)</t>
  </si>
  <si>
    <t>material requirement; material content; material composition; material per area; residential buildings; non-residential buildings; global; building materials; construction materials;</t>
  </si>
  <si>
    <t>Data converted from supplementary data file es5c05684_si_002.xlsx, sheet "Database". Empty cells with no data were not uploaded! Labels converted to IEDC master classifications. The original data source and the IEDC template on Zenodo contain more detail: The reference for each data point and its type (primary or secondary dataset), flags on average or building-specific data, the number of floors.</t>
  </si>
  <si>
    <t>Value(g,Y,r,u,c,p,m)</t>
  </si>
  <si>
    <t>Material composition measured as mass per area of wood per area of residential buildings, urban, SFH of type wooden building of age-cohort 2010 in region Rio de Janeiro in Brazil in use phase is 869 kg/m².</t>
  </si>
  <si>
    <t>[Data type] measured as [Layer] of [Aspect 7] per area of [Aspect 1] of type [Aspect 2] of age-cohort [Aspect 5] in region [Aspect 4] in [Aspect 3] in [Aspect 6] is [Value].</t>
  </si>
  <si>
    <t>© Americal Chemical Society</t>
  </si>
  <si>
    <t>https://pubs.acs.org/doi/suppl/10.1021/acs.est.5c05684/suppl_file/es5c05684_si_002.xlsx</t>
  </si>
  <si>
    <t>Table in supplementary data file (xlsx)</t>
  </si>
  <si>
    <t>https://doi.org/10.1021/acs.est.5c05684</t>
  </si>
  <si>
    <t>Data converted from supplementary data file es5c05684_si_002.xlsx, sheet "Database" to IEDC Excel template</t>
  </si>
  <si>
    <t>6_PCS_UsePhase_Direct_Decent_Living_Standards_VELEZ_2023</t>
  </si>
  <si>
    <t>18 different products</t>
  </si>
  <si>
    <t xml:space="preserve">Per capita existing decent living standards (DLS) material in-use stocks for final (household and public) goods and services, global aggregate/average. </t>
  </si>
  <si>
    <t>in-use stocks; materials; households; public goods and services; decent living standard; DLS;</t>
  </si>
  <si>
    <t>Per capita average level for "direct" (final (household and public) goods and services) in-use stocks, data from supplement Velez_2023_Material_Implications_DLS_SI_004.xlsx, sheet S4.1_Direct_stocks_summary</t>
  </si>
  <si>
    <t>Value(m,p,r,t,S,g)</t>
  </si>
  <si>
    <t>Mass of per capita stock of basic metals in lamps in use phase in Global in 2015 for baseline is 0.316 kg.</t>
  </si>
  <si>
    <t>[Layer] of [Data type] of [Aspect 1] in [Aspect 6] in [Aspect 2] in [Aspect 3] in [Aspect 4] for [Aspect 5] is [Value].</t>
  </si>
  <si>
    <t>6_PCS_Decent_Living_Standards_Gap_STREECK_2025</t>
  </si>
  <si>
    <t>Data behind Fig. 2 b+c; taken from supplementary data file, sheet Fig2bc_stock_distr_countr.</t>
  </si>
  <si>
    <t>Value(r,p,t,E)</t>
  </si>
  <si>
    <t>Mass of per capita stock for indicator material stock gap, for providing decent living standards (DLS) under current practice in Afghanistan in use phase in 2015 is 17.8 t.</t>
  </si>
  <si>
    <t>[Layer] of [Data type] for indicator [Aspect 4] in [Aspect 1] in [Aspect 2] in [Aspect 3] is [Value].</t>
  </si>
  <si>
    <t>6_MIP_Gini_MaterialStocks_Global_WATARI_2021</t>
  </si>
  <si>
    <t>Misc_share</t>
  </si>
  <si>
    <t>The numbers represent Gini coefficients for the global distribution of the in-use stocks of different materials across countries, calculated from the respective Lorenz curves at country-level resolution.</t>
  </si>
  <si>
    <t>Gini coefficient; Gini index; inequality; in-use stock; engineering materials; steel; copper; aluminium; zinc; lead; nickel;</t>
  </si>
  <si>
    <t>Data from Fig. 2 (right), data supplied by author</t>
  </si>
  <si>
    <t>Value(E,I,m,p,r,t)</t>
  </si>
  <si>
    <t>Gini index of in-use stocks, all materials/products of nickel in use phase in Global in 2000 is 0.8.</t>
  </si>
  <si>
    <t>[Aspect 1] of [Aspect 2] of [Aspect 3] in [Aspect 4] in [Aspect 5] in [Aspect 6] is [Value].</t>
  </si>
  <si>
    <t>6_IMI_EnvFootprints_DLS_Selected_Countries_VELEZ_2026</t>
  </si>
  <si>
    <t>14-16 country-specific values</t>
  </si>
  <si>
    <t>Per capita country-level material footprint, water footprint, land occupation footprint, and carbon footprint for providing decent living standards (DLS) to a person under current and efficient provisioning systems and technologies, broken down by end-use service for selected countries</t>
  </si>
  <si>
    <t>material footprint; water footprint; land occupation footprint; carbon footprint; global supply chain; decent living standard; DLS;</t>
  </si>
  <si>
    <t>Per capita annual average level footprint indicators, broken down by end-use service for selected countries: 9 decent living standards service groups, plus the sum total, from data supplement 1-s2.0-S0921800925003027-mmc7.xlsx, sheet SI7_fig2</t>
  </si>
  <si>
    <t>Per capita economy-wide footprint raw material input (RMI), all materials for providing an average person with shelter in Bangladesh in 2015 for current provisioning systems and technologies is 652.9 kg/yr.</t>
  </si>
  <si>
    <t>Per capita economy-wide footprint [Aspect 5] for providing an average person with [Aspect 1] in [Aspect 2] in [Aspect 3] for [Aspect 4] is [Value].</t>
  </si>
  <si>
    <t>6_PCS_buildings_floorspace_MA_2025</t>
  </si>
  <si>
    <t>use phase - buildings</t>
  </si>
  <si>
    <t>residential and nonresidential buildings</t>
  </si>
  <si>
    <t>two aggregate categories</t>
  </si>
  <si>
    <t>14 different countries and regions</t>
  </si>
  <si>
    <t>Trends in per capita floorspace for residential and non-residential buildings worldwide, 2000-2022, for selected countries, in m²/capita.</t>
  </si>
  <si>
    <t>per capita stocks, in use stocks; residential buildings; domestic floorspace; use phase; nonresidential buildings; commercial buildings; service buildings</t>
  </si>
  <si>
    <t>data behind Fig. 5, supplied by the authors and converted to IEDC format and labels</t>
  </si>
  <si>
    <t>Value(g,p,L,r,t)</t>
  </si>
  <si>
    <t>Per capita stock measured as floorspace, domestic, per capita of residential building in use phase - residential buildings in South Korea in 2022 is 35.8 m².</t>
  </si>
  <si>
    <t>[Type] measured as [Aspect 3] of [Aspect 1] in [Aspect 2] in [Aspect 4] in [Aspect 5] is [value].</t>
  </si>
  <si>
    <t>Minda MA</t>
  </si>
  <si>
    <t>https://doi.org/10.1016/j.ynexs.2025.100075</t>
  </si>
  <si>
    <t>xlsx file supplied by authors for data behind Fig. 5</t>
  </si>
  <si>
    <t>6_MIP_Gini_Energy_Expenditure_Country_WANG_2025</t>
  </si>
  <si>
    <t>7 final energy carriers</t>
  </si>
  <si>
    <t>116 countries</t>
  </si>
  <si>
    <t>The numbers represent Gini coefficients for final energy footprints and household expenditure of 116 countries in 2017. The final energy footprint represents the total of household direct energy consumption and indirect final energy consumption resulting from the production of goods and services driven by household consumption.</t>
  </si>
  <si>
    <t>Gini coefficient; Gini index; inequality; expenditure; final energy footprint; global;</t>
  </si>
  <si>
    <t>Data extracted from main paper figure 1B and from Table S4.</t>
  </si>
  <si>
    <t>Value(E,I,r,t)</t>
  </si>
  <si>
    <t>Gini index of final energy footprint, electricity in Global in 2017 was 0.65.</t>
  </si>
  <si>
    <t>[Aspect 1] of [Aspect 2] in [Aspect 3] in [Aspect 4] is [Value].</t>
  </si>
  <si>
    <t>Yang WANG</t>
  </si>
  <si>
    <t>https://doi.org/10.1016/j.ynexs.2025.100086</t>
  </si>
  <si>
    <t>pdf: paper and supplement</t>
  </si>
  <si>
    <t>Numbers extracted and parsed from original pdf and formatted to IEDC template.</t>
  </si>
  <si>
    <t>6_IMI_EnvFootprints_Decent_Living_Standards_Countries_VELEZ_2026</t>
  </si>
  <si>
    <t>one aggregate decent living standards service aggregate</t>
  </si>
  <si>
    <t>176 country-specific values</t>
  </si>
  <si>
    <t>Per capita country-level material footprint, water footprint, land occupation footprint, and carbon footprint for providing decent living standards (DLS) to a person under current and efficient provisioning systems and technologies</t>
  </si>
  <si>
    <t>Per capita annual average level footprint indicators, from data supplement 1-s2.0-S0921800925003027-mmc7.xlsx, sheet SI7_fig1</t>
  </si>
  <si>
    <t>Per capita economy-wide footprint GWP100 for providing an average person with all DLS services in Albania in 2015 for current provisioning systems and technologies is 2683.7 kg CO2-eq/yr.</t>
  </si>
  <si>
    <t>3_SHA_China_Sand_Gravel_Sources_MFA_1978_2050_Scenario_REN</t>
  </si>
  <si>
    <t>supply and use of concrete aggregates</t>
  </si>
  <si>
    <t>three sources, one aggregate contruction/processing process</t>
  </si>
  <si>
    <t>country total</t>
  </si>
  <si>
    <t>single year values, historic data til 2020 and future scenario til 2050</t>
  </si>
  <si>
    <t>Share of different sources/supply options of sand, gravel and crushed stone in total flow, China, 1978-2020: historic data, 2021-2050: Scenario with all considered circular economy measures.</t>
  </si>
  <si>
    <t>MFA; sand; gravel; crushed stone; cement; concrete aggregates; construction; buildings; infrastructure; China; scenario; 2050; recycling; recycled aggregates;</t>
  </si>
  <si>
    <t>Data copied from supplementary file 41467_2025_64349_MOESM5_ESM.xlsx, sheet "Fig.2A", process and material labels matched to standard IEDC classifications</t>
  </si>
  <si>
    <t>Value(m,o,p,d,v,r,t)</t>
  </si>
  <si>
    <t>Mass ratio of flow of aggregates from mining - natural sand and gravel to building and construction in flow of aggregates from aggregate supply - all sources to building and construction in China in 1990 for scenario other: n.a. is 98.2%.</t>
  </si>
  <si>
    <t>[Layer] of flow of [Aspect 1] from [Aspect 2] to [Aspect 4] in flow of [Aspect 1] from [Aspect 3] to [Aspect 4] in [Aspect 6] in [Aspect 7] for scenario [Aspect 5] is [Value].</t>
  </si>
  <si>
    <t>Supplementary xlsx file</t>
  </si>
  <si>
    <t>Data copied from supplementary Excel and converted to IEDC templates.</t>
  </si>
  <si>
    <t>6_PCS_residential_floorspace_ELLSWORTH_KREBS_2020</t>
  </si>
  <si>
    <t>use phase - residential buildings</t>
  </si>
  <si>
    <t>1960-2018</t>
  </si>
  <si>
    <t>different years/time series for different countries</t>
  </si>
  <si>
    <t>domestic floor area per capita over time for selected countries, in m²/capita.</t>
  </si>
  <si>
    <t>per capita stocks, in use stocks; residential buildings; domestic floorspace; use phase</t>
  </si>
  <si>
    <t>data from the supplementary Source Data Fig 1 spreadsheet. For the original data sources, please refer to the data source document.</t>
  </si>
  <si>
    <t>Per capita stock measured as floorspace, domestic, per capita of residential building in use phase - residential buildings in United Kingdom in 2013 is 41.4 m².</t>
  </si>
  <si>
    <t>Katherine ELLSWORTH-KREBS</t>
  </si>
  <si>
    <t>https://static-content.springer.com/esm/art%3A10.1038%2Fs41560-019-0512-1/MediaObjects/41560_2019_512_MOESM1_ESM.xlsx</t>
  </si>
  <si>
    <t>https://doi.org/10.1038/s41560-019-0512-1</t>
  </si>
  <si>
    <t>3_MC_Buildings_Infrastructure_Japan_OKUOKA_2018</t>
  </si>
  <si>
    <t>buildings (all purposes), roads, rail</t>
  </si>
  <si>
    <t>3 building construction types, 5 road types, 4 rail types</t>
  </si>
  <si>
    <t>10 major construction materials</t>
  </si>
  <si>
    <t>Japan, city of Nagoya</t>
  </si>
  <si>
    <t>single value for the focus region</t>
  </si>
  <si>
    <t>1920-2000</t>
  </si>
  <si>
    <t>8-10 representative values for the age-cohort range</t>
  </si>
  <si>
    <t>material composition (in kg/m² for buildings and roads and kg/m for rail) for the city of Nagoya, Japan</t>
  </si>
  <si>
    <t>material requirement; material content; material composition; Nagoya; Japan; buildings; roads; rail</t>
  </si>
  <si>
    <t>Value(m,g,k,p,c,r,y,L)</t>
  </si>
  <si>
    <t>Material composition measured as mass per area of concrete of all components of buildings, all purposes, steel frame of age-cohort 1959 in use phase in Nagoya in Japan is 462.4 kg/m².</t>
  </si>
  <si>
    <t>[Data type] measured as [Aspect 8] of [Aspect 1] of [Aspect 3] of [Aspect 2] of age-cohort [Aspect 5] in [Aspect 4] in [Aspect 7] in [Aspect 6] is [Value].</t>
  </si>
  <si>
    <t>Keijiro OKUOKA</t>
  </si>
  <si>
    <t>https://doi.org/10.2208/jscejer.74.II_267</t>
  </si>
  <si>
    <t>Hibiki Kiko</t>
  </si>
  <si>
    <t>4_SHR_Steel_Use_by_Sector_WorldSteel_2026</t>
  </si>
  <si>
    <t>manufacturing and market for final goods that contain steel</t>
  </si>
  <si>
    <t>all major applications of steel</t>
  </si>
  <si>
    <t>Global aggregate/average</t>
  </si>
  <si>
    <t>No year given, 2022-2028 is assumed as time range for which the data are valid</t>
  </si>
  <si>
    <t>Values describe shares of different end-use sectors in total final use of steel around 2025.</t>
  </si>
  <si>
    <t>steel; end-use shares; sector split; WorldSteel; final demand; 2025</t>
  </si>
  <si>
    <t>Some end-use sector labels were adjusted to better fit the general IEDC classification. Values describe shares of different end-use sectors in total final use of steel around 2025.</t>
  </si>
  <si>
    <t>Value(m,t,r,o,d)</t>
  </si>
  <si>
    <t>Mass ratio indicating the share of the flow of steel flowing from market for finished steel to use phase - machinery in all steel flowing from markets for finishe steel in Global in 2022-2028 is 16%.</t>
  </si>
  <si>
    <t>[Layer] indicating the share of the flow of [Aspect 1] flowing from [Aspect 4] to [Aspect 5] in all [Aspect 1] flowing from [Aspect 4] in [Aspect 3] in [Aspect 2] is [Value].</t>
  </si>
  <si>
    <t>https://worldsteel.org/data/steel-use-by-sector/</t>
  </si>
  <si>
    <t>Data extracted directly from web page.</t>
  </si>
  <si>
    <t>World Steel Association (worldsteel) 2025. Steel use by sector. https://worldsteel.org/data/steel-use-by-sector/</t>
  </si>
  <si>
    <t>Data extracted directly from web page and reformatted to IEDC Excel spreadsheet</t>
  </si>
  <si>
    <t>3_PUP_Battery_Capacity_Electric_Passenger_Vehices_China_2023_MAI</t>
  </si>
  <si>
    <t>Product parameters</t>
  </si>
  <si>
    <t>Energy storage capacity</t>
  </si>
  <si>
    <t>use phase, final consumption</t>
  </si>
  <si>
    <t>5 car segments and 2 different drive technologies and 6 different battery technologies</t>
  </si>
  <si>
    <t>31 province-level values and the country total</t>
  </si>
  <si>
    <t>A high-resolution dataset on electric passenger vehicle characteristics in China. Average battery capacity of newly registered vehicles with alternative drive technologies in the EU in 2023, by member state.</t>
  </si>
  <si>
    <t>electric passenger vehicles; battery electric vehicles; BEV; PHEV; new registration; alternative drive technologies; China; 2023; battery; capacity; kWh</t>
  </si>
  <si>
    <t>Data extracted from supplementary data file CN_characteristics_2023.xlsx, shared via Figshare link, sheet "EV_characteristics"</t>
  </si>
  <si>
    <t>Value(n,k,g,Y,T,r,c)</t>
  </si>
  <si>
    <t>Energy storage capacity for storing electricity in battery, vehicle traction of passenger vehicles registered in Anhui in age-cohort 2023 of size/segment passenger car, mini, wheelbase ≤ 2450 mm of drive and battery technology BEV-NCM-M - battery electric vehicle, medium nickel content lithium nickel-cobalt-manganese oxide battery is 31.16 kWh.</t>
  </si>
  <si>
    <t>[Layer] for storing [Aspect 1] in [Aspect 2] of [Aspect 3] registered in [Aspect 6] in age-cohort [Aspect 7] of size/segment [Aspect 4] of drive and battery technology [Aspect 5] is [Value].</t>
  </si>
  <si>
    <t>2_IUS_Infrastructure_CIRCOMOD</t>
  </si>
  <si>
    <t>about 90 different types of infrastructure</t>
  </si>
  <si>
    <t>single-country values</t>
  </si>
  <si>
    <t>In use stocks for different types of infrastructure, mostry transport, by country/region and year, compiled for the EU CIRCOMOD project.</t>
  </si>
  <si>
    <t>in-use stock; transport infrastructure; communication infrastructure; road; rail; use phase; length;</t>
  </si>
  <si>
    <t>Value(g,p,r,t,L)</t>
  </si>
  <si>
    <t>In-use stock of roads in use phase - infrastructure in Armenia in 2005 measured as density is 26.4 km/100 km².</t>
  </si>
  <si>
    <t>[Data type] of [Aspect 1] in [Aspect 2] in [Aspect 3] in [Aspect4] measured as [Aspect 5] is [Value].</t>
  </si>
  <si>
    <t>2_IUS_Buildings_CIRCOMOD</t>
  </si>
  <si>
    <t>45 different building categories and types</t>
  </si>
  <si>
    <t>ca. 284 different countries and regions</t>
  </si>
  <si>
    <t>values for different building types vary, from historic stock estimates to scenario trajectories</t>
  </si>
  <si>
    <t>In use stocks of buildings, in different regions</t>
  </si>
  <si>
    <t>buildings; in use stocks; age cohort; regional stocks; use phase</t>
  </si>
  <si>
    <t>See comment for each data entry for the data source of each data point. ODYSSEE-MURE_2023 data excluded. Data can be retrieved from original database upon subscription/registration: https://www.indicators.odyssee-mure.eu/energy-efficiency-database.html</t>
  </si>
  <si>
    <t>Value(g,p,t,c,r,L)</t>
  </si>
  <si>
    <t>In-use stock measured on Layer floorspace, gross, vacant of offices (all), service sector of 1990-1999 in use phase - buildings in Denmark in 2016 is 1.17 million m².</t>
  </si>
  <si>
    <t>[Data type] measured on Layer [Aspect 6] of [Aspect 1] of [Aspect 4] in [Aspect 2] in [Aspect 5] in [Aspect 3] is [value]</t>
  </si>
  <si>
    <t>ODYSSEE-MURE_2023 data excluded. Data can be retrieved from original database upon subscription/registration: https://www.indicators.odyssee-mure.eu/energy-efficiency-database.html</t>
  </si>
  <si>
    <t>3_EI_Electrolyzer_Operation_SOUVERAEN</t>
  </si>
  <si>
    <t>electrolyzer stack and entire system</t>
  </si>
  <si>
    <t>hydrogen electrolyzers</t>
  </si>
  <si>
    <t>4 different electrolyzer technologies</t>
  </si>
  <si>
    <t>values for China, Europe, Germany, Denmark, Italy, France , UK and global</t>
  </si>
  <si>
    <t>2018-2024</t>
  </si>
  <si>
    <t>single representative value per electrolyser dataset</t>
  </si>
  <si>
    <t>specific electrictiy (as final energy) consumption of operating hydrogen electrolyzers, in kWh per Nm³ of H₂</t>
  </si>
  <si>
    <t>electrolyzer; hydrogen; final energy intensity; alkaline; solid state; proton exchange membrane; anion exchange membrane</t>
  </si>
  <si>
    <t>Compiled from different literature sources - see the comment for each value for the respective source.</t>
  </si>
  <si>
    <t>Value(n,g,T,p,F,r,c)</t>
  </si>
  <si>
    <t>Energy per product operation for electrolyzer with technology proton exchange membrane overall system consuming electricity to generate hydrogen in use phase in United Kingdom in 2018 was 5.5 kWh/Nm³.</t>
  </si>
  <si>
    <t>[Layer] for [Aspect 2] with technology [Aspect 3] consuming [Aspect 1] to generate [Aspect 5] in [Aspect 4] in [Aspect 6] in [Aspect 7] was [Value].</t>
  </si>
  <si>
    <t>3_EI_Batteries_Manufacturing_DEGEN_2023</t>
  </si>
  <si>
    <t>31 different process steps</t>
  </si>
  <si>
    <t>batteries</t>
  </si>
  <si>
    <t>23 different batteries type</t>
  </si>
  <si>
    <t>one global aggregate/average number</t>
  </si>
  <si>
    <t>Specific final energy consumption of battery manufacturing, by process step and battery technology. kWh final energy per kWh of battery capacity.</t>
  </si>
  <si>
    <t>batteries; final energy consumption; manufacturing; lithium batteries;</t>
  </si>
  <si>
    <t>kWh final energy per kWh of battery capacity. From supplementary document: Source Data Fig.3</t>
  </si>
  <si>
    <t>Value(n,p,g,r,c)</t>
  </si>
  <si>
    <t>Energy per unit of output of electricity and natural gas (both as final energy) in battery manufacturing - electrode manufacturing (anode) - batch mixing to produce battery, NMC532 (nickel–manganese–cobalt) in Global in 2023 was 0.114 kWh of final energy / kWh of battery capacity.</t>
  </si>
  <si>
    <t>[Layer] of [Aspect 1] in [Aspect 2] to produce [Aspect 3] in [Aspect 4] in [Aspect 5] was [value].</t>
  </si>
  <si>
    <t>Florian DEGEN</t>
  </si>
  <si>
    <t>https://doi.org/10.1038/s41560-023-01355-z</t>
  </si>
  <si>
    <t>Supplementary xlxs file</t>
  </si>
  <si>
    <t>Numbers manually copied from original source (41560_2023_1355_MOESM5_ESM.xlsx) to Excel spreadsheet</t>
  </si>
  <si>
    <t>1_F_China_Sand_Gravel_MFA_2050_Scenario_REN</t>
  </si>
  <si>
    <t>Data copied from supplementary file 41467_2025_64349_MOESM5_ESM.xlsx, sheet "Fig.2D", process and material labels matched to standard IEDC classifications</t>
  </si>
  <si>
    <t>Value(g,m,L,r,t,o,d)</t>
  </si>
  <si>
    <t>Flow of aggregates from building and construction to use phase - infrastructure in China in 2050 measured as dry mass of aggregates is 3.65 Gt/yr.</t>
  </si>
  <si>
    <t>[Data type] of [Aspect 1] from [Aspect 6] to [Aspect 7] in [Aspect 4] in [Aspect 5] measured as [Aspect 3] of [Aspect 2] is [Value].</t>
  </si>
  <si>
    <t>3_PUP_Battery_Capacity_Electric_Passenger_Vehices_EU_2023_MAI</t>
  </si>
  <si>
    <t>27 single country values</t>
  </si>
  <si>
    <t>A high-resolution dataset on electric passenger vehicle characteristics in the European Union. Average battery capacity of newly registered vehicles with alternative drive technologies in the EU in 2023, by member state.</t>
  </si>
  <si>
    <t>electric passenger vehicles; battery electric vehicles; BEV; PHEV; new registration; alternative drive technologies; EU; 2023; battery; capacity; kWh</t>
  </si>
  <si>
    <t>Data extracted from supplementary data file EU_characteristics_2023.xlsx, shared via Figshare link, sheet "EV_characteristics"</t>
  </si>
  <si>
    <t>Energy storage capacity for storing electricity in battery, vehicle traction of passenger vehicles registered in Austria in age-cohort 2023 of size/segment passenger car, mini, wheelbase ≤ 2450 mm of drive and battery technology BEV-NCM-M - battery electric vehicle, medium nickel content lithium nickel-cobalt-manganese oxide battery is 28.92 kWh.</t>
  </si>
  <si>
    <t>1_F_FinalEnergy_Residential_Buildings_Nigeria_CHRYSOGONUS_NWAGWU_2024</t>
  </si>
  <si>
    <t>three sub-processes in the use phase: cooling, lighting, and appliances</t>
  </si>
  <si>
    <t>appliances and equipment for three building services</t>
  </si>
  <si>
    <t>three building services: cooling, lighting, and appliances</t>
  </si>
  <si>
    <t xml:space="preserve">Final energy consumption in the entire Nigerian residential building stock in 2020, broken down by building service. Energy use related to cooking and domestic hot water (DHW) is not within the study’s scope. </t>
  </si>
  <si>
    <t>Nigeria; residential buildings; final energy consumption; ligthing; appliances; cooling;</t>
  </si>
  <si>
    <t>Energy use related to cooking and domestic hot water (DHW) is not within the study’s scope. Converted from total: "Annual energy use amounted to 98 TWh in 2020, which is 17 kWh/m2/yr of useful floor area (UFA), or 2404 kWh per dwelling." and % breakdown in Fig. 4 (left).</t>
  </si>
  <si>
    <t>Value(n,V,g,d,t,r)</t>
  </si>
  <si>
    <t>Final energy flow of all final energy carriers into residential buildings in use phase for providing lighting in Nigeria in 2020 is 52.9 TWh/yr.</t>
  </si>
  <si>
    <t>[Layer] [Data type] of [Aspect 1] into [Aspect 3] in [Aspect 4] for providing [Aspect 2] in [Aspect 5] in [Aspect 6] is [Value].</t>
  </si>
  <si>
    <t>Numbers extracted from pdf main article and converted to IEDC templates</t>
  </si>
  <si>
    <t>1_F_Electric_Passenger_Vehices_China_2023_MAI</t>
  </si>
  <si>
    <t>5 car segments and 3 different drive technologies</t>
  </si>
  <si>
    <t>A high-resolution dataset on electric passenger vehicle characteristics in China. New registration of alternative drive technologies in China in 2023, by province.</t>
  </si>
  <si>
    <t>electric passenger vehicles; battery electric vehicles; BEV; PHEV; new registration; alternative drive technologies; China; 2023</t>
  </si>
  <si>
    <t>Data extracted from supplementary data file CN_characteristics_2023.xlsx, shared via Figshare link, sheet "ICEV_and_EV_Inflows"</t>
  </si>
  <si>
    <t>Value(t,r,g,Y,T,o,d)</t>
  </si>
  <si>
    <t>Flow of units of passenger vehicles of segment passenger car, large, 2750 mm &lt; wheelbase ≤ 2900 mm of drive technology passenger car, battery electric from market for passenger vehicles to use phase - passenger vehicles in CN (China, country total) in 2023 is 1345788 1/yr.</t>
  </si>
  <si>
    <t>[Data type] of [Layer] of [Aspect 3] of segment [Aspect 4] of drive technology [Aspect 5] from [Aspect 6] to [Aspect 7] in [Aspect 2] in [Aspect 1] is [Value].</t>
  </si>
  <si>
    <t>2_IUS_Vehicles_JRC_IDEES_2018</t>
  </si>
  <si>
    <t>26 vehicle types and drive technologies</t>
  </si>
  <si>
    <t>Single-country values</t>
  </si>
  <si>
    <t>2000-2015</t>
  </si>
  <si>
    <t>In-use stocks for 26 vehicle types and drive technologies, EU countries, 2000-2015, from the JRC-IDEES database</t>
  </si>
  <si>
    <t>in use stocks; vehicle; transport; EU; Europe; vehicle fleet;</t>
  </si>
  <si>
    <t>Layer and unit: individual vehicles. Vehicle category labels changed from orininal label to IEDC class. 7.</t>
  </si>
  <si>
    <t>In-use stock of heavy duty vehicles, domestic in use phase in United Kingdom in 2008 is 510832.</t>
  </si>
  <si>
    <t>[Type] of [Aspect 1] in [Aspect 2] in [Aspect 4] in [Aspect 3] is [value].</t>
  </si>
  <si>
    <t>Leonidas MANTZOS</t>
  </si>
  <si>
    <t>https://data.jrc.ec.europa.eu/dataset/jrc-10110-10001</t>
  </si>
  <si>
    <t>spreadsheeds</t>
  </si>
  <si>
    <t>JRC-IDEES : The JRC Integrated Database of the European Energy System</t>
  </si>
  <si>
    <t>Mantzos, Leonidas et al. (2018).  JRC-IDEES : The JRC Integrated Database of the European Energy System. EC-JRC Luxembourg</t>
  </si>
  <si>
    <t>Ahmed Younis</t>
  </si>
  <si>
    <t>2_IUS_Vehicles_EAFO_2024</t>
  </si>
  <si>
    <t>25 vehicle types and alternative (other than gasoline or diesel) drive technologies</t>
  </si>
  <si>
    <t>2008-2023</t>
  </si>
  <si>
    <t>In-use stocks for 25 vehicle types and alternative (other than gasoline or diesel) drive technologies, EU countries, 2008-2023, from the European Alternative Fuel Observatory (EAFO)</t>
  </si>
  <si>
    <t>in use stocks; vehicle; transport; EU; Europe; vehicle fleet; electric vehicle; battery vehicle; hydrogen vehicle; LNG; LPG; EAFO;</t>
  </si>
  <si>
    <t>Layer and unit: individual vehicles. Vehicle category labels changed from orininal label to IEDC class. 7. Country-specific data sources: https://alternative-fuels-observatory.ec.europa.eu/general-information/sources</t>
  </si>
  <si>
    <t>In-use stock of passenger car, battery electric in use phase in Austria in 2023 is 155491.</t>
  </si>
  <si>
    <t>EAFO - European Alternative Fuels Observatory</t>
  </si>
  <si>
    <t>https://alternative-fuels-observatory.ec.europa.eu/transport-mode/road</t>
  </si>
  <si>
    <t>European Commission (2024). Directorate-General for Mobility and Transport, European Alternative Fuels Observatory. Brussels</t>
  </si>
  <si>
    <t>3_LT_China_Sand_Gravel_MFA_1950_2020_REN</t>
  </si>
  <si>
    <t>all major applications of construction aggregates</t>
  </si>
  <si>
    <t>22 different building and infrastructure categories</t>
  </si>
  <si>
    <t>country total, representative value</t>
  </si>
  <si>
    <t>1950-2020</t>
  </si>
  <si>
    <t>values for historic age-cohorts every 10 years, from 1950, 1960, … to 2010, 2020.</t>
  </si>
  <si>
    <t>Useful lifetime of 22 different building and infrastructure categories, China. Values for historic age-cohorts every 10 years, from 1950, 1960, … to 2010, 2020.</t>
  </si>
  <si>
    <t>buildings; infrastructure; China; building lifetime; useful life; use phase;</t>
  </si>
  <si>
    <t>Data copied from supplementary file 41467_2025_64349_MOESM4_ESM.xlsx, sheet "Historical lifetime expectation", commodity/product labels matched to standard IEDC classifications</t>
  </si>
  <si>
    <t>Roads, base layer of age-cohort 2010 in use phase in China has Lifetime measured as lifetime of 80 yr.</t>
  </si>
  <si>
    <t>[Aspect 1] of age-cohort [Aspect 4] in [Aspect 2] in [Aspect 3] has [Data type] measured as [Layer] of [Value].</t>
  </si>
  <si>
    <t>1_F_Electric_Passenger_Vehices_EU_2023_MAI</t>
  </si>
  <si>
    <t>A high-resolution dataset on electric passenger vehicle characteristics in the European Union. New registration of alternative drive technologies in the EU in 2023, by member state.</t>
  </si>
  <si>
    <t>electric passenger vehicles; battery electric vehicles; BEV; PHEV; new registration; alternative drive technologies; EU; 2023</t>
  </si>
  <si>
    <t>Data extracted from supplementary data file EU_characteristics_2023.xlsx, shared via Figshare link, sheet "ICEV_and_EV_Inflows"</t>
  </si>
  <si>
    <t>Flow of units of passenger vehicles of segment passenger car, large, 2750 mm &lt; wheelbase ≤ 2900 mm of drive technology passenger car, all powertrains from market for passenger vehicles to use phase - passenger vehicles in Austria in 2023 is 60978 1/yr.</t>
  </si>
  <si>
    <t>Jan 2026 update</t>
  </si>
  <si>
    <t>3_MC_Electric_Passenger_Vehicles_Europe_HSU_2024</t>
  </si>
  <si>
    <t>3 alternative drive technologies: battery electric, hybrid electric, and plug-in hybrid electric vehicles</t>
  </si>
  <si>
    <t>technology metals</t>
  </si>
  <si>
    <t>neodymium, praseodymium, dysprosium, terbium</t>
  </si>
  <si>
    <t>values compiled from different literature sources</t>
  </si>
  <si>
    <t>2000-2017</t>
  </si>
  <si>
    <t>values for different age-cohorts compiled from different literature sources</t>
  </si>
  <si>
    <t>Material content of neodymium, praseodymium, dysprosium, terbium for 3 alternative drive technologies: battery electric, hybrid electric, and plug-in hybrid electric vehicles. Compilation from different literature sources</t>
  </si>
  <si>
    <t>material; material content; passenger vehicles; electric vehicles; Europe; neodymium; praseodymium; dysprosium; terbium; hybrid vehicles</t>
  </si>
  <si>
    <t>Data extracted from table in supplement 1-s2.0-S2352550924000885-mmc2.xlsx, sheet "Material intensity of EV"</t>
  </si>
  <si>
    <t>Material composition of passenger car, battery electric measured as Mass per unit of neodymium per unit of passenger car, battery electric in Europe built in ca. 2015 is 765.45 g with min-max range of [30g;2250g].</t>
  </si>
  <si>
    <t>[Data type] of [Aspect 2] measured as [Layer] of [Aspect 4] per unit of [Aspect 2] in [Aspect 1] built in [Aspect 3] is [Value].</t>
  </si>
  <si>
    <t>Wan-Ting HSU</t>
  </si>
  <si>
    <t>https://doi.org/10.1016/j.spc.2024.03.027</t>
  </si>
  <si>
    <t>table in supplement 1-s2.0-S2352550924000885-mmc2.xlsx, sheet "Material intensity of EV"</t>
  </si>
  <si>
    <t>1_F_Economy_wide_MFA_Global_EU27_2005_HAAS</t>
  </si>
  <si>
    <t>six aggregate economic processes: extraction, energy use, material use, final use (use phase), waste management, and recycling</t>
  </si>
  <si>
    <t>all materials and commodities</t>
  </si>
  <si>
    <t>4 MFA resource groups: biomass, fossil fuels, metals and metal ores, non-metallic minerals</t>
  </si>
  <si>
    <t>Global and EU27</t>
  </si>
  <si>
    <t>one global aggregate value and one aggregate value for the EU27 in 2005.</t>
  </si>
  <si>
    <t>Sankey flow data for the economy-wide material flows by broad material category world-wide and in the EU in 2005, by HAAS et al. (2015).</t>
  </si>
  <si>
    <t>economy-wide MFA; material flow accounting; circular economy; material cycle; Sankey; EU; EU27</t>
  </si>
  <si>
    <t>Data are reported twice. Once on each material-type layer separately and once on the 'dry mass' layer to allow for drawing a Sankey that shows all layers at once. The waste rock flow (0.12 Gt/yr in the EU) is a separate flow and not included in the 'use as material' flow. This is a correction compared to the original Sankey diagram, which is why the material use and addition to stocks flows are 0.12 Gt/yr (EU27) smaller than originally reported.</t>
  </si>
  <si>
    <t>Flow of all commodities from use as material to use phase in EU27 in 2005 measured as dry mass, all materials of all materials is 3.33 Gt/yr.</t>
  </si>
  <si>
    <t>Willi HAAS</t>
  </si>
  <si>
    <t>https://doi.org/10.1111/jiec.12244</t>
  </si>
  <si>
    <t>spreadsheet, supplied by author</t>
  </si>
  <si>
    <t xml:space="preserve">Numbers supplied by main author and converted to IEDC templates. </t>
  </si>
  <si>
    <t>SANKEY_LINK</t>
  </si>
  <si>
    <t>1_F_Economy_wide_MFA_EU28_2014_MAYER</t>
  </si>
  <si>
    <t>EU28</t>
  </si>
  <si>
    <t>Aggregate value</t>
  </si>
  <si>
    <t>Sankey flow data for the economy-wide material flows by broad material category in the EU in 2014, by MAYER et al. (2019).</t>
  </si>
  <si>
    <t>economy-wide MFA; material flow accounting; circular economy; material cycle; Sankey; EU; EU28</t>
  </si>
  <si>
    <t>Converted to IEDC template by reformatting data from sheet "All results" in jiec12809-sup-0002-suppmat.xlsx. Flow names were divided into material/commodity, origin process, and destination process. Data are reported twice. Once on each material-type layer separately and once on the 'dry mass' layer to allow for drawing a Sankey that shows all layers at once.</t>
  </si>
  <si>
    <t>Flow of all commodities from use as material to use phase in EU28 in 2014 measured as mass, metal ores and metals of metal ores and metals is 178.39 Mt/yr.</t>
  </si>
  <si>
    <t>Andreas MAYER</t>
  </si>
  <si>
    <t>https://onlinelibrary.wiley.com/action/downloadSupplement?doi=10.1111%2Fjiec.12809&amp;file=jiec12809-sup-0002-SuppMat.xlsx</t>
  </si>
  <si>
    <t>supplementary spreadsheet jiec12809-sup-0002-suppmat.xlsx</t>
  </si>
  <si>
    <t>https://doi.org/10.1111/jiec.12809</t>
  </si>
  <si>
    <t>Converted to IEDC template by reformatting data from sheet "All results" in jiec12809-sup-0002-suppmat.xlsx. Flow names were divided into material/commodity, origin process, and destination process.</t>
  </si>
  <si>
    <t>1_F_Sand_Gravel_MFA_Global_184Countries_ZHUANG_2025</t>
  </si>
  <si>
    <t>1_F_Watari_2025_SteelSankeys_30Regions</t>
  </si>
  <si>
    <t>all stages of the steel cycle</t>
  </si>
  <si>
    <t>aggregate industrial and consumer stages of the steel cycle</t>
  </si>
  <si>
    <t>all broad iron-containing commodity groups in the steel cycle</t>
  </si>
  <si>
    <t>from iron ore via steel, manufactured goods, end-of-life goods, to scrap</t>
  </si>
  <si>
    <t>iron/steel</t>
  </si>
  <si>
    <t>Individual values for 30 main producing countries</t>
  </si>
  <si>
    <t>2000-2019</t>
  </si>
  <si>
    <t>Sankey flow data for the steel cycle Sankeys by Takuma Watari et al. (2025)</t>
  </si>
  <si>
    <t>steel; material cycle; Sankey; global</t>
  </si>
  <si>
    <t>Numbers supplied by main author and converted to IEDC templates. For some processes, the balancing difference is indicated as 'mass balance gap'. The IEDC team did not check the mass balance of the reported data.</t>
  </si>
  <si>
    <t>Flow of iron ore from mining to market for iron ore in China in 2000 measured as mass of iron is 63.42 Mt/yr.</t>
  </si>
  <si>
    <t>https://github.com/takumawatari/steel-flows-sankey/tree/main/data</t>
  </si>
  <si>
    <t>spreadsheet</t>
  </si>
  <si>
    <t>https://doi.org/10.1016/j.resconrec.2025.108363</t>
  </si>
  <si>
    <t>FutuRaM</t>
  </si>
  <si>
    <t>https://futuram.eu/</t>
  </si>
  <si>
    <t>https://doi.org/10.6094/UNIFR/269286</t>
  </si>
  <si>
    <t xml:space="preserve">FutuRaM developed the Secondary Raw Materials knowledge base on the availability and recoverability of secondary raw materials (2RMs) within the European Union, with a special focus on critical raw materials (CRMs). </t>
  </si>
  <si>
    <t>raw materials; secondary raw materials; urban mining; critical raw materials; circular economy;</t>
  </si>
  <si>
    <t>FutuRaM_Database</t>
  </si>
  <si>
    <t>Socio_metabolic_inequality_SMI</t>
  </si>
  <si>
    <t>SMI_Lorenz_Curves</t>
  </si>
  <si>
    <t>SMI_Indicators</t>
  </si>
  <si>
    <t>Database of Lorenz curves, Gini cofficients, and other indicators for socio-metabolic inequality (inequality in service, stocks, and flows across society)</t>
  </si>
  <si>
    <t>Inequality; socio-metabolic inequality; socio-economic metabolism; Lorenz curve; Gini index; Gini coefficient;</t>
  </si>
  <si>
    <t>stocks, flows, and intensive product data (3_xxx)</t>
  </si>
  <si>
    <t>in-use stocks, flows, and product material composition</t>
  </si>
  <si>
    <t>many different authors and data suppliers, see the individual datasets</t>
  </si>
  <si>
    <t>FutuRaM project consortium, see the individual datasets</t>
  </si>
  <si>
    <t>Compilation of datasets from different sources</t>
  </si>
  <si>
    <t>mass, units of products</t>
  </si>
  <si>
    <t>main material cycle stages</t>
  </si>
  <si>
    <t>manufacturing, use phase, waste management and recycling</t>
  </si>
  <si>
    <t>major material uses</t>
  </si>
  <si>
    <t>batteries, buildings, mining waste, slag and ashes, vehicles, WEEE, wind turbines</t>
  </si>
  <si>
    <t>major material groups</t>
  </si>
  <si>
    <t>Single country values</t>
  </si>
  <si>
    <t>aluminium, iron, magnesium, steel, copper, concrete, plastics, zinc, critical raw materials</t>
  </si>
  <si>
    <t>single year values, historic data til 2024 and future scenarios til 2050</t>
  </si>
  <si>
    <t>stocks, flows, and intensive product properties</t>
  </si>
  <si>
    <t>Lorenz curves for in-use stocks and flows (at scale) and normalized Lorenz curves (3_LC)</t>
  </si>
  <si>
    <t>aggregrage processes</t>
  </si>
  <si>
    <t>use phase (stock-flow-service nexus), entire economy</t>
  </si>
  <si>
    <t>depends on dataset</t>
  </si>
  <si>
    <t>all countries and regions, global</t>
  </si>
  <si>
    <t>Different intensive and extensive indicators</t>
  </si>
  <si>
    <t>Different intensive and extensive variables</t>
  </si>
  <si>
    <t>Database of Lorenz curves for socio-metabolic inequality (inequality in service, stocks, and flows across society)</t>
  </si>
  <si>
    <t>Database of Gini cofficients and other indicators for socio-metabolic inequality (inequality in service, stocks, and flows across society)</t>
  </si>
  <si>
    <t>Inequality; socio-metabolic inequality; socio-economic metabolism; Lorenz curve;</t>
  </si>
  <si>
    <t>Inequality; socio-metabolic inequality; socio-economic metabolism; Gini index; Gini coefficient;</t>
  </si>
  <si>
    <t>see the individual datasets</t>
  </si>
  <si>
    <t>POSTED</t>
  </si>
  <si>
    <t>FutuRaM_Logos.png</t>
  </si>
  <si>
    <t>Gini_DLS_1.png</t>
  </si>
  <si>
    <t>https://github.com/PhilippVerpoort/posted</t>
  </si>
  <si>
    <t>POSTED is a public database of techno-economic data on energy and climate-mitigation technologies and a framework for consistent handling of this database.</t>
  </si>
  <si>
    <t>process data; industrial processes; industry technology; climate change mitigation; techno-economic data; unit process inventories; CAPEX; OPEX;</t>
  </si>
  <si>
    <t>POSTED_industry_data</t>
  </si>
  <si>
    <t>Philipp VERPOORT</t>
  </si>
  <si>
    <t>POSTED_PIK_logo-light.png</t>
  </si>
  <si>
    <t>Different intensive variables</t>
  </si>
  <si>
    <t>unit process inventories, economic indicators (CAPEX, OPEX), lifetime</t>
  </si>
  <si>
    <t>major industrial technologies</t>
  </si>
  <si>
    <t>ca. 30 individual technologies and technology groups from the energy-intensive industry, such as cement production, steel production, or steam cracking</t>
  </si>
  <si>
    <t>energy carriers</t>
  </si>
  <si>
    <t>Aggregate values without explicit regional scope</t>
  </si>
  <si>
    <t>single year values, depending on individual datasets</t>
  </si>
  <si>
    <t>iTEM_Open_Transport_Data</t>
  </si>
  <si>
    <t>https://transportenergy.org/open-data/</t>
  </si>
  <si>
    <t>iTEM (International Transport Energy Modelling), a global group of researchers, is working to create a common, public, “best available” database of historical transport statistics for baseline calibration of models, through a transparent, scientific process.</t>
  </si>
  <si>
    <t>transport; energy; vehicles; service; emissions;</t>
  </si>
  <si>
    <t>iTEM team</t>
  </si>
  <si>
    <t>iTEM_Logo.png</t>
  </si>
  <si>
    <t>all major passenger and freight vehicle groups</t>
  </si>
  <si>
    <t>use phase, manufacturing</t>
  </si>
  <si>
    <t>in-use stocks, flows, service flows, emissions</t>
  </si>
  <si>
    <t>1_LCF_Final_Energy_Buildings_Vehicles_Global_PAULIUK_2024</t>
  </si>
  <si>
    <t>Lorenz curve, non-normalized, flow</t>
  </si>
  <si>
    <t>final energy for buildings and vehicles</t>
  </si>
  <si>
    <t>all energy carriers for residential buildings, non-residential buildings, and passenger vehicles</t>
  </si>
  <si>
    <t>one aggregate Lorenz curve</t>
  </si>
  <si>
    <t>Lorenz curve for final energy for residential buildings, non-residential buildings, and passenger vehicles, based on region- and country-level data for 21 world regions</t>
  </si>
  <si>
    <t>Value(g,r,t,o,d,1)</t>
  </si>
  <si>
    <t>Lorenz curve, non-normalized, flow for final energy, all energy carriers from markets for final energy, all energy carriers to use phase - residential buildings in Global in 2016 for cumulative population share 0.79 is 16833561.656 TJ/yr.</t>
  </si>
  <si>
    <t>[Data type] for [Aspect 1] from [Aspect 4] to [Aspect 5] in [Aspect 2] in [Aspect 3] for cumulative population share [Aspect 6] is [Value].</t>
  </si>
  <si>
    <t>https://doi.org/10.1016/j.ecolecon.2024.108161</t>
  </si>
  <si>
    <t>Lorenz curve; inequality; use phase; social metabolism; socio-metabolic inequality; provisioning systems; final energy; buildings; passenger vehicles;</t>
  </si>
  <si>
    <t>Data extracted with Python script from supplementary data file Pauliuk_DLS_LorenzCurve_2024_SI.xlsx, sheet "pav_reb_nrb_Global_Fig4", converted to 1_LCF, and converted to IEDC templates. Cumulative population value rounded to two digits "0.xx".</t>
  </si>
  <si>
    <t>Data extracted with Python script from supplementary data file, converted to 1_LCF, and converted to IEDC templates.</t>
  </si>
  <si>
    <t>2_LCS_In_use_stock_Buildings_Vehicles_Global_PAULIUK_2024</t>
  </si>
  <si>
    <t>Lorenz curve, non-normalized, stock</t>
  </si>
  <si>
    <t>buildings and vehicles</t>
  </si>
  <si>
    <t>residential buildings, non-residential buildings, and passenger vehicles</t>
  </si>
  <si>
    <t>Lorenz curve for in-use stock of residential buildings, non-residential buildings, and passenger vehicles, based on region- and country-level data for 21 world regions</t>
  </si>
  <si>
    <t>Lorenz curve; inequality; in-use stock; social metabolism; socio-metabolic inequality; provisioning systems; buildings; passenger vehicles;</t>
  </si>
  <si>
    <t>Data extracted with Python script from supplementary data file Pauliuk_DLS_LorenzCurve_2024_SI.xlsx, sheet "pav_reb_nrb_Global_Fig4", converted to 2_LCS, and converted to IEDC templates. Cumulative population value rounded to two digits "0.xx".</t>
  </si>
  <si>
    <t>Value(g,r,t,p,1)</t>
  </si>
  <si>
    <t>Lorenz curve, non-normalized, stock for passenger vehicles in use phase - passenger vehicles in Global in 2015 for cumulative population share 0.32 is 39.495 million.</t>
  </si>
  <si>
    <t>[Data type] for [Aspect 1] in [Aspect 4] in [Aspect 2] in [Aspect 3] for cumulative population share [Aspect 5] is [Value].</t>
  </si>
  <si>
    <t>Data extracted with Python script from supplementary data file, converted to 2_LCS, and converted to IEDC templates.</t>
  </si>
  <si>
    <t xml:space="preserve"> </t>
  </si>
  <si>
    <t>global_2019</t>
  </si>
  <si>
    <t>all stages of the sand and gravel cycle</t>
  </si>
  <si>
    <t>markets for sand and gravel, asphalt, waste management</t>
  </si>
  <si>
    <t>all major applications of sand and gravel</t>
  </si>
  <si>
    <t>residential buildings, non residential buildings, other construction, roads, railways</t>
  </si>
  <si>
    <t>sand and gravel</t>
  </si>
  <si>
    <t>two aggregate material groups</t>
  </si>
  <si>
    <t>globally aggregated values and values for 184 individual countries</t>
  </si>
  <si>
    <t>1970-2019</t>
  </si>
  <si>
    <t>sand and gravel Sankeys for 184 countries and the global aggregate, 1970-2019, from ZHUANG et al. (2025).</t>
  </si>
  <si>
    <t>sand; gravel; material cycle; Sankey; global</t>
  </si>
  <si>
    <t>Current version contains only the 2019 global aggregate as shown in Fig. 2a of the paper</t>
  </si>
  <si>
    <t>Flow of asphalt from market for asphalt to use phase - roads in Global in 2019 measured as mass of of sand is 0.43102 Gt/yr.</t>
  </si>
  <si>
    <t>Shurong ZHUANG</t>
  </si>
  <si>
    <t>https://doi.org/10.1016/j.resconrec.2025.108460</t>
  </si>
  <si>
    <t>spreadsheet supplied by the authors</t>
  </si>
  <si>
    <t>Numbers supplied by main author and converted to IEDC templates. The IEDC team did not check the mass balance of the reported data.</t>
  </si>
  <si>
    <t>HOTMAPS</t>
  </si>
  <si>
    <t>https://www.hotmaps-project.eu/</t>
  </si>
  <si>
    <t>The overarching goal of Hotmaps is the development of an open source heating / cooling mapping and planning toolbox and to provide default data for EU28 at national and local level.</t>
  </si>
  <si>
    <t>buildings; heating; cooling; building energy; EU; planning; open science; data; energy consumption; final energy demand</t>
  </si>
  <si>
    <t xml:space="preserve">This IEDC project bundles several datagroups for smaller research projects and publications on the topic. </t>
  </si>
  <si>
    <t>This IEDC project bundles several datasets from the EU HOTMAPS project</t>
  </si>
  <si>
    <t>6_MIP_Gini_Household_CO2_Footprint_China_WANG_2022</t>
  </si>
  <si>
    <t>households</t>
  </si>
  <si>
    <t>all goods and services purchased by households</t>
  </si>
  <si>
    <t>8 different groups of goods and services</t>
  </si>
  <si>
    <t>30 provinces with urban/rural/combined sub-divide</t>
  </si>
  <si>
    <t>The numbers represent Gini coefficients of the economy-wide carbon footprint of househould consuption in China in 2017, broken down by province, rural/urban, and by 8 consumption groups. From Wang and Yuan (2022).</t>
  </si>
  <si>
    <t>Gini coefficient; Gini index; inequality; carbon footprint; services; households; China; rural; urban;</t>
  </si>
  <si>
    <t>Scenario values for 2030 and 2050 are also available but were not converted.</t>
  </si>
  <si>
    <t>Value(E,I,p,r,u,y,t,1,g)</t>
  </si>
  <si>
    <t>Gini index of household carbon footprint across entire economy of appliances and related services across entire population in China in Shanxi in urban regions in 2017 is 0.25.</t>
  </si>
  <si>
    <t>[Aspect 1] of [Aspect 2] across [Aspect 3] of [Aspect 9] across [Aspect 8] in [Aspect 4] in [Aspect 5] in [Aspect 6] in [Aspect 7] is [Value].</t>
  </si>
  <si>
    <t>Juan WANG</t>
  </si>
  <si>
    <t>https://doi.org/10.1016/j.eiar.2022.106738</t>
  </si>
  <si>
    <t>docx supplement of journal article supplied on journal homepage</t>
  </si>
  <si>
    <t>Numbers manually copied from supplementary tables 2, 5, and 8 from 1-s2.0-S019592552200004X-mmc1.docx and reformatted from original source to IEDC Excel template</t>
  </si>
  <si>
    <t>6_PCF_Final_Energy_Decile_2050_Scenarios_Global_MILLWARD_HOPKINS_2022</t>
  </si>
  <si>
    <t>all goods and services</t>
  </si>
  <si>
    <t>single year scenario value for 3 scenarios</t>
  </si>
  <si>
    <t>Per capita final energy demand and relative consumption levels for ten deciles for 3 scenarios for 2050, result of an inequality-constrained scenario analysis.</t>
  </si>
  <si>
    <t>per capita final energy; inequality; use phase; social metabolism; socio-metabolic inequality; provisioning systems; final energy; 2050; scenario analysis;</t>
  </si>
  <si>
    <t>Data extracted from data supplement Hopkins_Global_Energy_41467_2022_32729_MOESM3_ESM.xlsx (sheets Figure 2 and Figure SI1) and converted to IEDC templates and labels.</t>
  </si>
  <si>
    <t>Value(g,r,t,o,d,S,1)</t>
  </si>
  <si>
    <t>Per capita flows for final energy, all energy carriers from markets for final energy, all energy carriers to use phase in Global in 2050 for scenario fairly large inequality population fraction decile 4 is 22.4748 GJ/yr.</t>
  </si>
  <si>
    <t>[Data type] for [Aspect 1] from [Aspect 4] to [Aspect 5] in [Aspect 2] in [Aspect 3] for scenario [Aspect 6] population fraction [Aspect 7] is [Value].</t>
  </si>
  <si>
    <t>Joel MILLWARD-HOPKINS</t>
  </si>
  <si>
    <t>https://doi.org/10.1038/s41467-022-32729-8</t>
  </si>
  <si>
    <t>data supplement (xlsx) supplied on journal homepage</t>
  </si>
  <si>
    <t>Numbers manually copied and reformatted from original source to IEDC Excel template</t>
  </si>
  <si>
    <t>6_MIP_Gini_Final_Energy_Global_2050_Scenarios_MILLWARD_HOPKINS_2022</t>
  </si>
  <si>
    <t>7 major service categories, plus the total</t>
  </si>
  <si>
    <t>single year scenario value</t>
  </si>
  <si>
    <t>The numbers represent Gini coefficients of 2050 global final energy use across consumption categories for the inequality scenarios studies by Millward-Hopkins (2023).</t>
  </si>
  <si>
    <t>Gini coefficient; Gini index; inequality; final energy; services; households; nutrition; shelter; mobility;</t>
  </si>
  <si>
    <t>From Fig. 3a, converted from supplementary data file</t>
  </si>
  <si>
    <t>Value(E,I,V,S,r,t)</t>
  </si>
  <si>
    <t>Gini index of final energy for providing communication and information in scenario fair inequality + 1% super-rich in Global in 2050 is 0.1966.</t>
  </si>
  <si>
    <t>[Aspect 1] of [Aspect 2] for providing [Aspect 3] in scenario [Aspect 4] in [Aspect 5] in [Aspect 6] is [Value].</t>
  </si>
  <si>
    <t>6_MIP_Gini_Final_Energy_Footprint_86_Countries_OSWALD_2020</t>
  </si>
  <si>
    <t xml:space="preserve">one aggregate service/product </t>
  </si>
  <si>
    <t>86 individual countries and regions</t>
  </si>
  <si>
    <t>The numbers represent Gini coefficients of 2011 country-level final energy footprint for all goods and services calculate with the GTAP MRIO model by Oswald (2020).</t>
  </si>
  <si>
    <t>Gini coefficient; Gini index; inequality; final energy footprint; services;</t>
  </si>
  <si>
    <t>Value(E,I,V,r,t)</t>
  </si>
  <si>
    <t>Gini index of final energy footprint for providing all goods and services in Brazil in 2011 is 0.6237.</t>
  </si>
  <si>
    <t>[Aspect 1] of [Aspect 2] for providing [Aspect 3] in [Aspect 4] in [Aspect 5] is [Value].</t>
  </si>
  <si>
    <t>Yannick OSWALD</t>
  </si>
  <si>
    <t>https://doi.org/10.1038/s41560-020-0579-8</t>
  </si>
  <si>
    <t>3_LC_LorenzCurves_Final_Energy_Footprint_Global_OSWALD_2020</t>
  </si>
  <si>
    <t>18 services and goods, plus the total</t>
  </si>
  <si>
    <t>one global Lorenz curve based on data for 86 individual countries and regions</t>
  </si>
  <si>
    <t>The numbers represent the Lorenz curve values for the global distribution of the final energ footprints of 18 end-use services and the total, taken from the supplementary data for Fig. 5b in Oswald et al. (2020), compiled at country-level resolution. The plot Fig 5b in the paper only shows two transport services and the total, but the supplement contains 18 categories in total, including all categories shown in Fig. 5a at the same or higher resolution.</t>
  </si>
  <si>
    <t>Lorenz curve; inequality; final energy footprint; global; 2011; transport; buildings; energy</t>
  </si>
  <si>
    <t>Numbers copied and reformatted from original source to IEDC Excel template with Python script. The cumulative population share was rounded to the nearest per mille and data points for the same per mille were averaged.</t>
  </si>
  <si>
    <t>Value(I,p,r,t,g,1)</t>
  </si>
  <si>
    <t>Lorenz curve, normalized for final energy footprint of food in entire economy in Global in 2011 for cumulative population share 0.662 is 0.3459.</t>
  </si>
  <si>
    <t>[Data type] for [Aspect 1] of [Aspect 5] in [Aspect 2] in [Aspect 3] in [Aspect 4] for cumulative population share [Aspect 6] is [Value].</t>
  </si>
  <si>
    <t>6_MIP_Gini_Archaeological_Residential_Area_Pacific_Northwest_AMES_2020</t>
  </si>
  <si>
    <t>two building types</t>
  </si>
  <si>
    <t>residential and storage buildings</t>
  </si>
  <si>
    <t>Native American Indian settlements, located along the Lower Columbia River in the Pacific Northwest</t>
  </si>
  <si>
    <t>three individual settlements and the total</t>
  </si>
  <si>
    <t>historic data: ca. 1350-1855</t>
  </si>
  <si>
    <t>single value for the entire time range</t>
  </si>
  <si>
    <t>The numbers represent Gini coefficients of residential and storage space in ancient Native American Indian settlements, located along the Lower Columbia River in the Pacific Northwest, determined by archaeological surveys</t>
  </si>
  <si>
    <t>Gini coefficient; Gini index; inequality; Pacific Northwest; wealth inequality; floor area; storage capacity;</t>
  </si>
  <si>
    <t>Result of archaeological surveys, from Table 3 in the paper</t>
  </si>
  <si>
    <t>Value(E,I,g,r,t)</t>
  </si>
  <si>
    <t>Gini index of storage capacity for farmed crops in storage buildings in Native American Indian settlements, located in the Wapato Valley in ca. 1350-1835 is 0.52.</t>
  </si>
  <si>
    <t>[Aspect 1] of [Aspect 2] of [Aspect 3] in [Aspect 4] in [Aspect 5] is [Value].</t>
  </si>
  <si>
    <t>Kenneth M AMES</t>
  </si>
  <si>
    <t>https://doi.org/10.15184/aqy.2020.128</t>
  </si>
  <si>
    <t>pdf journal paper, table</t>
  </si>
  <si>
    <t>3_LC_LorenzCurves_Residential_Electricity_5_Countries_JACOBSEN_2005</t>
  </si>
  <si>
    <t>electricity</t>
  </si>
  <si>
    <t>one aggregate energy carrier type</t>
  </si>
  <si>
    <t>selected countries</t>
  </si>
  <si>
    <t>country-wide curves for Kenya, Thailand, USA, Norway, and El Salvador</t>
  </si>
  <si>
    <t>1995-2001</t>
  </si>
  <si>
    <t>The numbers represent the Lorenz curve values for the country-level distribution of electricity use in residential buildings across the population, for five countries around 2000, extracted manually by visual inspection from Fig. 2 in Jacobsen et al. (2005).</t>
  </si>
  <si>
    <t>Lorenz curve; inequality; electricity; Kenya; Thailand; USA; Norway; El Salvador; residential buildings; residential sector; residential energy;</t>
  </si>
  <si>
    <t>Numbers extracted manually from https://plotdigitizer.com/app on Jan. 19, 2026. The cumulative population share was rounded to the nearest per mille and data points were rounded to 2 digits, accuray of the visal inspection ca. 1%.</t>
  </si>
  <si>
    <t>Value(g,p,r,t,1)</t>
  </si>
  <si>
    <t>Lorenz curve, normalized for electricity used by entire economy in Kenya in 2000 for cumulative population share 0.92 is 37.16%.</t>
  </si>
  <si>
    <t>[Data type] for [Aspect 1] used by [Aspect 2] in [Aspect 3] in [Aspect 4] for cumulative population share [Aspect 5] is [Value].</t>
  </si>
  <si>
    <t>Arne JACOBSEN</t>
  </si>
  <si>
    <t>https://doi.org/10.1016/j.enpol.2004.02.017</t>
  </si>
  <si>
    <t>plot (figure) in journal pdf</t>
  </si>
  <si>
    <t>6_MIP_Gini_Archaeological_Floorspace_Global_ORTMAN_2024</t>
  </si>
  <si>
    <t>one aggregate building type: residentialbuildings including storage space</t>
  </si>
  <si>
    <t>Individual values for 258 different locations, partly for different time ranges</t>
  </si>
  <si>
    <t>historic data: ca. -10500 to 1980</t>
  </si>
  <si>
    <t>single values for 478 different time ranges, data point-specific, dating back to 20000 BC</t>
  </si>
  <si>
    <t>The numbers represent Gini coefficients of residential and storage space in ancient settlements, located across the globe, determined by archaeological surveys. This dataset contains the summary statistics by subarea and phase, for all settlement groups with at least five measured residences. Derived from gini_database_all_records_20240721.csv.</t>
  </si>
  <si>
    <t>Gini coefficient; Gini index; inequality; archaeology; wealth inequality; floor area; storage capacity;</t>
  </si>
  <si>
    <t>Result of many archaeological surveys and compiled by the The Global Dynamics of Inequality (GINI) project: analysing archaeological housing data. Ginis are computed by site on the total area per house, including storage.</t>
  </si>
  <si>
    <t>Value(E,V,g,r,t)</t>
  </si>
  <si>
    <t>Gini index of residential floor area provided by residential building, including storage space in Lower|Indus River Basin in ca. -5500 to -4700 is 0.2235 with lower bound 0.1627 and upper bound 0.2702.</t>
  </si>
  <si>
    <t>[Aspect 1] of [Aspect 2] provided by [Aspect 3] in [Aspect 4] in [Aspect 5] is [Value].</t>
  </si>
  <si>
    <t>Scott ORTMAN</t>
  </si>
  <si>
    <t>https://core.tdar.org/dataset/502944/subareaginilevel</t>
  </si>
  <si>
    <t>dataset, table, csv</t>
  </si>
  <si>
    <t>https://doi.org/10.15184/aqy.2023.188</t>
  </si>
  <si>
    <t>SubareaGiniLevel. Scott Ortman. Washington DC: National Academy of Sciences. 2024 ( tDAR id: 502944) ; doi:10.48512/XCV8502944</t>
  </si>
  <si>
    <t>6_MIP_Gini_Final_Energy_EU_Countries_KASHOUR_2023</t>
  </si>
  <si>
    <t>all final energy carriers for all goods and services</t>
  </si>
  <si>
    <t>EU total and sub-division into highly developed and developed</t>
  </si>
  <si>
    <t>The numbers represent Gini coefficients of 2010-2020 EU country-level final energy use by households for all goods and services, calculated and published by Kashour (2023).</t>
  </si>
  <si>
    <t>Gini coefficient; Gini index; inequality; final energy; services; households; EU;</t>
  </si>
  <si>
    <t>Gini determined across country-level averages, no sub-country-level data</t>
  </si>
  <si>
    <t>Value(E,g,V,p,r,t)</t>
  </si>
  <si>
    <t>Gini index of all final energy carriers for providing all goods and services in housholds across EU27 - developed in 2013 is 0.1234.</t>
  </si>
  <si>
    <t>[Aspect 1] of [Aspect 2] for providing [Aspect 3] in [Aspect 4] across [Aspect 5] in [Aspect 6] is [Value].</t>
  </si>
  <si>
    <t>Mohammad KASHOUR</t>
  </si>
  <si>
    <t>https://doi.org/10.1016/j.enpol.2023.113816</t>
  </si>
  <si>
    <t>pdf of journal article supplied on journal homepage</t>
  </si>
  <si>
    <t>1_F_production_flows_technology_materials_SOUVERAEN</t>
  </si>
  <si>
    <t>Mining and material production sectors</t>
  </si>
  <si>
    <t>two aggregate sectors</t>
  </si>
  <si>
    <t>raw and engineering materials for energy transition technologies</t>
  </si>
  <si>
    <t>ca. 6 raw (ore) and refined materials</t>
  </si>
  <si>
    <t>Production volume (in t/yr) for raw and engineering materials for energy transition technologies. Compiled from different literature sources, see the comment field for each data point.</t>
  </si>
  <si>
    <t>production volume; energy technology material; lithium; cobalt; mining; graphite; silver;</t>
  </si>
  <si>
    <t>Compiled from different literature sources, see the comment field for each data point.</t>
  </si>
  <si>
    <t>Value(M,g,o,d,r,t,z)</t>
  </si>
  <si>
    <t>Extraction or production flow of silver in silver-containing ores extracted/produced by all suppliers flowing from mining to market for extracted resources in Indonesia in 2021 is 338.1 t/yr.</t>
  </si>
  <si>
    <t>Extraction or production [Data type] of [Aspect 1] in [Aspect 2] extracted/produced by [Aspect 7] flowing from [Aspect 3] to [Aspect 4] in [Aspect 5] in [Aspect 6] is [Value].</t>
  </si>
  <si>
    <t>numbers converted manually from their original sources into the IEDC template</t>
  </si>
  <si>
    <t>1_F_production_flows_renewable_energy_components_SOUVERAEN</t>
  </si>
  <si>
    <t>Manufacturing sector</t>
  </si>
  <si>
    <t>One aggregate sector</t>
  </si>
  <si>
    <t>Energy transition technologies</t>
  </si>
  <si>
    <t>6 components of solar PV, batteries</t>
  </si>
  <si>
    <t>silicon, solar glass</t>
  </si>
  <si>
    <t>Production volume (in GW/yr for conversion or GWh/yr for storage) for components of different energy transition technologies. Compiled from different literature sources, see the comment field for each data point.</t>
  </si>
  <si>
    <t>production volume; energy technology; solar PV; batteries;</t>
  </si>
  <si>
    <t>Value(k,g,o,d,r,t,z)</t>
  </si>
  <si>
    <t>Production flow of PV cell of photovoltaic (PV) installation manufactured by all manufacturers flowing from manufacturing to market for manufactured goods and components in Taiwan in 2023 is 3.984 GW/yr.</t>
  </si>
  <si>
    <t>Production [Data type] of [Aspect 1] of [Aspect 2] manufactured by [Aspect 7] flowing from [Aspect 3] to [Aspect 4] in [Aspect 5] in [Aspect 6] is [Value].</t>
  </si>
  <si>
    <t>4_SHR_Country_Shares_in_Renewable_Energy_Components_Production_SOUVERAEN</t>
  </si>
  <si>
    <t>manufacturing, material production, and markets</t>
  </si>
  <si>
    <t>three aggregate sectors</t>
  </si>
  <si>
    <t>materials for components of energy transition technologies: solar PV, batteries</t>
  </si>
  <si>
    <t>lithium-ion batteries and solar PV</t>
  </si>
  <si>
    <t>technology materials</t>
  </si>
  <si>
    <t>7 materials for components of lithium-ion batteries, 2 for solar PV</t>
  </si>
  <si>
    <t>2021-2024</t>
  </si>
  <si>
    <t>Market share of individual countries in the global production of materials for components of lithium-ion batteries and solar PV cells. Compiled from different literature sources, see the comment field for each data point.</t>
  </si>
  <si>
    <t>market share; energy technology; solar PV; batteries; lithium-ion batteries; silver; anode material; cathode material;</t>
  </si>
  <si>
    <t>Value(O,m,g,o,d,t)</t>
  </si>
  <si>
    <t>Share of South Korea in global production of nickel, cathode active material for battery, LIB (lithium-ion battery) flowing from manufacturing to market for battery and energy storage technologies in 2024 is 28.1%.</t>
  </si>
  <si>
    <t>Share of [Aspect 1] in global production of [Aspect 2] for [Aspect 3] flowing from [Aspect 4] to [Aspect 5] in [Aspect 6] is [Value].</t>
  </si>
  <si>
    <t>5_CAP_Renewable_Energy_Technology_Manufacturing_Capacity_byCountry_SOUVERAEN</t>
  </si>
  <si>
    <t>Solar PV, wind turbines, electrolysers, batteries</t>
  </si>
  <si>
    <t>Installed manufacturing capacity (in 1 (units)/yr, GW/yr, GWh/yr or t/yr) for different energy transition technologies, by country and by manufacturer. Compiled from different literature sources, see the comment field for each data point.</t>
  </si>
  <si>
    <t>manufacturing capacity; energy technology; wind turbines; solar PV; batteries; electrolyzers; production capacity;</t>
  </si>
  <si>
    <t>Value(p,g,k,r,t,z)</t>
  </si>
  <si>
    <t>Production capacity of battery cell of battery by SK in manufacturing in South Korea in 2024 is 5 GWh/yr.</t>
  </si>
  <si>
    <t>[Layer] of [Aspect 3] of [Aspect 2] by [Aspect 6] in [Aspect 1] in [Aspect 4] in [Aspect 5] is [Value].</t>
  </si>
  <si>
    <t>3_MC_Heat_Pumps_GREENING_SEVINDIK_2021</t>
  </si>
  <si>
    <t>heat pumps and gas boiler</t>
  </si>
  <si>
    <t>air-sourced heat pump, ground sourced heat pump, and gas boiler, all with 10 kW thermal output</t>
  </si>
  <si>
    <t>up to 18 different materials, where applicable, plus the total</t>
  </si>
  <si>
    <t>Material content of air-sourced heat pump, ground sourced heat pump, and gas boiler, all with 10 kW thermal output. From Greening and Azapagic (2012), compiled and reported by Sevindik et al. (2021).</t>
  </si>
  <si>
    <t>material; material content; Europe; heat pump; air-sourced heat pump; ground-sourced heat pump;</t>
  </si>
  <si>
    <t>For an installed heat output capacity of 10 kW. Data extracted from Table 1 in DOI https://doi.org/10.3390/en14113027  data source: DOI https://doi.org/10.1016/j.energy.2012.01.028</t>
  </si>
  <si>
    <t>Value(m,k,g,c,r)</t>
  </si>
  <si>
    <t>Material composition of copper in heat pump part of air source heat pump (ASHP) manufactured in Western Europe in ca. 2010 is 36.6 kg. For an installed heat output capacity of 10 kW.</t>
  </si>
  <si>
    <t>[Data type] of [Aspect 1] in [Aspect 2] part of [Aspect 3] manufactured in [Aspect 4] in [Aspect 5] is [Value].</t>
  </si>
  <si>
    <t>Selman SEVINDIK</t>
  </si>
  <si>
    <t>https://doi.org/10.1016/j.energy.2012.01.028</t>
  </si>
  <si>
    <t>table in pdf of https://doi.org/10.3390/en14113027</t>
  </si>
  <si>
    <t>https://doi.org/10.3390/en14113027</t>
  </si>
  <si>
    <t>6_IMI_Final_Energy_Global_Mining_Sector_IEA_ARAMENDIA_2023</t>
  </si>
  <si>
    <t>mining sector</t>
  </si>
  <si>
    <t>one aggregate industrial sector</t>
  </si>
  <si>
    <t>all final energy carriers in one aggregate group</t>
  </si>
  <si>
    <t>1971-2015</t>
  </si>
  <si>
    <t>six values, one for each decade</t>
  </si>
  <si>
    <t>Final energy demand of the global mining sector, 1971-2015. Data covers both direct final energy use (IEA reference values) and direct+indirect energy use (authors' own estimate), see comment of each data point</t>
  </si>
  <si>
    <t>mining; final energy; global; energy demand;</t>
  </si>
  <si>
    <t>Data covers both direct final energy use (IEA reference values) and direct+indirect energy use (authors' own estimate), see comment of each data point</t>
  </si>
  <si>
    <t>Value(I,r,t,o,d)</t>
  </si>
  <si>
    <t>Final energy footprint of flow from markets for final energy, all energy carriers to mining in Global in 1980 is 2.39 EJ/yr, with 5% percentile of 1.88 EJ/yr and 95% percentile of 2.90 EJ/yr.</t>
  </si>
  <si>
    <t>[Aspect 1] of flow from [Aspect 4] to [Aspect 5] in [Aspect 2] in [Aspect 2] is [Value].</t>
  </si>
  <si>
    <t>Emmanuel Aramendia</t>
  </si>
  <si>
    <t>https://doi.org/10.1016/j.gloenvcha.2023.102745</t>
  </si>
  <si>
    <t>Table in paper pdf</t>
  </si>
  <si>
    <t>Data copied from table in pdf into IEDC template</t>
  </si>
  <si>
    <t>SMI_Percentile_Indicators</t>
  </si>
  <si>
    <t>stocks, flows, footprints</t>
  </si>
  <si>
    <t>In-use stocks, flows, and footprints (at scale or per capita), given by fraction of population / percentile ranges (decile, top 1%, etc.)</t>
  </si>
  <si>
    <t>Database of in-use stocks, flows, and footprints (at scale or per capita), given by fraction of population / percentile ranges (decile, top 1%, etc.)</t>
  </si>
  <si>
    <t>Inequality; socio-metabolic inequality; socio-economic metabolism; percentile; decile;</t>
  </si>
  <si>
    <t>MAT_STOCKS</t>
  </si>
  <si>
    <t>https://www.usgs.gov/products/data</t>
  </si>
  <si>
    <t>https://boku.ac.at/understanding-the-role-of-material-stock-patterns-for-the-transformation-to-a-sustainable-society-mat-stocks/project-description</t>
  </si>
  <si>
    <t>https://doi.org/10.1038/s41597-019-0085-7</t>
  </si>
  <si>
    <t>This IEDC project bundles several USGS datasets</t>
  </si>
  <si>
    <t>This IEDC project bundles several datasets from the EU-ERC MAT_STOCKS project</t>
  </si>
  <si>
    <t>This IEDC project bundles several datasets from the Yale YSTAFDB (Yale Stocks and Flows Database) project.</t>
  </si>
  <si>
    <t>metals; minerals; ore; reserve; reserve base; mining; refining; production;</t>
  </si>
  <si>
    <t>buildings; infrastructure; EU; open science; data; MFA; in-use stocks;</t>
  </si>
  <si>
    <t>open science; data; metals; criticality; MFA; dynamic material flow analysis; material cycles; industrial ecology</t>
  </si>
  <si>
    <t>The Yale Stocks and Flows Database (YSTAFDB), comprises most of the material stocks and flows (STAF) data generated at the Center for Industrial Ecology at Yale University since the early 2000s. These data describe material cycles, criticality, and recycling interms of 62 elements and various engineering materials, e.g., steel, on spatial scales and timeframes ranging from cities to global and the 1800s to ca. 2013.</t>
  </si>
  <si>
    <t>Understanding the Role of Material Stock Patterns for the Transformation to a Sustainable Society (MAT_STOCKS). This project delivered, amongst others, a consistent typology, indicators and databases of material stocks and their services, building upon economy wide material flow analysis and dynamic modelling approaches.</t>
  </si>
  <si>
    <t>Data compiled by the United States Geological Survey (USGS). The USGS provides science about the natural hazards that threaten lives and livelihoods, the water, energy, minerals, and other natural resources we rely on, the health of our ecosystems and environment, and  the impacts of climate and land-use change.</t>
  </si>
  <si>
    <t>6_MIP_EROI_Energy_Return_on_Investment_Fossil_Fuel_Compilation_HALL_2014</t>
  </si>
  <si>
    <t>fossil energy carriers</t>
  </si>
  <si>
    <t>coal, oil, natural gas, tar sands, plus combinations thereof</t>
  </si>
  <si>
    <t>Single country/region values for major producers of fossil fuels</t>
  </si>
  <si>
    <t>1920-2010</t>
  </si>
  <si>
    <t>The numbers represent the Energy return on investment (EROI) for providing various fossil fuels in a numer of countries and years, as compiled by Hall et al. (2013).</t>
  </si>
  <si>
    <t>Energy return on investment; EROI; oil; gas; coal; tar sands; fossil fuel;</t>
  </si>
  <si>
    <t>Figure plot data not accurate as these were extracted with the PlotDigitizer App.</t>
  </si>
  <si>
    <t>Value(E,g,r,t)</t>
  </si>
  <si>
    <t>Energy return on investment (EROI) for providing oil in Mexico in 2005 is 52.9.</t>
  </si>
  <si>
    <t>[Aspect 1] for providing [Aspect 2] in [Aspect 3] in [Aspect 4] is [Value].</t>
  </si>
  <si>
    <t>Charles A.S. HALL</t>
  </si>
  <si>
    <t>http://dx.doi.org/10.1016/j.enpol.2013.05.049</t>
  </si>
  <si>
    <t>Numbers manually copied and reformatted from original source to IEDC Excel template, figure plot data extracted with the PlotDigitizer App.</t>
  </si>
  <si>
    <t>4_PY_EoL_RR_Recycling_Rate_59_Materials_ARAMENDIA_2023</t>
  </si>
  <si>
    <t>recycling, spanning dismantling, shredding, sorting, and scrap recycling/remelting</t>
  </si>
  <si>
    <t>all products, buildings, and infrastructure</t>
  </si>
  <si>
    <t>one aggregate group</t>
  </si>
  <si>
    <t>59 materials and metals</t>
  </si>
  <si>
    <t>global average/aggregate</t>
  </si>
  <si>
    <t>End-of-life recycling rates for 59 engineering materials and metals, compiled by Aramendia et al. (2023) and sourced from UNEP report and Haas et al. (2015). See the comment of each data point for the source.</t>
  </si>
  <si>
    <t>Recycling rate; end-of-life; global; metals; materials; recycling; waste management; dismantling; sorting; shredding; EoL-RR; end-of-life recycling rate;</t>
  </si>
  <si>
    <t>Data copied from table on sheet "input_parameters" of supplementary file 1-s2.0-S0959378023001115-mmc2.xlsx into IEDC template. See the comment of each data point for the source.</t>
  </si>
  <si>
    <t>Value(m,g,p,t,r)</t>
  </si>
  <si>
    <t>Yield coefficient measured as mass ratio of gypsum recovered from end-of-life good and products, all types in recycling in Global in ca. 2010 is 0.0353.</t>
  </si>
  <si>
    <t>[Data type] measured as [Layer] of [Aspect 1] recovered from [Aspect 2] in [Aspect 3] in [Aspect 5] in [Aspect 4] is [value].</t>
  </si>
  <si>
    <t>Data copied from table on sheet "input_parameters" of supplementary file 1-s2.0-S0959378023001115-mmc2.xlsx into IEDC template</t>
  </si>
  <si>
    <t>6_MIP_CED_Primary_and_Final_Energy_Demand_59_Materials_ARAMENDIA_2023</t>
  </si>
  <si>
    <t>The numbers represent the cumulative primary energy demand (CED) and the final energy footprint for 59 materials and metals, global average from around 2010, compiled from various sources by Aramendia et al. (2023).</t>
  </si>
  <si>
    <t>CED; primary energy; final energy; materials; metals; minerals; global average;</t>
  </si>
  <si>
    <t>Value(I,m,p,r,t)</t>
  </si>
  <si>
    <t>Cumulative energy demand (CED) of mercury with scope entire economy in ca. 2010 in Global is 54 GJ/t.</t>
  </si>
  <si>
    <t>[Aspect 1] of [Aspect 2] with scope [Aspect 3] in [Aspect 4] in [Aspect 5] is [Value].</t>
  </si>
  <si>
    <t>6_MIP_Gini_Material_Footprint_Global_2017_168_Countries_TIAN_2026</t>
  </si>
  <si>
    <t>one aggregate consumption category</t>
  </si>
  <si>
    <t>all raw materials</t>
  </si>
  <si>
    <t>four standard raw material categories plus the sum total</t>
  </si>
  <si>
    <t>168 single country values</t>
  </si>
  <si>
    <t>The numbers represent Gini coefficients of the material footprints for global households' final consumption, for 2017, as published by Tian et al (2026).</t>
  </si>
  <si>
    <t>Gini coefficient; Gini index; inequality; material footprint; raw material; RMI; services; households; global;</t>
  </si>
  <si>
    <t>Product group and country labels were matched to those already defined in IEDC classifications 7 and 2.</t>
  </si>
  <si>
    <t>Value(E,I,g,p,r,t)</t>
  </si>
  <si>
    <t>Gini index of material footprint, metals for providing all final goods and services consumed by households to households in Chile in 2017 is 0.4571.</t>
  </si>
  <si>
    <t>[Aspect 1] of [Aspect 2] for providing [Aspect 3] to [Aspect 4] in [Aspect 5] in [Aspect 6] is [Value].</t>
  </si>
  <si>
    <t>Peipei TIAN</t>
  </si>
  <si>
    <t>https://doi.org/10.1038/s41893-025-01726-2</t>
  </si>
  <si>
    <t>Numbers behind figures kindly provided by authors in spreadsheet format and reformatted from original source to IEDC Excel template</t>
  </si>
  <si>
    <t>3_LC_Material_Footprint_Global_2017_by_Material_Group_TIAN_2026</t>
  </si>
  <si>
    <t>The numbers represent the Lorenz curve values of the material footprints for global households' final consumption, for 2017, as published by Tian et al (2026).</t>
  </si>
  <si>
    <t>Lorenz curve; inequality; material footprint; raw material; RMI; services; households; global;</t>
  </si>
  <si>
    <t>Product group labels were matched to those already defined in IEDC classification 7.</t>
  </si>
  <si>
    <t>Value(I,p,r,t,1)</t>
  </si>
  <si>
    <t>Lorenz curve, normalized for material footprint, fossil fuels of households in Global in 2017 for cumulative population share 0.4 is 0.07633.</t>
  </si>
  <si>
    <t>[Data type] for [Aspect 1] of [Aspect 2] in [Aspect 3] in [Aspect 4] for cumulative population share [Aspect 5] is [Value].</t>
  </si>
  <si>
    <t>6_MIP_Gini_Material_Footprint_Global_2017_by_Global_Region_TIAN_2026</t>
  </si>
  <si>
    <t>9 world regions</t>
  </si>
  <si>
    <t>Gini index of material footprint, metals for providing all final goods and services consumed by households to households in Latin America and the Caribbean in 2017 is 0.39644.</t>
  </si>
  <si>
    <t>6_MIP_Gini_Material_Footprint_Global_2017_by_Consumpion_Category_TIAN_2026</t>
  </si>
  <si>
    <t>8 consumption categories</t>
  </si>
  <si>
    <t>Gini index of material footprint, all materials for providing food to households in Global in 2017 is 0.30727.</t>
  </si>
  <si>
    <t>6_MIP_per_capita_Material_Footprint_Global_2017_by_Decile_TIAN_2026</t>
  </si>
  <si>
    <t>one aggregate world region</t>
  </si>
  <si>
    <t>The numbers represent per capita material footprints for global households' final consumption, for 2017, by expenditure decile, as published by Tian et al (2026).</t>
  </si>
  <si>
    <t>per capita; decile; inequality; material footprint; raw material; RMI; services; households; global;</t>
  </si>
  <si>
    <t>Value(E,I,g,p,r,t,1)</t>
  </si>
  <si>
    <t>Per capita indicator for material footprint, non-metallic minerals for providing all final goods and services consumed by households to households in Global in 2017 for expenditure group decile 7 is 0.7876 t/yr.</t>
  </si>
  <si>
    <t>[Aspect 1] for [Aspect 2] for providing [Aspect 3] to [Aspect 4] in [Aspect 5] in [Aspect 6] for expenditure group [Aspect 7] is [Value].</t>
  </si>
  <si>
    <t>6_MIP_Socio_Metabolic_Inequality_Collection_Water_Indicators</t>
  </si>
  <si>
    <t>v1.0_Jan_2026</t>
  </si>
  <si>
    <t>different focus processes, depends on the different data sources</t>
  </si>
  <si>
    <t>depends on the different data sources</t>
  </si>
  <si>
    <t>water</t>
  </si>
  <si>
    <t>ca. 2000-2025</t>
  </si>
  <si>
    <t>Compilation of Gini coeficients / Gini indices for socio-metabolic water use, from different publications, see the comments for the individual entries in the dataset</t>
  </si>
  <si>
    <t>Gini coefficient; Gini index; inequality; water; drinking water; blue water; green water; grey water; social metabolism; socio-metabolic inequality; provisioning systems;</t>
  </si>
  <si>
    <t>Compilation of data from different publications, see the comments for the individual entries in the dataset</t>
  </si>
  <si>
    <t>Gini index of domestic water use of drinking water in households in Yellow River Basin, China in 2004 covering population fraction entire population is 0.3.</t>
  </si>
  <si>
    <t>[Aspect 1] of [Aspect 2] of [Aspect 3] in [Aspect 4] in [Aspect 5] in [Aspect 6] covering population fraction [Aspect 7] is [Value].</t>
  </si>
  <si>
    <t>see the comments for the individual entries in the dataset</t>
  </si>
  <si>
    <t>6_MIP_Socio_Metabolic_Inequality_Collection_Product_Stock_Flow_Service_Indicators</t>
  </si>
  <si>
    <t>Compilation of Gini coeficients / Gini indices for socio-metabolic services, stocks, and flows, from different publications, see the comments for the individual entries in the dataset</t>
  </si>
  <si>
    <t>Gini coefficient; Gini index; inequality; in-use stock; social metabolism; socio-metabolic inequality; provisioning systems; energy; materials; service; products; appliances; healthcare;</t>
  </si>
  <si>
    <t>Gini index of access to service of hospitals, measured as hospital beds in healthcare system in Kazakhstan in 2023 covering population fraction entire population is 0.1.</t>
  </si>
  <si>
    <t>6_MIP_Socio_Metabolic_Inequality_Collection_Energy_Indicators</t>
  </si>
  <si>
    <t>ca. 1970-2026</t>
  </si>
  <si>
    <t>Compilation of Gini coeficients / Gini indices for energy use: final, primary, and energy footprint, from different publications, see the comments for the individual entries in the dataset</t>
  </si>
  <si>
    <t>Gini coefficient; Gini index; inequality; final energy; primary energy; energy footprint; social metabolism; socio-metabolic inequality; provisioning systems; energy; households; service;</t>
  </si>
  <si>
    <t>Gini index of final energy footprint of health products and healthcare services consumed by / in households and other final consumers in East Asia and Pacific in 2011 covering population fraction entire population is 0.5.</t>
  </si>
  <si>
    <t>[Aspect 1] of [Aspect 2] of [Aspect 3] consumed by / in [Aspect 4] in [Aspect 5] in [Aspect 6] covering population fraction [Aspect 7] is [Value].</t>
  </si>
  <si>
    <t>6_MIP_Socio_Metabolic_Inequality_Collection_Land_Use_Ownership_Indicators</t>
  </si>
  <si>
    <t>1920-2025</t>
  </si>
  <si>
    <t>Compilation of Gini coeficients / Gini indices for land use, land operation, and land ownershipo, from different publications, see the comments for the individual entries in the dataset</t>
  </si>
  <si>
    <t>Gini coefficient; Gini index; inequality; land use; land ownership; land operation; agriculture; social metabolism; socio-metabolic inequality;</t>
  </si>
  <si>
    <t>Gini index of ownership of agricultural land in agriculture in Global in 1980 covering population fraction all private land owners is 0.604.</t>
  </si>
  <si>
    <t>6_MIP_Socio_Metabolic_Inequality_Collection_Material_Indicators</t>
  </si>
  <si>
    <t>Compilation of Gini coeficients / Gini indices for material flows and footprints, from different publications, see the comments for the individual entries in the dataset</t>
  </si>
  <si>
    <t>Gini coefficient; Gini index; inequality; material; raw materials; social metabolism; socio-metabolic inequality; resource;</t>
  </si>
  <si>
    <t>Gini index of material footprint, metals of all final goods and services consumed by households in entire economy in Global in 2017 covering population fraction entire population is 0.67.</t>
  </si>
  <si>
    <t>6_MIP_Socio_Metabolic_Inequality_Collection_GHG_Emissions_Indicators</t>
  </si>
  <si>
    <t>Compilation of Gini coeficients / Gini indices for GHG and other emissions indicators, from different publications, see the comments for the individual entries in the dataset</t>
  </si>
  <si>
    <t>Gini coefficient; Gini index; inequality; social metabolism; socio-metabolic inequality; GHG; carbon emissions; emissions to air;</t>
  </si>
  <si>
    <t>Gini index of household carbon footprint of all final goods and services consumed by households in entire economy in South Africa in 2010 covering population fraction entire population is 0.6107.</t>
  </si>
  <si>
    <t>3_LC_Global_Footprints_TIAN_2024</t>
  </si>
  <si>
    <t>all final goods and services consumed by households</t>
  </si>
  <si>
    <t>Natural resources</t>
  </si>
  <si>
    <t>phosphorous, reactive nitrogen, biomass (as HANPP), blue water</t>
  </si>
  <si>
    <t>one global aggregate by expenditure decile</t>
  </si>
  <si>
    <t>The numbers represent the Lorenz curve values for six major environmental footprints by household expenditure deciles, calculated with the GTAP MRIO model, published by Tian et al. (2024).</t>
  </si>
  <si>
    <t>Lorenz curve; inequality; household; expenditure; decile; carbon footprint; nitrogen; phosphorous; HANPP;</t>
  </si>
  <si>
    <t>The deciles refer to expenditure deciles</t>
  </si>
  <si>
    <t>Value(I,g,p,r,t,1)</t>
  </si>
  <si>
    <t>Lorenz curve, normalized for blue water consumption footprint caused by all final goods and services consumed by households in entire economy in Global in 2017 for cumulative population share 0.7 is 59.009%.</t>
  </si>
  <si>
    <t>[Data type] for [Aspect 1] caused by [Aspect 2] in [Aspect 3] in [Aspect 4] for cumulative population share [Aspect 5] is [Value].</t>
  </si>
  <si>
    <t>https://doi.org/10.1038/s41586-024-08154-w</t>
  </si>
  <si>
    <t>6_MIP_per_capita_Environmental_Footprints_2017_by_Country_by_Decile_TIAN_2024</t>
  </si>
  <si>
    <t>phosphorus, reactive nitrogen, biomass (as HANPP), blue water, carbon, biodiversity (land) impact</t>
  </si>
  <si>
    <t>single country values for 168 countries</t>
  </si>
  <si>
    <t>The numbers represent per capita and per expenditure decile households' environmental footprints across the economy in 2017, by single country, as published by Tian et al (2024).</t>
  </si>
  <si>
    <t>per capita; phosphorus; reactive nitrogen; biomass; HANPP; blue water; carbon footprint; biodiversity footprint; housholds; decile; distribution; China; India; Indonesia;</t>
  </si>
  <si>
    <t>None</t>
  </si>
  <si>
    <t>Value(E,I,g,p,r,t,L,1)</t>
  </si>
  <si>
    <t>Per capita indicator for phosphorus fertilizer use footprint of all final goods and services consumed by households across entire economy in India in 2017 for expenditure decile 7 measured on layer mass of phosphorus is 2.1095 kg/yr.</t>
  </si>
  <si>
    <t>[Aspect 1] for [Aspect 2] of [Aspect 3] across [Aspect 4] in [Aspect 5] in [Aspect 6] for expenditure decile [Aspect 8] measured on layer [Aspect 7] is [Value].</t>
  </si>
  <si>
    <t>6_MIP_Global_per_capita_footprints_from_household_expenditure_by_decile_TIAN_2024</t>
  </si>
  <si>
    <t>The numbers represent per capita and per expenditure decile households' environmental footprints across the economy in 2017, as published by Tian et al (2024).</t>
  </si>
  <si>
    <t>per capita; phosphorus; reactive nitrogen; biomass; HANPP; blue water; carbon footprint; biodiversity footprint; housholds; decile; distribution;</t>
  </si>
  <si>
    <t>Value(E,I,g,p,r,t,1,L)</t>
  </si>
  <si>
    <t>Per capita indicator for phosphorus fertilizer use footprint of all final goods and services consumed by households across entire economy in Global in 2017 for expenditure decile 7 measured on layer mass of phosphorus is 2.668 kg/yr.</t>
  </si>
  <si>
    <t>[Aspect 1] for [Aspect 2] of [Aspect 3] across [Aspect 4] in [Aspect 5] in [Aspect 6] for expenditure decile [Aspect 7] measured on layer [Aspect 8] is [Value].</t>
  </si>
  <si>
    <t>3_MC_NVIDIA_A100_Tensor_Core_GPU_FALK_2024</t>
  </si>
  <si>
    <t>graphics processing unit (GPU) widely used for training large-language models (LLM)</t>
  </si>
  <si>
    <t>single product: Nvidia A100 SXM 40GB GPU</t>
  </si>
  <si>
    <t>main technology materials</t>
  </si>
  <si>
    <t>ca. 40 specific materials, including copper, silver, silicon</t>
  </si>
  <si>
    <t>singe age-cohort</t>
  </si>
  <si>
    <t>Main material composition based on detailed primary data collection of the Nvidia A100 SXM 40GB GPU, one of the most widely deployed GPUs for AI training. The manufacturer of the actual GPU is TSMC, Taiwan. Aggregate data as published by Falk et al. (2024), https://arxiv.org/html/2509.00093v1   Dataset link: https://github.com/sophia-falk/more-than-carbon</t>
  </si>
  <si>
    <t>material; material content; silicon; silver; copper; gold; NVIDIA; GPU; machine learning;</t>
  </si>
  <si>
    <t>More detailed (component-specific) information available in the original source, e.g., on the number of resistors, capacitors, coils, heat sinks, semiconductor components (integrated circuits), etc.</t>
  </si>
  <si>
    <t>Value(g,k,m,c)</t>
  </si>
  <si>
    <t>Material composition measured as mass per unit of silicon, Czochralski silicon in PCB support per unit of Nvidia A100 SXM 40GB GPU built in 2020 is 0.00197 kg.</t>
  </si>
  <si>
    <t>[Data type] measured as [Layer] of [Aspect 3] in [Aspect 2] per unit of [Aspect 1] built in [Aspect 4] is [Value].</t>
  </si>
  <si>
    <t>Sophia FALK</t>
  </si>
  <si>
    <t>https://github.com/sophia-falk/more-than-carbon</t>
  </si>
  <si>
    <t>table in data workbook</t>
  </si>
  <si>
    <t>https://arxiv.org/html/2509.00093v1</t>
  </si>
  <si>
    <t>Numbers manually copied from original source (Lines 794-840 on sheet "UPR table and diagram" of https://github.com/sophia-falk/more-than-carbon/blob/main/data/excel_files/A100_LCA_documentation.xlsm) to Excel spreadsheet and reformated to IEDC data model</t>
  </si>
  <si>
    <t>3_MC_Solar_PV_Glass_Backsheet_Modules_MUELLER_2021</t>
  </si>
  <si>
    <t>solar PV module, glass-backsheet design</t>
  </si>
  <si>
    <t>one average module</t>
  </si>
  <si>
    <t>main materials for PV modules and cells</t>
  </si>
  <si>
    <t>silicon, aluminium, glass</t>
  </si>
  <si>
    <t>one aggregate region</t>
  </si>
  <si>
    <t>values for different technologies from the 2005, 2011, and 2020 age-cohorts.</t>
  </si>
  <si>
    <t>Material content of solar PV modules and cells for representative global technologies from the 2005, 2011, and 2020 age-cohorts. As compiled and published by Müller et al. (2021).</t>
  </si>
  <si>
    <t>material; material content; solar PV; solar cell; wafer; kerf loss; silicon; Czochralski;</t>
  </si>
  <si>
    <t>Data extracted from table 4 in main paper as well as Table S14. For framing materials and components, the reference unit is 1 m² module, for the other materials, see the comment field. Kerf loss added as waste flow.</t>
  </si>
  <si>
    <t>Value(r,B,g,c)</t>
  </si>
  <si>
    <t>Material composition of solar PV module, glass-backsheet design measured as content of solar cell per unit of solar PV module, glass-backsheet design in Global built in 2005 is 0.932 m²/m². Values per m² module.</t>
  </si>
  <si>
    <t>[Data type] of [Aspect 3] measured as content of [Aspect 2] per unit of [Aspect 3] in [Aspect 1] built in [Aspect 4] is [Value].</t>
  </si>
  <si>
    <t>Amelie MÜLLER</t>
  </si>
  <si>
    <t>https://doi.org/10.1016/j.solmat.2021.111277</t>
  </si>
  <si>
    <t>table in paper pdf (Table 4)</t>
  </si>
  <si>
    <t>Numbers manually copied from original source (Table 4 in pdf) and Table S14 to Excel spreadsheet and reformated to IEDC data model</t>
  </si>
  <si>
    <t>Feb 2026 update</t>
  </si>
  <si>
    <t>3_MC_Wind_Turbines_FutuRaM_2025</t>
  </si>
  <si>
    <t>28 different technologies, onshore and offshore</t>
  </si>
  <si>
    <t>15 different materials</t>
  </si>
  <si>
    <t>aggregate region</t>
  </si>
  <si>
    <t>one aggregate value</t>
  </si>
  <si>
    <t>Material composition of wind turbines with different technologies, onshore and offshore, compiled by the FutuRaM project team.</t>
  </si>
  <si>
    <t>material; material content; wind turbines; onshore; offshore; Europe; FutuRaM; wind power;</t>
  </si>
  <si>
    <t>Information on turbine or park-level data in comment field for each data point, as well as the level of representativeness (mean, sum, balance). Data for other product groups are available as well but some of them are too detailed (passenger cars) and some too redundant (buildings) for the IEDC.</t>
  </si>
  <si>
    <t>Value(e,m,k,g,r,c)</t>
  </si>
  <si>
    <t>Material composition of wind turbines, onshore, gearbox, asynchronous generator, high-speed doubly-fed induction generator (DFIG) measured as mass per capacity of aluminium in aluminium and aluminium alloys in cables, external per unit capacity of wind turbines, onshore, gearbox, asynchronous generator, high-speed doubly-fed induction generator (DFIG) in Western Europe built in ca. 2020 is 2047.367 kg/MW.</t>
  </si>
  <si>
    <t>[Data type] of [Aspect 4] measured as [Layer] of [Aspect 1] in [Aspect 2] in [Aspect 3] per unit capacity of [Aspect 4] in [Aspect 5] built in [Aspect 6] is [Value].</t>
  </si>
  <si>
    <t>FutuRaM Project Consortium, Philippe AUDREY</t>
  </si>
  <si>
    <t xml:space="preserve">https://zenodo.org/records/17853953 </t>
  </si>
  <si>
    <t>xlsx table for wind turbines as part of larger dataset: 250307_dataset_consolidatedComposition_windturbines_FAIR.xlsx</t>
  </si>
  <si>
    <t>Philippe, A., Kippert, K., &amp; Monfort, D. (2025). FutuRaM – Composition – Consolidated Data – Wind Turbines [Data set]. Zenodo. https://doi.org/10.5281/zenodo.17853953</t>
  </si>
  <si>
    <t>4_SHR_Industrial_Raw_Materials_per_ton_Follow-ETSAP_KEREKES_2025</t>
  </si>
  <si>
    <t>manufacturing of materials and chemicals</t>
  </si>
  <si>
    <t>3 manufacturing processes (for alu, cement, and paper) with sub-technologies for some aluminium production</t>
  </si>
  <si>
    <t xml:space="preserve">industrial material commodities </t>
  </si>
  <si>
    <t>3 major industrial material commodities: alu, cement, paper</t>
  </si>
  <si>
    <t>3 major industrial material materials and their precursor products: alu, cement, paper</t>
  </si>
  <si>
    <t>This dataset contains the process yield factors given for the global-level best available technology desription, in terms of demand of raw material per ton of material produced. Values for the 2018 global average from the Follow-ETSAP project.</t>
  </si>
  <si>
    <t>raw material; scrap; BAT; thermodynamic limit; production; aluminium; cement; paper; ETSAP; process yield;</t>
  </si>
  <si>
    <t>This dataset contains the process yield factors given for the global-level best available technology desription.</t>
  </si>
  <si>
    <t>Value(m,g,p,t,r,S)</t>
  </si>
  <si>
    <t>The ratio of inflow of aluminium scrap into production of aluminium in aluminium recycling (remelting), incl. scrap preparation in 2018 in Global for technology scenario best available technology (BAT) is 1.07 ton per ton.</t>
  </si>
  <si>
    <t>The ratio of inflow of [Aspect 1] into production of [Aspect 2] in [Aspect 3] in [Aspect 4] in [Aspect 5] for technology scenario [Aspect 6] is [Value].</t>
  </si>
  <si>
    <t>Andelka KEREKES</t>
  </si>
  <si>
    <t>https://zenodo.org/records/17540911</t>
  </si>
  <si>
    <t>Data extracted from data file (xlsx) from Zenodo repository</t>
  </si>
  <si>
    <t>https://doi.org/10.1038/s41597-025-06206-y</t>
  </si>
  <si>
    <t>Data extracted directly from tables in 01 Specific energy demand_minimal.xlsx and reformatted to IEDC Excel spreadsheet</t>
  </si>
  <si>
    <t>4_SHR_Industrial_Energy_Demand_Materials_per_ton_Follow-ETSAP_KEREKES_2025</t>
  </si>
  <si>
    <t>12 manufacturing processes (for steel, alu, copper, lime, cement, …) with sub-technologies for some materials</t>
  </si>
  <si>
    <t xml:space="preserve">12 major industrial material commodities (steel, alu, copper, lime, cement, paper, ammonia…) </t>
  </si>
  <si>
    <t>This dataset contains the global-level best available technology desription and thermodynamic limits for final energy demand per ton of material produced. Values for the 2018 global average from the Follow-ETSAP project.</t>
  </si>
  <si>
    <t>final energy demand; BAT; thermodynamic limit; production; steel; aluminium; copper; lime; cement; paper; ammonia; glass; clorine; methanol; ETSAP;</t>
  </si>
  <si>
    <t>This dataset contains the global-level best available technology desription and thermodynamic limits. The Zenodo repository also contains 16 TIAM-region specific production volumes and the resulting total final energy demand in PJ/yr.</t>
  </si>
  <si>
    <t>Value(n,L,g,p,t,r,S)</t>
  </si>
  <si>
    <t>The ratio of inflow of natural gas as process feedstock into production of ammonia in Haber-Bosch process, gas-based in 2018 in Gobal for technology scenario BAT is 21 GJ/ton.</t>
  </si>
  <si>
    <t>The ratio of inflow of [Aspect 1] as [Layer/Aspect 2] into production of [Aspect 3] in [Aspect 4] in [Aspect 5] in [Aspect 6] for technology scenario [Aspect 7] is [Value].</t>
  </si>
  <si>
    <t>6_IMI_Energy_Savings_Potentials_Sufficiency_Measures_Germany_2050_EnSu_Project_ZELL_ZIEGLER_2025</t>
  </si>
  <si>
    <t>five different sectors: buildings, transport, appliances, industry, and agriculture/food processing</t>
  </si>
  <si>
    <t>energy</t>
  </si>
  <si>
    <t>different final and primary energy carriers</t>
  </si>
  <si>
    <t>country-wide aggregate</t>
  </si>
  <si>
    <t>ca. 2010 till 2050</t>
  </si>
  <si>
    <t>different time ranges for each reported measure</t>
  </si>
  <si>
    <t>Annual savings (reported and theoretical potenital) from different energy sufficienty measures in Germany, as compiled by the EnSu project team and published in 2025. Values refer to the change in energy used between base year and target year (indicated by time range in time aspect).</t>
  </si>
  <si>
    <t>sufficiency; final energy; Germany; energy demand; potential; decoupling; buildings; transport; appliances; industry; nutrition;</t>
  </si>
  <si>
    <t>Original datasheet "DB_converted" in Zenodo file "Published January 31, 2025 | Version v1" contains 302 reported values. Only those 157 that report an energy savings potential were extracted. Labels were adjusted to match IEDC classifications. Additional information was moved to the comment for each data point. See the original data file for the sources of each data point.</t>
  </si>
  <si>
    <t>Value(I,n,v,p,r,t,L)</t>
  </si>
  <si>
    <t>energy savings potential of fossil energy carriers for 130 km/h speed limit on federal motorways applied to transport in Germany in 2020 measured as theoretical potential is 5.621 TWh/yr.</t>
  </si>
  <si>
    <t>[Aspect 1] of [Aspect 2] for [Aspect 3] applied to [Aspect 4] in [Aspect 5] in [Aspect 6] measured as [Aspect 7] is [Value].</t>
  </si>
  <si>
    <t>Carina ZELL-ZIEGLER</t>
  </si>
  <si>
    <t>https://zenodo.org/records/14779100</t>
  </si>
  <si>
    <t>Zell-Ziegler, C., Burghardt, C., Dünzen, K., Schöpf, D., Kurwan, J., Best, B., Schäfer, M., &amp; Wiese, F. (2025). Sufficiency Potential Database [Data set]. Zenodo. https://doi.org/10.5281/zenodo.14779100</t>
  </si>
  <si>
    <t>Data copied from original table "DB_converted" into IEDC template. Labels were adjusted to match IEDC classifications.</t>
  </si>
  <si>
    <t>6_PCF_DLS_by_Service_all_Countries_VELEZ_2026</t>
  </si>
  <si>
    <t>major goods and services needed for decent living</t>
  </si>
  <si>
    <t>9 service categories (shelter, public, hygiene, education, communication, mobility, …) and 13 product groups</t>
  </si>
  <si>
    <t>176 individual countries</t>
  </si>
  <si>
    <t>2020-204</t>
  </si>
  <si>
    <t>single scenario for the entire time period</t>
  </si>
  <si>
    <t>Country-level average annual per capita final consumption levels for providing a person with a decent living standard, by basic service category, as proposed by Vélez et al. (2026).</t>
  </si>
  <si>
    <t>per capita; DLS; decent living standard; country; shelter; nutrition; mobility; education; healthcare; well-being; service provision; final demand;</t>
  </si>
  <si>
    <t>Data cover service flows to people. Operational flows of final energy to generate the services (driving, thermal comfort) come in addition and are reported in the original supplementary file.</t>
  </si>
  <si>
    <t>Value(E,V,g,S,t,r)</t>
  </si>
  <si>
    <t>Annual average per capita flows for providing decent living standard in service category communication with commodity mobile phone in 2020-2040 in Brazil for scenario baseline is 0.34147 1/yr.</t>
  </si>
  <si>
    <t>Annual average [Data type] for providing [Aspect 1] in service category [Aspect 2] with commodity [Aspect 3] in [Aspect 5] in [Aspect 6] for scenario [Aspect 4] is [Value].</t>
  </si>
  <si>
    <t>SOUVERAEN_Input_Database</t>
  </si>
  <si>
    <t>SOUVERAEN data collection effort on energy transition technologies; material demand; critical materials; EU supply chains; CE potentials</t>
  </si>
  <si>
    <t>SOUVERAEN; criticality; supply risk; technology metals; mining; production; solar; wind; battery; electrolyser;</t>
  </si>
  <si>
    <t>various data providers, see the individual datasets</t>
  </si>
  <si>
    <t>This group comprises a number of datasets that were collected from various sources as input data to the SOUVERAEN project.</t>
  </si>
  <si>
    <t>SOUVERAEN_Scenario_Model_Database</t>
  </si>
  <si>
    <t>SOUVERAEN_Results</t>
  </si>
  <si>
    <t>SOUVERAEN model input and scenario settings for the material layer, material cycles, and supply chains of the future EU energy system</t>
  </si>
  <si>
    <t>SOUVERAEN model results for the material layer, material cycles, and supply chains of the future EU energy system</t>
  </si>
  <si>
    <t>Material_properties_constants</t>
  </si>
  <si>
    <t>intensive properties of materials and energy carriers</t>
  </si>
  <si>
    <t>Collection of general physical and chemical properties of materials and energy carriers, such as energy density, carbon content, heating value, formation enthalpy, etc.</t>
  </si>
  <si>
    <t>material properties; alloy composition; carbon content; heating value; energy density;</t>
  </si>
  <si>
    <t>iTEM_Open_Transport_Data_Historic</t>
  </si>
  <si>
    <t>ca. 1970-2024</t>
  </si>
  <si>
    <t>single year values, historic data til 2024</t>
  </si>
  <si>
    <t>transport; energy; vehicles; service; emissions; statistics;</t>
  </si>
  <si>
    <t>6_MIP_Calorific_Value_Heating_Value_Major_Fuels_Engineering_Toolbox_2026</t>
  </si>
  <si>
    <t>all major energy carriers (liquid, solid, gaseous)</t>
  </si>
  <si>
    <t>ca. 45 different energy carriers</t>
  </si>
  <si>
    <t>none (universal values)</t>
  </si>
  <si>
    <t>List of higher and lower calorific values (heating values) for fuels like coke, oil, wood, hydrogen and others</t>
  </si>
  <si>
    <t xml:space="preserve">higher heating value; lower heating value; calorific value; energy content; fuel; coal; oil; </t>
  </si>
  <si>
    <t>For other units, esp per litre and per m³, see https://www.engineeringtoolbox.com/fuels-higher-calorific-values-d_169.html. Some fuels consist of a mixture of several different compounds and may vary in quality between seasons and markets. The given values are for fuels with the given density. The variation in quality may give heating values within a range 5 -10% higher and lower than the given value. Also the solid fuels will have a similar quality variation for the different classes of fuel.</t>
  </si>
  <si>
    <t>Value(n,E)</t>
  </si>
  <si>
    <t>lower heating value (LHV) of diesel is 42.6 MJ/kg.</t>
  </si>
  <si>
    <t>The Engineering ToolBox</t>
  </si>
  <si>
    <t>https://www.engineeringtoolbox.com/fuels-higher-calorific-values-d_169.html</t>
  </si>
  <si>
    <t>Table on website, static</t>
  </si>
  <si>
    <t>The Engineering ToolBox (2003). Higher Calorific Values of Common Fuels: Reference &amp; Data. [online] Available at: https://www.engineeringtoolbox.com/fuels-higher-calorific-values-d_169.html [Accessed 2026-02-16]</t>
  </si>
  <si>
    <t>6_MIP_CAPEX_Industrial_Assets_POSTED_Database_VERPOORT_2026</t>
  </si>
  <si>
    <t>v0.4.0 of Jan 5th, 2026</t>
  </si>
  <si>
    <t>monetary (basic prices)</t>
  </si>
  <si>
    <t>use phase (industry)</t>
  </si>
  <si>
    <t>industrial assets for material production: steel, cement, chemicals</t>
  </si>
  <si>
    <t>25 material production technologies with sub-technologies for some</t>
  </si>
  <si>
    <t>2013-2050</t>
  </si>
  <si>
    <t>single-year values for recent years (depending on source) and scenarios</t>
  </si>
  <si>
    <t>CAPEX per unit of output of 25 different industrial assets for material production: steel, cement, chemicals, extracted from the POSTED v0.4.0 database compiled by Philipp Verpoort and available on Zenodo: https://zenodo.org/records/10640888  OPEX values are available in original database as well.</t>
  </si>
  <si>
    <t>CAPEX; capital costs; POSTED; industry; material production; steel; direct air capture; cement; methanol; urea;</t>
  </si>
  <si>
    <t>This is the CAPEX dataset extracted from all data files. OPEX values are available in original database as well.</t>
  </si>
  <si>
    <t>Value(E,k,g,p,F,c,r)</t>
  </si>
  <si>
    <t>CAPEX per output capacity for entire device of industrial assets for direct air capture (DAC) in direct air capture, high temperature (HT_DAC) measured as per unit of captured CO2 built in 2019 in Global is 675 million USD (2016) per Mt/yr.</t>
  </si>
  <si>
    <t>[Aspect 1] for [Aspect 2] of [Aspect 3] in [Aspect 4] measured as per unit of [Aspect 5] built in [Aspect 6] in [Aspect 7] is [Value].</t>
  </si>
  <si>
    <t>MIT License</t>
  </si>
  <si>
    <t>https://zenodo.org/records/10640888</t>
  </si>
  <si>
    <t>csv files</t>
  </si>
  <si>
    <t>Verpoort, P. C., Bachorz, C., Dürrwächter, J., Effing, P., Gast, L., Hofmann, A., &amp; Ueckerdt, F. (2026). POSTED: Potsdam open-source techno-economic database (0.4.0). Zenodo. https://doi.org/10.5281/zenodo.18155305</t>
  </si>
  <si>
    <t>Individual datsets concatenated via Python-pandas and then quality-checked and manually copied to IEDC Excel template.</t>
  </si>
  <si>
    <t>3_LT_Industrial_Assets_POSTED_Database_VERPOORT_2026</t>
  </si>
  <si>
    <t>2013-2025</t>
  </si>
  <si>
    <t>Lifetime of 25 different industrial assets for material production: steel, cement, chemicals, extracted from the POSTED v0.4.0 database compiled by Philipp Verpoort and available on Zenodo: https://zenodo.org/records/10640888</t>
  </si>
  <si>
    <t>asset lifetime; POSTED; industry; material production; steel; direct air capture; cement; methanol; urea;</t>
  </si>
  <si>
    <t>Industrial assets for the chemical industry in Fischer-Tropsch synthesis in Global built in 2023 have lifetime of 25 yr.</t>
  </si>
  <si>
    <t>[Aspect 1] in [Aspect 2] in [Aspect 3] built in [Aspect 4] have [Layer] of [value].</t>
  </si>
  <si>
    <t>4_UPI_Industrial_Assets_Material_Production_POSTED_Database_VERPOORT_2026</t>
  </si>
  <si>
    <t>Unit process inventories of 25 different industrial assets for material production: steel, cement, chemicals, extracted from the POSTED v0.4.0 database compiled by Philipp Verpoort and available on Zenodo: https://zenodo.org/records/10640888  OPEX values are available in original database as well.</t>
  </si>
  <si>
    <t>process description; unit process; life cycle inventory; POSTED; industry; material production; steel; direct air capture; cement; methanol; urea;</t>
  </si>
  <si>
    <t>For many of the 25 industrial processes, information for more than one unit process inventory was available, so different reference products were defined, distinguished by age-cohort and by comment. UPIs are neither balance-checked (energy or materials) nor complete.</t>
  </si>
  <si>
    <t>Value(p,r,m,k,Y,c)</t>
  </si>
  <si>
    <t>Unit process flow of graphite, as electrode, flow type from technosphere (material) into entire plant of EAF for a technology built in Global in 2022 is 0.002 tons per unit of reference flow. EAF, fed with primary material (from iron ore). source in POSTED database and source detail: AgoraEnergiewende22, Abbildung 27 (Figure 27)</t>
  </si>
  <si>
    <t>Unit process flow of [Aspect 3], flow type [Aspect 5] into [Aspect 4] of [Aspect 1] for a technology built in [Aspect 2] in [Aspect 6] is [Value] per unit of reference flow. [Comment]</t>
  </si>
  <si>
    <t>3_IUP_Service_Passenger_km_per_Vehicle_LDV_Europe_iTEM_2024</t>
  </si>
  <si>
    <t>v11-09-2024</t>
  </si>
  <si>
    <t>aggregate commodity</t>
  </si>
  <si>
    <t>Europe, USA</t>
  </si>
  <si>
    <t>30 single country values</t>
  </si>
  <si>
    <t>1993-2017</t>
  </si>
  <si>
    <t>Annual passenger-km delivered by passenger vehicles (LDV) in different (mostly European) countries. From iTEM Open Data &amp; Harmonized Transport Database, variable "Passenger Activity" with unit "10^3 passenger-km / vehicle". Original source: "iTEM".</t>
  </si>
  <si>
    <t>passenger vehicles; LDV; passenger-km; passenger*km; passenger transport; annual kilometrage; transport service; activity; Europe;</t>
  </si>
  <si>
    <t>"0" means "no data". Only two values were reported for 2018, those were not inclued. Low values for Russia and Belarus as reported in the original database.</t>
  </si>
  <si>
    <t>Value(r,V,g,p,t)</t>
  </si>
  <si>
    <t>Intensity of use of products measured as service of passenger-km delivered by passenger vehicles in use phase - vehicles in Sweden in 1993 is 26528.3 pkm/yr.</t>
  </si>
  <si>
    <t>[Data type] measured as [Layer] of [Aspect 2] delivered by [Aspect 3] in [Aspect 4] in [Aspect 1] in [Aspect 5] is [Value].</t>
  </si>
  <si>
    <t>iTEM project team, Umberto LINERO</t>
  </si>
  <si>
    <t>https://zenodo.org/records/13749361</t>
  </si>
  <si>
    <t>Linero, H., Yeh, S., Kishimoto, P., Cazzola, P., Fulton, L., McCollum, D., Miller, J., Kyle, P., &amp; Pérez Bravo, M. (2024). The International Transport Energy Modeling (iTEM) Open Data &amp; Harmonized Transport Database (11-09-2024) [Data set]. Zenodo. https://doi.org/10.5281/zenodo.13749361</t>
  </si>
  <si>
    <t>Numbers extracted from main csv and converted to IEDC templates</t>
  </si>
  <si>
    <t>3_EI_Transport_Vehicles_Global_iTEM_2024</t>
  </si>
  <si>
    <t>5 different types of light duty vehicles (LDV), divided by drive technology</t>
  </si>
  <si>
    <t>2005-2022</t>
  </si>
  <si>
    <t>Average specific fuel consumption of vehicle driving, converted to l/100 km for all vehicle types. From iTEM Open Data &amp; Harmonized Transport Database, variable "Fuel economy" with unit "l/100km". Original source: "iTEM".</t>
  </si>
  <si>
    <t>passenger vehicles; LDV; fuel economy; specific energy consumption; passenger transport; annual kilometrage; transport service; activity;</t>
  </si>
  <si>
    <t>Only data for the iTEM dataset (Source = iTEM) were transferred. Data for the GFEI_2023-1.0 source were ignored, as for both sources, no age-cohort and no region information are given, limiting the information content.</t>
  </si>
  <si>
    <t>Value(I,n,V,g,c,p,r,t)</t>
  </si>
  <si>
    <t>Specific energy consumption of products measured as energy per product operation or fuel economy of all final energy carriers for providing driving by light duty vehicle of age-cohort all years in use phase - passenger vehicles in Global in 2013 is 11.14 l/100km.</t>
  </si>
  <si>
    <t>[Data type] measured as [Layer] or [Aspect 1] of [Aspect 2] for providing [Aspect 3] by [Aspect 4] of age-cohort [Aspect 5] in [Aspect 6] in [Aspect 7] in [Aspect 8] is [Value].</t>
  </si>
  <si>
    <t>1_F_Service_Passenger_Transport_Global_iTEM_2024</t>
  </si>
  <si>
    <t>LDV, busses, rail, airplanes, and aggregations thereof</t>
  </si>
  <si>
    <t>single country values</t>
  </si>
  <si>
    <t>1970-2022</t>
  </si>
  <si>
    <t>Annual passenger-km delivered by LDV, busses, rail, airplanes in all countries. From iTEM Open Data &amp; Harmonized Transport Database, variable "Passenger Activity" with unit "10^9 passenger-km / yr". Original sources: International Transport Forum and ATO2023</t>
  </si>
  <si>
    <t xml:space="preserve">rail; bus; aviation; cars; passenger vehicles; LDV; passenger-km; passenger*km; passenger transport; annual kilometrage; transport service; activity; </t>
  </si>
  <si>
    <t>This iTEM dataset contains refined data from two sources: International Transport Forum and ATO2023. Please check the original file for details.</t>
  </si>
  <si>
    <t>Value(r,V,t)</t>
  </si>
  <si>
    <t>Flow measured as service of passenger-km, road, all in Australia in 1970 is 104.2 billion passenger-km/yr.</t>
  </si>
  <si>
    <t>[Data type] measured as [Layer] of [Aspect 2] in [Aspect 1] in [Aspect 3] is [Value].</t>
  </si>
  <si>
    <t>1_F_Service_Freight_Transport_Global_iTEM_2024</t>
  </si>
  <si>
    <t>trains, trucks, ships, airplanes: six different transport modes plus aggregations</t>
  </si>
  <si>
    <t>Annual ton-km delivered by trains, trucks, ships, airplanes (six different transport modes in total) in all countries. From iTEM Open Data &amp; Harmonized Transport Database, variable "Freight Activity" with unit "10^9 tonne-km / yr". Original sources: International Transport Forum and ATO2023</t>
  </si>
  <si>
    <t>trains; trucks; ships; airplanes; ton-km; ton*km; freight transport; annual kilometrage; transport service; activity; pipelines; cargo;</t>
  </si>
  <si>
    <t>Flow measured as service of ton-km, shipping on inland waterways in China in 2015 is 3753.65 billion ton-km/yr.</t>
  </si>
  <si>
    <t>2_IUS_Transport_Vehicles_Global_iTEM_2024</t>
  </si>
  <si>
    <t>43 different vehicle types, sizes, and drive technologies</t>
  </si>
  <si>
    <t>1990-2022</t>
  </si>
  <si>
    <t>In-use stock of different vehicle types, sizes, and drive technologies, mostly passenger, some freight vehiles, in all countries. From iTEM Open Data &amp; Harmonized Transport Database, variable "Stock" with unit "10^6 vehicle". Original sources: International Organization of Motor Vehicle Manufacturers, United Nations Economic Commission for Europe, ATO2023, iTEM, and GFEI_2023-1.0.</t>
  </si>
  <si>
    <t>in-use stock; stock; fleet size; registered vehicles; cars; passenger vehicles; commercial vehicles; transport; transport service; use phase;</t>
  </si>
  <si>
    <t>This iTEM dataset contains refined data from the following sources: International Organization of Motor Vehicle Manufacturers, United Nations Economic Commission for Europe, ATO2023, iTEM, and GFEI_2023-1.0. Please check the original file for details.</t>
  </si>
  <si>
    <t>Value(g,c,p,r,t)</t>
  </si>
  <si>
    <t>In-use stock measured as unit of bus of age-cohort all years in use phase - passenger vehicles in the Philippines in 2019 is 2.32783 million.</t>
  </si>
  <si>
    <t>[Data type] measured as [Layer] of [Aspect 1] of age-cohort [Aspect 2] in [Aspect 3] in [Aspect 4] in [Aspect 5] is [Value].</t>
  </si>
  <si>
    <t>6_MIP_Gini_Household_Final_Energy_by_Consumption_Category_China_Provinces_ZHANG_2022</t>
  </si>
  <si>
    <t>23 service/product groups</t>
  </si>
  <si>
    <t>Province-level values</t>
  </si>
  <si>
    <t>2012-2015-2017</t>
  </si>
  <si>
    <t>The numbers represent Gini coefficients of Chinese urban households' final energy footprints by consumption group across the economy in 2012, 2015, and 2017, by province, as published by Zhang et al (2022).</t>
  </si>
  <si>
    <t>Gini coefficient; Gini index; inequality; final energy; services; households; China</t>
  </si>
  <si>
    <t>Numbers extracted from Fig. 5 of the paper pdf</t>
  </si>
  <si>
    <t>Value(E,I,B,g,p,r,u,t)</t>
  </si>
  <si>
    <t>Gini index of final energy footprint of all final energy carriers for providing communication across/to households, urban in China in Anhui province in 2012 is 0.2649.</t>
  </si>
  <si>
    <t>[Aspect 1] of [Aspect 2] of [Aspect 3] for providing [Aspect 4] across/to [Aspect 5] in [Aspect 6] in [Aspect 7] province in [Aspect 8] is [Value].</t>
  </si>
  <si>
    <t>Mingming ZHANG</t>
  </si>
  <si>
    <t>https://doi.org/10.1016/j.enpol.2022.113326</t>
  </si>
  <si>
    <t>Tolga Kayabaşı</t>
  </si>
  <si>
    <t>Numbers extracted from paper pdf with as script and manually copied and reformatted from original source to IEDC Excel template</t>
  </si>
  <si>
    <t>6_MIP_Gini_Household_Final_Energy_Total_China_Provinces_ZHANG_2022</t>
  </si>
  <si>
    <t>The numbers represent Gini coefficients of Chinese urban households' final energy footprints across the economy in 2012, 2015, and 2017, by province, as published by Zhang et al (2022).</t>
  </si>
  <si>
    <t>Numbers extracted from Fig. 4 in the paper.</t>
  </si>
  <si>
    <t>Value(E,I,g,V,p,r,u,t)</t>
  </si>
  <si>
    <t>Gini index of final energy footprint of all final energy carriers for providing all goods and services across/to households, urban in China in Heilongjiang province in 2017 is 0.2.</t>
  </si>
  <si>
    <t>Correspondence_tables</t>
  </si>
  <si>
    <t>correspondence tables</t>
  </si>
  <si>
    <t>Collection of concordance or correspondence tables for various classifications</t>
  </si>
  <si>
    <t>correspondence table; classification; concordance table</t>
  </si>
  <si>
    <t>many different contributors see the individual correspondences</t>
  </si>
  <si>
    <t>different authors and data suppliers, see the individual datasets</t>
  </si>
  <si>
    <t>Input-output_data</t>
  </si>
  <si>
    <t>monetary, physical</t>
  </si>
  <si>
    <t>industry-wide</t>
  </si>
  <si>
    <t>ca. 1970-2030</t>
  </si>
  <si>
    <t>MRIO; IO; input-output table; supply and use table; SUT; final demand</t>
  </si>
  <si>
    <t>Collection of sample IO tables and related data, such as extension tables and final demand. Note: Used for demonstration purposes only to show compatibility between the MRIO and IEDC data models. MRIO and other IO data are not within the scope of the IEDC, as there is good data infrastructure for IO tables already.</t>
  </si>
  <si>
    <t>Used for demonstration purposes only to show compatibility between the MRIO and IEDC data models. MRIO and other IO data are not within the scope of the IEDC, as there is good data infrastructure for IO tables already.</t>
  </si>
  <si>
    <t>Future Forests</t>
  </si>
  <si>
    <t>https://uni-freiburg.de/futureforests-en/</t>
  </si>
  <si>
    <t>wood; timber; sawmill; buildings; MFA; dynamic material flow analysis; material cycles; cascade</t>
  </si>
  <si>
    <t>The Future Forests Excellence Cluster analyses and develops transformation pathways for forest-based socio-ecological systems. This research will provide the basis for more adaptive forest systems and more sustainable transformation pathways than in the past. Industrial ecology research on future wood use in a cascade of different applications is part of the cluster, and the related data collection is documented in the IEDC.</t>
  </si>
  <si>
    <t>Industrial ecology research on future wood use in a cascade of different applications is part of the cluster, and the related data collection is documented in the IEDC.</t>
  </si>
  <si>
    <t>wood_MFA_Europe</t>
  </si>
  <si>
    <t>flows and stocks</t>
  </si>
  <si>
    <t>intensive product and process properties</t>
  </si>
  <si>
    <t>wood_processing_use_Europe</t>
  </si>
  <si>
    <t>process inventories, product material compositions and lifetimes</t>
  </si>
  <si>
    <t>wood, wood products, and wood waste</t>
  </si>
  <si>
    <t>Europe, with focus on central Europe and Germany</t>
  </si>
  <si>
    <t>Collection of wood-related MFA results for Europe and Germany, compiled by industrial ecology research on future wood use in a cascade of different applications.</t>
  </si>
  <si>
    <t>Collection of wood-related product descriptions and process inventories for Europe and Germany, compiled by industrial ecology research on future wood use in a cascade of different applications.</t>
  </si>
  <si>
    <t>wood; timber; sawmill; buildings; process inventory; material cycles; cascade</t>
  </si>
  <si>
    <t>1_F_electrolyzers_new_capacity_IEA_Hydrogen_Database</t>
  </si>
  <si>
    <t>v2025</t>
  </si>
  <si>
    <t>secondary energy</t>
  </si>
  <si>
    <t>electrolyzers</t>
  </si>
  <si>
    <t>AEL, PEMEL, SOEL, AEMEL</t>
  </si>
  <si>
    <t>EU+UK+EFTA</t>
  </si>
  <si>
    <t>single countries</t>
  </si>
  <si>
    <t>1992 to 2025</t>
  </si>
  <si>
    <t>Additions to capacity (inflow into use phase) (in MW) for different water electrolyzer technologies, by EU single country and by project, which are still in operation in year 2025.</t>
  </si>
  <si>
    <t>addition; new installation; capacity; electrolyzer; hydrogen</t>
  </si>
  <si>
    <t>Only those projects that were still in operation in 2025 are listed in this dataset. The values indicate the electrolyser capacity in terms of electricity consumption (connected wattage, secondary energy input) required to operate the electrolyzer at nominal capacity to produce hydrogen.</t>
  </si>
  <si>
    <t>Value(o,d,g,Y,r,c,z)</t>
  </si>
  <si>
    <t>Flow of electrolyzer of type alkaline electrolyzers (AEL) flowing from market for manufactured goods and components to use phase in Norway in 2017 owned by ASKO Midt-Norge measured as secondary energy has 0.7 MW.</t>
  </si>
  <si>
    <t>[Data type] of [Aspect 3] of type [Aspect 4] flowing from [Aspect 1] to [Aspect 2] in [Aspect 5] in [Aspect 6] owned by [Aspect 7] measured as [Layer] has [value].</t>
  </si>
  <si>
    <t>IEA</t>
  </si>
  <si>
    <t>https://www.iea.org/data-and-statistics/data-product/hydrogen-production-and-infrastructure-projects-database#data-sets</t>
  </si>
  <si>
    <t>IEA (2025): Hydrogen Production and Infrastructure Projects Database / Global Hydrogen Review 2025</t>
  </si>
  <si>
    <t>Numbers manually copied to the IEDC template and changed to IEDC data model</t>
  </si>
  <si>
    <t>2_IUS_electrolyzers_IEA_Hydrogen_Database</t>
  </si>
  <si>
    <t>Electrolyzers</t>
  </si>
  <si>
    <t>Single countries</t>
  </si>
  <si>
    <t>Annual value</t>
  </si>
  <si>
    <t>Installed capacity (in MW) for different water electrolyzer technologies, by EU single country</t>
  </si>
  <si>
    <t>in-use stock, capacity; electrolyzer; EU; Europe; hydrogen</t>
  </si>
  <si>
    <t>The values indicate the electrolyser capacity in terms of electricity consumption (connected wattage, secondary energy input) required to operate the electrolyzer at nominal capacity to produce hydrogen. The date of measurement is September 2025. Only those plants are included that actually were in operation, so no projects labeled as final investment decision or under construction are included here.</t>
  </si>
  <si>
    <t>Value(p,g,Y,r,t)</t>
  </si>
  <si>
    <t>In-use stock of electrolyzers of type alkaline electrolyzers (AEL) in use phase in Norway in 2025 measured as secondary energy was 15.31 MW.</t>
  </si>
  <si>
    <t>[Data type] of [Aspect 2] of type [Aspect 3] in [Aspect 1] in [Aspect 4] in [Aspect 5] measured as [Layer] has [value].</t>
  </si>
  <si>
    <t>April 2026 update</t>
  </si>
  <si>
    <t>buildings, infrastructure, and vehicles data</t>
  </si>
  <si>
    <t>mass, size, lifetime</t>
  </si>
  <si>
    <t>ca. 1970-2100</t>
  </si>
  <si>
    <t>buildings; vehicles; infrastructure; stock; flows; demand-side solutions; sufficiency; provisioning systems</t>
  </si>
  <si>
    <t>All materials</t>
  </si>
  <si>
    <t>Decent_Living_Standards_General</t>
  </si>
  <si>
    <t>in-use stocks; flows; footprints</t>
  </si>
  <si>
    <t>This datagroup bundles several datasets from different publications on decent living standards (DLS). Compilation of datasets from different sources.</t>
  </si>
  <si>
    <t>This datagroup bundles several datasets from smaller research projects and publications from the EDITS network. Compilation of datasets from different sources.</t>
  </si>
  <si>
    <t>Yayla_et_al_2025_Fig_1_41893_2025_1605_Fig1_HTML.webp</t>
  </si>
  <si>
    <t>Wood_Flows_Sankey_Global_Yayla_et_al_2025</t>
  </si>
  <si>
    <t>in-use stocks; flows</t>
  </si>
  <si>
    <t>major processing steps of the wood/timber cycle</t>
  </si>
  <si>
    <t>all major wood products</t>
  </si>
  <si>
    <t>ca. 12 world regions</t>
  </si>
  <si>
    <t>2021-2100</t>
  </si>
  <si>
    <t>Datasets from Yayla et al. (2025): Global wood harvest is sufficient for climate-friendly transitions to timber cities</t>
  </si>
  <si>
    <t>wood; Sankey; timber; global; scenario analysis;</t>
  </si>
  <si>
    <t>https://doi.org/10.1038/s41893-025-01605-w</t>
  </si>
  <si>
    <t>Alperen YAYLA</t>
  </si>
  <si>
    <t>EDITS buildings, infrastructure, and vehicles data</t>
  </si>
  <si>
    <t>Wood_processing_use_Europe_Future_Forests_compilation</t>
  </si>
  <si>
    <t>Wood_MFA_Europe_Future_Forests_compilation</t>
  </si>
  <si>
    <t>2_IUS_passenger_cars_Germany_sufficiency_scenarios_ARNZ_2024</t>
  </si>
  <si>
    <t>passenger cars</t>
  </si>
  <si>
    <t>3 different drive technologies</t>
  </si>
  <si>
    <t>2020-2040</t>
  </si>
  <si>
    <t>single-year values</t>
  </si>
  <si>
    <t>Sufficiency scenarios (avoid, shift, improve and combinations thereof) for the German passenger vehicle fleet, from Arnz et al. (2024), reported as publication under the EDITS project at IIASA.</t>
  </si>
  <si>
    <t>in-use stock; passenger cars; passenger vehicles; PKW; Germany; scenario; sufficiency; ASI; avoid; shift; improve; EDITS;</t>
  </si>
  <si>
    <t>Dataset reports vehicle stocks that meet scenario figures (assumptions: progressive BEV adoption curves, linear PHEV adoption curves, considering the maximum number of cars sold per year depending on lifetime, linear vehicle ownership development, 2020 values from "Verkehr in Zahlen 2021")</t>
  </si>
  <si>
    <t>Value(p,r,t,S,g)</t>
  </si>
  <si>
    <t>In-use stock of passenger vehicle, battery-electric in use phase - passenger vehicles in Germany in 2023 for baseline scenario measured as unit has value 329117.9.</t>
  </si>
  <si>
    <t>[Data type] of [Aspect 5] in [Aspect 1] in [Aspect 2] in [Aspect3] for [Aspect 4] scenario measured as [Layer] is [Value].</t>
  </si>
  <si>
    <t>Marlin ARNZ</t>
  </si>
  <si>
    <t>https://doi.org/10.1016/j.esr.2024.101302</t>
  </si>
  <si>
    <t>August 2026 update</t>
  </si>
  <si>
    <t>2_IUS_Appliances_Global_South_Decent_Living_Standards_Gap_2050_BENTO_2023</t>
  </si>
  <si>
    <t>ten major appliances, required for decent living</t>
  </si>
  <si>
    <t>Global South</t>
  </si>
  <si>
    <t>six aggregate regions</t>
  </si>
  <si>
    <t>single-year value, scenario for decent living standards provision</t>
  </si>
  <si>
    <t>in-use stock; consumer goods; appliances; DLS gap; decent living standards; digital convergence; Global South; EDITS</t>
  </si>
  <si>
    <t>Value(p,g,r,t,S)</t>
  </si>
  <si>
    <t>[Data type] of [Aspect 2] in [Aspect 1] in [Aspect 3] for [Aspect 4] for scenario [Aspect 5] measured as [Layer] has [value].</t>
  </si>
  <si>
    <t>Nuno BENTO</t>
  </si>
  <si>
    <t>DOI 10.1088/1748-9326/ad067e</t>
  </si>
  <si>
    <t>6_MIP_EROI_Energy_Return_on_Investment_Forest_Biomass_COLLA_2024</t>
  </si>
  <si>
    <t>one aggregate process (product systems)</t>
  </si>
  <si>
    <t>forest biomass</t>
  </si>
  <si>
    <t>ca. 30 different forest fuelwood types</t>
  </si>
  <si>
    <t>Single country/region values</t>
  </si>
  <si>
    <t>ca. 2015-2020</t>
  </si>
  <si>
    <t>representative values for time range</t>
  </si>
  <si>
    <t>The numbers represent the Energy return on investment (EROI) for providing forest biomass as bioenergy source, estimated by Colla et al. (2024).</t>
  </si>
  <si>
    <t>Energy return on investment; EROI; wood pellet; roundwood; wood chips; sawmill; wood residue; hardwood; softwood; wood; timer; fuelwood</t>
  </si>
  <si>
    <t>Value(E,g,p,r,t)</t>
  </si>
  <si>
    <t>Energy return on investment (EROI) for providing wood chips, from deciduous wood, slow growing from forests in Europe in ca. 2015 is 25.</t>
  </si>
  <si>
    <t>[Aspect 1] for providing [Aspect 2] from [Aspect 3] in [Aspect 4] in [Aspect 5] is [Value].</t>
  </si>
  <si>
    <t>Martin COLLA</t>
  </si>
  <si>
    <t>https://doi.org/10.1111/gcbb.13146</t>
  </si>
  <si>
    <t>3_IUP_by_Sector_CIRCOMOD_Model_Input_Scenario_Settings</t>
  </si>
  <si>
    <t>use phase - transport</t>
  </si>
  <si>
    <t>8 different land transport modes</t>
  </si>
  <si>
    <t>14 global regions for cars - global aggregate for the other modes</t>
  </si>
  <si>
    <t>single year baseline and scenario values for 2020 and 2060</t>
  </si>
  <si>
    <t>Current (2020) and future (2060) vehicle occupancy rate and annual vehicle kilometrage for transport (scenarios), for 14 world regions, extracted from the consolidated CIRCOMOD input dataset to drive the different models</t>
  </si>
  <si>
    <t>per capita service; future scenario; passenger transport; freight transport; use phase; social metabolism; provisioning systems; 2060; scenario analysis; vehicle occupancy rate; annual vehicle kilometrage;</t>
  </si>
  <si>
    <t>Data extracted from the consolidated CIRCOMOD input dataset to drive the different models</t>
  </si>
  <si>
    <t>Value(V,L,p,r,t,S,v)</t>
  </si>
  <si>
    <t>Intensity of use of products for passenger transport, busses from use phase - vehicles, measured as vehicle occupancy rate in Global in 2020 for scenario baseline for strategy none is 27 persons, with min-max range of [20,33.6].</t>
  </si>
  <si>
    <t>[Data type] for [Aspect 1] from [Aspect 3], measured as [Aspect 2] in [Aspect 4] in [Aspect 5] for scenario [Aspect 6] for strategy [Aspect 7] is [Value].</t>
  </si>
  <si>
    <t>https://circomod.eu/wp-content/uploads/2025/10/D3.1_Circomod.pdf</t>
  </si>
  <si>
    <t>Data extracted from xlsx dataset compiled for this report and converted to LIST format</t>
  </si>
  <si>
    <t>Numbers manually copied from original source (xlsx) and reformatted to Excel spreadsheet template</t>
  </si>
  <si>
    <t>4_SHR_R_strategies_Material_Cycles_CIRCOMOD_Model_Input_Scenario_Settings</t>
  </si>
  <si>
    <t>Market share</t>
  </si>
  <si>
    <t>markets for final products and commodities</t>
  </si>
  <si>
    <t>four markets for service-providing commodities: residential, non-residential, passenger transport, freight transport</t>
  </si>
  <si>
    <t>four service-providing commodities: residential, non-residential, passenger transport, freight transport</t>
  </si>
  <si>
    <t>13 global regions</t>
  </si>
  <si>
    <t>single year baseline and scenario values for 2020, 2060, and 2100</t>
  </si>
  <si>
    <t>Per capita current (2020) and future (2060/2100) market shares for lightweight and material-substituted buildings and vehicles, as well as transport modal shifts, for 13 world regions, extracted from the consolidated CIRCOMOD input dataset to drive the different models</t>
  </si>
  <si>
    <t>market share; lightweight buildings; material substitution; lightweight vehicles; future scenario; buildings; passenger transport; freight transport; 2100; 2060; scenario analysis; modal shift;</t>
  </si>
  <si>
    <t>Market share related to passenger transport, all modes measured as market share - % of passenger*km shifted to different transport mode for basis markets for final products and commodities in Global in 2060 for scenario narrow (circular economy) for strategy R2a: modal shift from passenger car to bus is 6%.</t>
  </si>
  <si>
    <t>[Layer] related to [Aspect 1] measured as [Aspect 2] for basis [Aspect 3] in [Aspect 4] in [Aspect 5] for scenario [Aspect 6] for strategy [Aspect 7] is [Value].</t>
  </si>
  <si>
    <t>6_PCF_Service_by_Sector_CIRCOMOD_Model_Input_Scenario_Settings</t>
  </si>
  <si>
    <t>four service-providing sectors: residential, non-residential, passenger transport, freight transport</t>
  </si>
  <si>
    <t>Per capita current (2020) and future (2060) service demand for buildings and transport (scenarios), for 13 world regions, extracted from the consolidated CIRCOMOD input dataset to drive the different models</t>
  </si>
  <si>
    <t>per capita service; future scenario; buildings; passenger transport; freight transport; use phase; social metabolism; provisioning systems; 2060; scenario analysis;</t>
  </si>
  <si>
    <t>Per capita flows of dwelling services measured as floorspace, useful floor area from use phase - residential buildings in Japan in 2060 for scenario narrow (circular economy) for strategy R2c/R2d is 41.905 m²*yr/yr.</t>
  </si>
  <si>
    <t>[Data type] of [Aspect 1] measured as [Aspect 2] from [Aspect 3] in [Aspect 4] in [Aspect 5] for scenario [Aspect 6] for strategy [Aspect 7] is [Value].</t>
  </si>
  <si>
    <t>Material props.</t>
  </si>
  <si>
    <t>CIMO</t>
  </si>
  <si>
    <t>DLS</t>
  </si>
  <si>
    <t>Sankey</t>
  </si>
  <si>
    <t>Other</t>
  </si>
  <si>
    <t>6_MIP_R_strategies_Material_Cycles_CIRCOMOD_Model_Input_Scenario_Settings</t>
  </si>
  <si>
    <t>misc. physical units</t>
  </si>
  <si>
    <t>3 aggregate process groups</t>
  </si>
  <si>
    <t>buildings, vehicles, infrastructure, electricity generation, appliances</t>
  </si>
  <si>
    <t>ca. 20 different end-use applications</t>
  </si>
  <si>
    <t>major materials</t>
  </si>
  <si>
    <t>10 major materials</t>
  </si>
  <si>
    <t>global aggregate/representative value for most, 13 global regions for some indicators</t>
  </si>
  <si>
    <t>2020-2060-2100</t>
  </si>
  <si>
    <t>Process and product coefficients for material efficiency strategies for current (2020) and future years (2060, 2100), including product lifetime extension, EoL recovery rates, re-use rates, and fabrication yield losses, extracted from the consolidated CIRCOMOD input dataset to drive the different models</t>
  </si>
  <si>
    <t>process coefficient; product coefficient; material efficiency strategy; circular economy; product lifetime extension; EoL recovery rate; re-use rate; fabrication yield loss; product lightweighting;</t>
  </si>
  <si>
    <t>Value(V,m,L,p,r,t,S,v)</t>
  </si>
  <si>
    <t>Mass reduction, change relative to base value for all materials providing electricity provision in use phase - electricity infrastructure, wind onshore in Global in 2060 for scenario narrow (circular economy) for strategy R2f is -20%.</t>
  </si>
  <si>
    <t>[Aspect 3] for [Aspect 2] providing [Aspect 1] in [Aspect 4] in [Aspect 5] in [Aspect 6] for scenario [Aspect 7] for strategy [Aspect 8] is [Value].</t>
  </si>
  <si>
    <t>3_LT_Infrastructure_Global_Wiedenhofer_2024</t>
  </si>
  <si>
    <t>infrastructure (road and rail)</t>
  </si>
  <si>
    <t>7 groups of infrastructure</t>
  </si>
  <si>
    <t>five major material groups</t>
  </si>
  <si>
    <t>globally representative value</t>
  </si>
  <si>
    <t>Useful lifetime for materials in components, for all major road and rail infrastructure types and materials, global estimate for all age-cohorts</t>
  </si>
  <si>
    <t>lifetime; material; component; infrastructure; rail; road; useful life;</t>
  </si>
  <si>
    <t>Value(m,k,g,p,r,c)</t>
  </si>
  <si>
    <t>Asphalt of age-cohort all years in base layer in road in use phase - infrastructure in Global has lifetime measured as lifetime of 29 years.</t>
  </si>
  <si>
    <t>[Aspect 1] of age-cohort [Aspect 6] in [Aspect 2] in [Aspect 3] in [Aspect 4] in [Aspect 5] has [Data type] measured as [Layer] of [Value].</t>
  </si>
  <si>
    <t>Dominik Wiedenhofer</t>
  </si>
  <si>
    <t>https://doi.org/10.1016/j.jclepro.2023.139742</t>
  </si>
  <si>
    <t>3_LT_Energy_Technologies_Schlichenmaier_Naegler_2022</t>
  </si>
  <si>
    <t>electricity generation, storage, and conversion devices</t>
  </si>
  <si>
    <t>19 different product groups</t>
  </si>
  <si>
    <t>Useful lifetime, in years of use phase residence, of electricity generation, storage, and conversion devices</t>
  </si>
  <si>
    <t>lifetime; useful life; electricity generation; power plant; battery; wind turbine; PV; photovoltaic; power station; electrolzyer; CSP;</t>
  </si>
  <si>
    <t>From Table 3 in pdf supplement 1. Mix of referenced values (see Table caption for original sources) and own assumptions.</t>
  </si>
  <si>
    <t>Lifetime of machinery for metallurgy in use phase - machinery in Global for all years measured as median hours of operation (while residing in use phase) is 102300 hr.</t>
  </si>
  <si>
    <t>[Data type] of [Aspect 1] in [Aspect 2] in [Aspect 3] for [Aspect 4] has [Value].</t>
  </si>
  <si>
    <t>Simon Schlichenmaier and Tobias Naegler</t>
  </si>
  <si>
    <t>https://doi.org/10.1016/j.egyr.2022.11.025</t>
  </si>
  <si>
    <t>table in pdf supplement</t>
  </si>
  <si>
    <t>3_LT_Machinery_Global_Arias_Castillo_2026</t>
  </si>
  <si>
    <t>10 groups of industrial machinery</t>
  </si>
  <si>
    <t>Useful lifetime, in years of use phase residence and median operating hours, of industrial machinery, global estimate for all age-cohorts</t>
  </si>
  <si>
    <t>lifetime; useful life; operating hours; machinery; industrial machinery; machines;</t>
  </si>
  <si>
    <t>Data converted from sheet "Table_3__copy_from_orig_manus" in xlsx supplement 1-s2.0-S266737892600043X-mmc2.xlsx</t>
  </si>
  <si>
    <t>Value(g,p,r,c,L)</t>
  </si>
  <si>
    <t>[Data type] of [Aspect 1] in [Aspect 2] in [Aspect 3] for [Aspect 4] measured as [Aspect 5] of [Value].</t>
  </si>
  <si>
    <t>Alejandro Arias-Castillo</t>
  </si>
  <si>
    <t>https://doi.org/10.1016/j.rcradv.2026.200354</t>
  </si>
  <si>
    <t>Matstocks</t>
  </si>
  <si>
    <t>3_MC_Infrastructure_per_area_Wiedenhofer_2024</t>
  </si>
  <si>
    <t>roads and rails of 19 different sub-types</t>
  </si>
  <si>
    <t>6 material groups, plus the total</t>
  </si>
  <si>
    <t>10 single country values, plus the global average</t>
  </si>
  <si>
    <t>single-year value, representative of all age-cohorts</t>
  </si>
  <si>
    <t>material composition (in t/m²) of 19 different types of road and rail infrastructure, for 10 single countries and the global average and six material groups. Compiled by Wiedenhofer and team.</t>
  </si>
  <si>
    <t>road; rail; infrastructure; material content; material composition; mass per area;</t>
  </si>
  <si>
    <t>Missing data at country level supplemented with global averages. For the data sources of the individual data points, please consult the supplementary table provided along with the publication, file name: 1-s2.0-S0959652623039008-mmc2.xlsx, sheet: "MI".</t>
  </si>
  <si>
    <t>Value(g,c,r,m)</t>
  </si>
  <si>
    <t>The mass per unit of asphalt in roads, local in Austria manufactured in all years is 0.13 t/m².</t>
  </si>
  <si>
    <t>[Layer] of [Aspect 4] in [Aspect 1] in [Aspect 3] manufactured in [Aspect 2] is [Value].</t>
  </si>
  <si>
    <t>2_IUS_Infrastructure_length_country_Wiedenhofer_2024</t>
  </si>
  <si>
    <t>Length</t>
  </si>
  <si>
    <t>roads and rails in 26 different sub-types</t>
  </si>
  <si>
    <t>187 single country values</t>
  </si>
  <si>
    <t>single-year value</t>
  </si>
  <si>
    <t>In-use stock, length in km, by infrastructure type and country, 2021</t>
  </si>
  <si>
    <t>in-use stock; road; rail; length; infrastructure; global</t>
  </si>
  <si>
    <t>Data for country code DHD removed as this is no official 3-letter country code. GAS changed to PSE (Palestine)</t>
  </si>
  <si>
    <t>In-use stock of motorway in use phase - infrastructure in Angola in 2021 measured as length is 121.281 km.</t>
  </si>
  <si>
    <t>[Data type] of [Aspect 4] in [Aspect 1] in [Aspect 2] in [Aspect3] measured as [Layer] is [Value].</t>
  </si>
  <si>
    <t>6_PCS_Infrastructure_Global_Wiedenhofer_2024</t>
  </si>
  <si>
    <t>In-use stock per capita, length and mass, for all road and rail infrastructure types and materials, country-level estimate, 2021</t>
  </si>
  <si>
    <t>in-use stock; material; infrastructure; global; length</t>
  </si>
  <si>
    <t>Value(p,g,L,t,r)</t>
  </si>
  <si>
    <t>Per capita stock measured as length of infrastructure, road and rail in use phase - infrastructure in Hungary in 2021 is 123.33m.</t>
  </si>
  <si>
    <t>[Data Type] measured as [Aspect 3] of [Aspect 2] in [Aspect 1] in [Aspect 4] in [Aspect 5] is [Value].</t>
  </si>
  <si>
    <t>2_IUS_Infrastructure_mass_Global_Wiedenhofer_2024</t>
  </si>
  <si>
    <t>roads and rails of different sub-types</t>
  </si>
  <si>
    <t>5 material groups</t>
  </si>
  <si>
    <t>In-use stock, mass, by infrastructure type and material, global estimate, 2021</t>
  </si>
  <si>
    <t>in-use stock; material; infrastructure; global</t>
  </si>
  <si>
    <t>Value(p,g,m,r,t)</t>
  </si>
  <si>
    <t>In-use stock of roads, tertiary for material all materials in use phase in Global in 2021 measured as mass was 33219735830 tons.</t>
  </si>
  <si>
    <t>[Data type] of [Aspect 2] for material [Aspect 3] in [Aspect 1] in [Aspect 4] in [Aspect 5] measured as [Layer] has [value].</t>
  </si>
  <si>
    <t>6_PCF_Service_Decent_Living_Standards_Global_VELEZ_2026_review</t>
  </si>
  <si>
    <t>seven service-providing sectors: residential, non-residential (4), passenger transport, food</t>
  </si>
  <si>
    <t>ca. 2020-2025</t>
  </si>
  <si>
    <t>representative value for the DLS threshold and estimate for the time period.</t>
  </si>
  <si>
    <t>Current (2020-2025) decent living standards (DLS) threshold and gaps (service not met) by region and service category. From the Vélez-Henao et al. (2026) DLS review, Fig. 2.</t>
  </si>
  <si>
    <t>per capita service; decent living standard; DLS; DLS gap; buildings; passenger transport; use phase; provisioning systems; food; poverty;</t>
  </si>
  <si>
    <t>From the Vélez-Henao et al. (2026) DLS review, Fig. 2, shared via the xlsx supplementary data file. For several services, multiple values exist for different countries, these were extracted from different sources. See the comment field for each data point.</t>
  </si>
  <si>
    <t>Value(V,p,L,r,t)</t>
  </si>
  <si>
    <t>Per capita flows of animal and plant based food provision measured as DLS threshold from manufacturing of food, beverages &amp; tobacco in Pakistan in 2020-2025 is 1997.57 kcal/day with comment: Original source (see paper for details): Velez-Henao,2025, scenario/assumption: default.</t>
  </si>
  <si>
    <t>[Data type] of [Aspect 1] measured as [Aspect 3] from [Aspect 2] in [Aspect 4] in [Aspect 5] is [Value] with [Comment].</t>
  </si>
  <si>
    <t>Johan VELEZ-HENAO</t>
  </si>
  <si>
    <t>https://doi.org/10.1146/annurev-environ-011226-035354</t>
  </si>
  <si>
    <t xml:space="preserve">xlsx supplement </t>
  </si>
  <si>
    <t>Numbers manually copied from original source (xlsx supplement) and reformatted to Excel spreadsheet template</t>
  </si>
  <si>
    <t>Numbers manually copied to the IEDC template in IEDC data model. For the data sources of each data point, check the SI of the publication, file name: 1-s2.0-S0959652623039008-mmc2.xlsx, sheet: "MI".</t>
  </si>
  <si>
    <t>6_IMI_MaterialFootprints_by_mineral_Decent_Living_Standards_all_Countries_VELEZ_2026</t>
  </si>
  <si>
    <t>all major raw materials/minerals</t>
  </si>
  <si>
    <t>ca. 100 different raw materials, minerals</t>
  </si>
  <si>
    <t>2020-2025</t>
  </si>
  <si>
    <t>one representative value for the reference time frame</t>
  </si>
  <si>
    <t>Per capita country-specific material footprint, by individual raw material/mineral, for providing decent living standards (DLS) to an average single person under current and efficient provisioning systems and technologies.</t>
  </si>
  <si>
    <t>material footprint; RMI; raw material; global supply chain; decent living standard; DLS;</t>
  </si>
  <si>
    <t>Per capita annual average level material footprint indicator (raw material input, RMI), from separate calculation (not part of paper supplement) to break down material footprints into individual raw materials/minerals.</t>
  </si>
  <si>
    <t>Value(I,V,S,t,r,m)</t>
  </si>
  <si>
    <t>Per capita annual raw material input (RMI), by raw material for copper for providing all DLS services in scenario current provisioning systems and technologies in Belize in 2020-2025 is 1.12 kg/yr.</t>
  </si>
  <si>
    <t>Per capita annual [Aspect 1] for [Aspect 5] for providing [Aspect 2] in scenario [Aspect 3] in [Aspect 4] in [Aspect 5] is [Value].</t>
  </si>
  <si>
    <t>Numbers transferred from original data files (supplementary .xlsx with additional results, not publicly available) to IEDC data insertion template (xlsx).</t>
  </si>
  <si>
    <t>6_PCF_Service_Decent_Living_Standards_Global_VELEZ_2026_review_cities</t>
  </si>
  <si>
    <t>major Global South cities, Switzerland</t>
  </si>
  <si>
    <t>Current (2020-2025) decent living standards (DLS) threshold and gaps (service not met) by region and service category for major Global South cities and Switzerland. From the Vélez-Henao et al. (2026) DLS review, Fig. 2.</t>
  </si>
  <si>
    <t>1_F_Wood_Flows_Sankey_Global_Yayla_et_al_2025_Fig_1</t>
  </si>
  <si>
    <t>Oven-dry mass</t>
  </si>
  <si>
    <t>major processing steps of the wood cycle</t>
  </si>
  <si>
    <t>about 50 process steps for harvesting, processing, manufacturing, use, and recycling</t>
  </si>
  <si>
    <t>all major wood products and all major applications (end-use goods) of wood</t>
  </si>
  <si>
    <t>about 15 wood products and about 12 applications (end-use goods)</t>
  </si>
  <si>
    <t>wood, timber, and wood and timber products</t>
  </si>
  <si>
    <t>about 15 major wood products</t>
  </si>
  <si>
    <t>Sankey flows of the global wood cycle for 2021 from harvesting to waste treatment including recycling, from YAYLA et al. (2025), Fig. 1</t>
  </si>
  <si>
    <t>MFA; wood; timber; global; wood products; Sankey; harvest; wooden products; cascading;</t>
  </si>
  <si>
    <t>Data copied from web app for interactive display of results and converted to IEDC templates. Correspond to the data shown in Fig. 1 in the paper.</t>
  </si>
  <si>
    <t>Value(r,t,o,d,g,L)</t>
  </si>
  <si>
    <t>Flow of plywood from plywood to wooden furniture production in Global in 2021 measured as mass, oven-dry is 19,66 Mt/yr.</t>
  </si>
  <si>
    <t>[Data type] of [Aspect 5] from [Aspect 3] to [Aspect 4] in [Aspect 1] in [Aspect 2] measured as [Aspect 6] is [Value].</t>
  </si>
  <si>
    <t>https://alperenyayla.github.io/globalwoodcycle/#iframeContainer</t>
  </si>
  <si>
    <t>Web app</t>
  </si>
  <si>
    <t>Data copied from web app for interactive display of results and converted to IEDC templates.</t>
  </si>
  <si>
    <t>change to Material cycle sysdef!</t>
  </si>
  <si>
    <t>2020 and 2050</t>
  </si>
  <si>
    <t>In-use stocks of consumer goods/appliances required for digital convergence and sharing of consumer goods to improve living conditions, base values for 2020 and  scenario values for the Global South for 2050. "Stocks/devices to fill the decent living standards gap".</t>
  </si>
  <si>
    <t>Data from the top part of figure 1: "Figure 1. Number of devices needed to ensure decent living standards (DLS) in 2050 by regions of the Global South, in millions." and for 2020. Numbers refer to the additional number of devices needed to ensure DLS (in millions).</t>
  </si>
  <si>
    <t>In-use stock of refrigerator in use phase - appliances in Sub-Saharan Africa for 2050 for scenario gap to meet provision of decent living standards (DLS) for all measured as unit is 151.05 million.</t>
  </si>
  <si>
    <t>figure in paper, raw data provided as xlxs</t>
  </si>
  <si>
    <t>Raw data provided as xlxs by authors, reformatted to IEDC template.</t>
  </si>
  <si>
    <t>3_LT_Teaspoons_Research_Institute_LIM_2005</t>
  </si>
  <si>
    <t>cutlery</t>
  </si>
  <si>
    <t>teaspoons</t>
  </si>
  <si>
    <t>Australia</t>
  </si>
  <si>
    <t>case study from a research institute in Melbourne</t>
  </si>
  <si>
    <t>Useful lifetime, measured as halflife in days, of teaspoons in an Australian research institute</t>
  </si>
  <si>
    <t>lifetime; useful life; halflife; teaspoon; office; cutlery; Australia; Melbourne; research institute;</t>
  </si>
  <si>
    <t>Results from a longitudinal observational study carried out at the Macfarlane Burnet Institute for Medical Research and Public Health in Melbourne, which employs about 140 people. There are eight tearooms; four of which are  predominantly used by the staff of a single programme—and four are communal.</t>
  </si>
  <si>
    <t>Lifetime of teaspoon in use phase - communal tearoom at research institute in Australia for 2004 measured as half life in use phase is 42 days.</t>
  </si>
  <si>
    <t>Megan C LIM</t>
  </si>
  <si>
    <t>https://doi.org/10.1136/bmj.331.7531.1498</t>
  </si>
  <si>
    <t>numbers reported in text</t>
  </si>
  <si>
    <t>BMJ 2005;331:1498</t>
  </si>
  <si>
    <t>3_MC_General_Alloys_WIKIPEDIA_2026</t>
  </si>
  <si>
    <t>general alloys and their chemical elements</t>
  </si>
  <si>
    <t>103 general alloys and their chemical elements</t>
  </si>
  <si>
    <t>Alloy composition table (wt%) for a comprehensive list of general alloys; from https://en.wikipedia.org/wiki/List_of_named_alloys  and other Wikipedia pages linked from there</t>
  </si>
  <si>
    <t>Wikipedia; alloy; material composition; chemical element;</t>
  </si>
  <si>
    <t>A detailed Claude (Sonnet 5) prompt was used to crawl the different websites and extract and reformat the numbers into the IEDC template in IEDC data model. The prompt is archived on the Zenodo archived upload template of this dataset. Claude used some averaging, so the values reported may reflect the typical range of composition based on the many examples provided in the material. Some nuances on the composition may therefore have been lost during the automatic conversion. The value of the main alloying element was adjusted so that the composition ads up to 100%, which may lead to deviations compared to the original sources. Composition ranges were reported as uncertainty range, and the arithmetic mean was used as the main value.</t>
  </si>
  <si>
    <t>Value(m,e)</t>
  </si>
  <si>
    <t>Material composition of Queen's metal for antimon is 8.333%.</t>
  </si>
  <si>
    <t>[Data type] of [Aspect 1] for [Aspect 2] is [Value].</t>
  </si>
  <si>
    <t>WIKIPEDIA</t>
  </si>
  <si>
    <t>https://en.wikipedia.org/wiki/List_of_named_alloys  and other Wikipedia pages linked from there</t>
  </si>
  <si>
    <t>text and tables on different websites</t>
  </si>
  <si>
    <t>https://en.wikipedia.org/wiki/List_of_named_alloys</t>
  </si>
  <si>
    <t xml:space="preserve">A detailed Claude (Sonnet 5) prompt was used to crawl the different websites and extract and reformat the numbers into the IEDC template in IEDC data model. </t>
  </si>
  <si>
    <t>3_MC_Aluminium_Alloys_All_Series_WIKIPEDIA_2026</t>
  </si>
  <si>
    <t>aluminium alloys (all series) and their chemical elements</t>
  </si>
  <si>
    <t>154 aluminium alloys (all series) and their chemical elements</t>
  </si>
  <si>
    <t>Aluminium alloy composition table (wt%) for a comprehensive list of Al alloys of all series; from https://en.wikipedia.org/wiki/Aluminium_alloy</t>
  </si>
  <si>
    <t>Wikipedia; alloy; material composition; chemical element; aluminium; 1000 series, 6000 series; aluminum; alu;</t>
  </si>
  <si>
    <t>A detailed Claude (Sonnet 5) prompt was used to crawl the Wiki page https://en.wikipedia.org/wiki/Aluminium_alloyand extract and reformat the numbers into the IEDC template in IEDC data model. The prompt is archived on the Zenodo archived upload template of this dataset. The value for aluminium was adjusted so that the composition ads up to 100%, which may lead to deviations compared to the original sources. Composition ranges were reported as uncertainty range, and the arithmetic mean was used as the main value. For the 43 alloys appearing in both a series sheet and the "mixed" sheet, only the "mixed" sheet's more detailed range-based data was kept; the series-sheet duplicate was dropped.</t>
  </si>
  <si>
    <t>Material composition of aluminium alloy 7129 for Mg (magnesium) is 1.65% with low-high range of 1.3%-2%.</t>
  </si>
  <si>
    <t>https://en.wikipedia.org/wiki/Aluminium_alloy</t>
  </si>
  <si>
    <t>tables on website</t>
  </si>
  <si>
    <t>A detailed Claude (Sonnet 5) prompt was used to crawl the different websites and extract and reformat the numbers into the IEDC template in IEDC data model. The tables were copied to xlsx first.</t>
  </si>
  <si>
    <t>3_MC_Non_Ferrous_Metal_Alloys_SJM_Metals_2013</t>
  </si>
  <si>
    <t>non-ferrous metal alloys and their chemical elements</t>
  </si>
  <si>
    <t>125 non-ferrous metal alloys and up to 24 chemical elements</t>
  </si>
  <si>
    <t>Alloy composition table (wt%) for major non-ferrous metal alloys; from SJM Alloys and Metals Ltd (2013): Typical Alloy specifications we trade.</t>
  </si>
  <si>
    <t>non-ferrous metal; alloy; material composition; chemical element; nickel; cobalt; titanium; molybdenum; tungsten</t>
  </si>
  <si>
    <t>alloy labels changed from original version to clarify that these are steel allows. Source sheets: "Cobalt Alloys", "Nickel Alloys", "Titanium and Titanium alloys", "Tungsten Alloys", and "Moly Alloys". Main metal content re-calculated as 100%-sum(all other elements) and converted to a full table with 100% row summation constraint with Claude Sonnet 5.</t>
  </si>
  <si>
    <t>Material composition of nickel, Inconel 939 for chromium is 22.4%.</t>
  </si>
  <si>
    <t>SJM Alloys and Metals Ltd</t>
  </si>
  <si>
    <t>https://sjmalloysandmetals.com/wp-content/uploads/Alloy-specifications-Dec-2013-v2.xlsx</t>
  </si>
  <si>
    <t xml:space="preserve">SJM Alloys and Metals Ltd (2013): Typical Alloy specifications we trade </t>
  </si>
  <si>
    <t>Numbers manually copied to the IEDC template in IEDC data model, main metal content re-calculated as 100%-sum(all other elements) and converted to a full table with 100% row summation constraint with Claude Sonnet 5.</t>
  </si>
  <si>
    <t>3_MC_Steel_Alloys_SJM_Metals_2013</t>
  </si>
  <si>
    <t>steel alloys and their chemical elements</t>
  </si>
  <si>
    <t>43 major steel alloys (tool, die, and high speed steel) and 11 chemical elements</t>
  </si>
  <si>
    <t>Alloy composition table (wt%) for major tool and HSS steel alloys; from SJM Alloys and Metals Ltd (2013): Typical Alloy specifications we trade.</t>
  </si>
  <si>
    <t>steel; tool and die steel; HSS; alloy; material composition; chemical element;</t>
  </si>
  <si>
    <t>alloy labels changed from original version to clarify that these are steel allows. Source sheets: "High speed steel alloys" and "Tool and die steels".</t>
  </si>
  <si>
    <t>Material composition of High speed steel, M45 grade for molybdenum is 5%.</t>
  </si>
  <si>
    <t xml:space="preserve">Numbers manually copied to the IEDC template in IEDC data model. </t>
  </si>
  <si>
    <t>3_MC_Aluminium_Alloys_Selin_ADA_2026</t>
  </si>
  <si>
    <t>aluminium alloys and their chemical elements</t>
  </si>
  <si>
    <t>126 major aluminium alloys and 13 chemical elements</t>
  </si>
  <si>
    <t>Alloy composition table (wt%) for the studied alloys; from Selin Ada (2026), DOI 10.17632/26ffphnf2p.1</t>
  </si>
  <si>
    <t>aluminium; alloy; material composition; chemical element;</t>
  </si>
  <si>
    <t>alloy labels changed from original version to clarify that these are aluminium alloys. Values for aluminium (balancing element) were adjusted for some alloys so that all values add up to 100% for each alloy.</t>
  </si>
  <si>
    <t>Material composition of aluminium, ST400-CR for aluminium is 87.5%.</t>
  </si>
  <si>
    <t>Selin ADA</t>
  </si>
  <si>
    <t>https://data.mendeley.com/datasets/26ffphnf2p/1</t>
  </si>
  <si>
    <t>Ada, Selin (2026), “alloy_compositions.xlsx”, Mendeley Data, V1, doi: 10.17632/26ffphnf2p.1</t>
  </si>
  <si>
    <t>1_F_Concrete_Materials_Sankey_2018_CAO_2026</t>
  </si>
  <si>
    <t>material cycle of concrete materials (materials for and in concrete)</t>
  </si>
  <si>
    <t>all uses of concrete</t>
  </si>
  <si>
    <t>one aggregate end-use product group</t>
  </si>
  <si>
    <t>sand and gravel, limestone, raw meal, crushed stone, recycled aggregate, fly ash</t>
  </si>
  <si>
    <t>13 material groups, recorded as commodities</t>
  </si>
  <si>
    <t>14 countries and global regions</t>
  </si>
  <si>
    <t>MFA historical analysis of the global concrete aggregates cycle, 1990-2018, by Zhi CAO and colleauges, from "Demand-side factors as dominant drivers of resource efficiency in the concrete aggregates cycle"</t>
  </si>
  <si>
    <t>MFA; sand; gravel; crushed stone; cement; concrete aggregates; construction; buildings; infrastructure; Global; history; 1990;2018</t>
  </si>
  <si>
    <t>Data copied from supplementary file 41467_2025_64349_MOESM5_ESM.xlsx, sheet "Fig.2D", process and material labels matched to standard IEDC classifications. Note: in the supplement, the labels of the final uses buildings and demolition are swapped compared to the figure in the pdf. Here, the former is reported, with 6.05 Gt/yr waste from buildings and 3.55 Gt/yr waste from infrastructure.</t>
  </si>
  <si>
    <t>Value(g,m,L,r,t,o,d,S)</t>
  </si>
  <si>
    <t>Flow of raw meal from raw meal mixing to clinker production in Global in 2018 for scenario History measured as dry mass of concrete aggregates is 5.41 Gt/yr.</t>
  </si>
  <si>
    <t>[Data type] of [Aspect 1] from [Aspect 6] to [Aspect 7] in [Aspect 4] in [Aspect 5] for scenario [Aspect 8] measured as [Aspect 3] of [Aspect 2] is [Value].</t>
  </si>
  <si>
    <t>Zhi CAO</t>
  </si>
  <si>
    <t>https://doi.org/10.1038/s41893-026-01860-5</t>
  </si>
  <si>
    <t>Data copied from author-supplied supplementary Excel (with additional results) and converted to IEDC templates.</t>
  </si>
  <si>
    <t>floweaver_sankey_link</t>
  </si>
  <si>
    <t>3_LT_Buildings_Components_Europe_PRISTERA_2025</t>
  </si>
  <si>
    <t>one aggregate building group with 15 building components</t>
  </si>
  <si>
    <t>Useful lifetime, in years of use phase residence and median operating hours, of building components, by EU27 country</t>
  </si>
  <si>
    <t>lifetime; useful life; use phase; building; components; EU27; Europe</t>
  </si>
  <si>
    <t>Data converted from ServiceLives_Elements.csv. See "Sources.pdf" int the linked archive for the data sources of each value. Used and cited by Alaux et al. (2026), "Context-specific life cycle emissions pathways for EU buildings and construction" DOI https://doi.org/10.1038/s41467-026-73433-1</t>
  </si>
  <si>
    <t>Value(k,g,p,r,c)</t>
  </si>
  <si>
    <t>Lifetime of foundation of buildings of all years in use phase in Belgium is 60 yr.</t>
  </si>
  <si>
    <t>[Data type] of [Aspect 1] of [Aspect 2] of [Aspect 5] in [Aspect 3] in [Aspect 4] is [Value].</t>
  </si>
  <si>
    <t>Giulia PRISTERÀ</t>
  </si>
  <si>
    <t>https://doi.org/10.48804/JCTCAP</t>
  </si>
  <si>
    <t>https://ec.europa.eu/docsroom/documents/58196</t>
  </si>
  <si>
    <t>Ramboll, KU Leuven, BPIE, TU Graz, IIASA, Aalborg University, Politecnico di Milano. “Analysis of Life-Cycle Greenhouse Gas Emissions of EU Buildings and Construction</t>
  </si>
  <si>
    <t>3_LT_Buildings_Components_Materials_Europe_PRISTERA_2025</t>
  </si>
  <si>
    <t>one aggregate building group with 78 building components</t>
  </si>
  <si>
    <t>all construction materials and components</t>
  </si>
  <si>
    <t>ca. 180 different materials and components</t>
  </si>
  <si>
    <t>Useful lifetime, in years of use phase residence and median operating hours, of materials in building components, by EU27 country</t>
  </si>
  <si>
    <t>lifetime; useful life; use phase; building; components; EU27; Europe; material; constrution;</t>
  </si>
  <si>
    <t>Data converted from ServiceLives_SubElements.csv. See "Sources.pdf" int the linked archive for the data sources of each value. Used and cited by Alaux et al. (2026), "Context-specific life cycle emissions pathways for EU buildings and construction" DOI https://doi.org/10.1038/s41467-026-73433-1</t>
  </si>
  <si>
    <t>Value(g,k,Y,p,r,c)</t>
  </si>
  <si>
    <t>Lifetime of geotextile in foundations, bottom sealing in buildings of all years in use phase in Belgium is 60 yr.</t>
  </si>
  <si>
    <t>[Data type] of [Aspect 1] in [Aspect 2] in [Aspect 3] of [Aspect 6] in [Aspect 4] in [Aspect 5] is [Value].</t>
  </si>
  <si>
    <t>3_MC_50_Building_Samples_5_countries_VANN_2026</t>
  </si>
  <si>
    <t>buildings and their components</t>
  </si>
  <si>
    <t>ca. 50 different components in low-rise multi-unit residential buildings and mixed use buildings</t>
  </si>
  <si>
    <t>general construction materials</t>
  </si>
  <si>
    <t>about 20 different general construction materials</t>
  </si>
  <si>
    <t>multi-regional</t>
  </si>
  <si>
    <t>Nigeria; Canada; Switzerland; Greece; Brazil</t>
  </si>
  <si>
    <t>single age-cohorts</t>
  </si>
  <si>
    <t>Material use and intensity in small multi-units’ buildings in Brazil, Canada, Greece, Nigeria and Switzerland</t>
  </si>
  <si>
    <t>buildings; samples; single building dataset; material composition; construction material; Nigeria; Canada; Switzerland; Greece; Brazil</t>
  </si>
  <si>
    <t>Only the component label level 4 and the material label level 2 were kept, level 3 were added as comment instead of an additional aspect</t>
  </si>
  <si>
    <t>Value(1,r,y,c,g,k,M,m)</t>
  </si>
  <si>
    <t>Material composition measured as mass per area of masonry in unit masonry in exterior wall veneer in building, mixed use, typically residential with commercial or office uses from 2021 in Toronto in Canada for sample 37 is 16.057 kg/m².</t>
  </si>
  <si>
    <t>[Data type] measured as [Layer] of [Aspect 8] in [Aspect 7] in [Aspect 6] in [Aspect 5] from [Aspect 4] in [Aspect 3] in [Aspect 2] for sample [Aspect 1] is [Value].</t>
  </si>
  <si>
    <t>Christiana VANN</t>
  </si>
  <si>
    <t>https://doi.org/10.1016/j.resconrec.2025.108548</t>
  </si>
  <si>
    <t>the complete dataset, including sampe ids, was shared by the authors and converted to IEDC format, using the two new classifications 104 and 105.</t>
  </si>
  <si>
    <t>1_F_Wood_Waste_Germany_2007_2010_2015_UBA</t>
  </si>
  <si>
    <t>waste wood generation, trade, treatment, and recycling</t>
  </si>
  <si>
    <t>5 aggregate processes</t>
  </si>
  <si>
    <t>waste wood</t>
  </si>
  <si>
    <t>7 types of waste wood</t>
  </si>
  <si>
    <t>Germany</t>
    <phoneticPr fontId="7" type="noConversion"/>
  </si>
  <si>
    <t>2007-2010-2015</t>
  </si>
  <si>
    <t>The following Sankey diagram provides an overview of the material flows of waste wood in Germany estimated by the ReSek project for the year 2010, plus additional estimates for 2007 and 2015.</t>
  </si>
  <si>
    <t>MFA; wood; waste wood; circular economy; UBA; Gemany; recycling; recovery</t>
  </si>
  <si>
    <t>Flow of bulky waste from waste management to waste wood collection in Germany in 2007 for scenario History measured as dry mass of wood, wood waste, and wood products is 931 kt/yr.</t>
  </si>
  <si>
    <t>German Environment Agency, UBA, project ReSek</t>
  </si>
  <si>
    <t>https://www.umweltbundesamt.de/altholz#verwertung-und-produktion-in-deutschland</t>
  </si>
  <si>
    <t>figure on web page / xlsx</t>
  </si>
  <si>
    <t xml:space="preserve">Project ReSek, Project Report ReSek (FKZ 3714 93 330 0) </t>
  </si>
  <si>
    <t>Xiaowen Zhang</t>
  </si>
  <si>
    <t>Data copied from original source and converted to IEDC templates.</t>
  </si>
  <si>
    <t>Wood_flows_EU_2021_ORFANIDOU_Sankey</t>
  </si>
  <si>
    <t>commodity flows</t>
  </si>
  <si>
    <t>dry mass</t>
  </si>
  <si>
    <t>all major wood processing steps</t>
  </si>
  <si>
    <t>about 10 major process steps</t>
  </si>
  <si>
    <t>wood and wood products</t>
  </si>
  <si>
    <t>about 20 aggregate product groups</t>
  </si>
  <si>
    <t>single region values</t>
  </si>
  <si>
    <t>Flows for the ORFANIDOU et al. (2026) Sankey diagrams on EU27‑wide woody biomass flows 2021, measured in million cubic meters of solid wood equivalents (SWE).</t>
  </si>
  <si>
    <t>MFA; 2021; EU; wood; roundwood; wood products; sawnwood; pulp; paper; recycling; Sankey;</t>
  </si>
  <si>
    <t>Orfanidou_et_al_2026_EU_wood_flow_Sankey_2021.jpg</t>
  </si>
  <si>
    <t>Timokleia ORFANIDOU</t>
  </si>
  <si>
    <t>https://doi.org/10.1016/j.rcradv.2026.200331</t>
  </si>
  <si>
    <t>1_F_wood_flows_EU_2021_ORFANIDOU</t>
  </si>
  <si>
    <t>Figure caption: Fig. 2. Sankey diagram at EU27 level for the year 2021 (condensed version). Flows widths are proportional to quantities expressed in Mm3 SWE. Orange denotes the primary resources, purple the first transformation, and blue the second transformation. Light pink denotes post-consumer the flows at the end-of-life. Imports and exports represent extra-EU27 net trade. Residues and black liquor (yellow) are considered internal energy carriers while residues also supply resources in the wood panel and pulp industries.</t>
  </si>
  <si>
    <t>Value(g,r,t,o,d,S)</t>
  </si>
  <si>
    <t>Flow of pulp from pulp industry to manufacturing of paper and paper products in EU27 in 2021 for scenario History is 85.4 Mm3_SWE (million cubic meters of solid wood equivalents) per year.</t>
  </si>
  <si>
    <t>[Data type] of [Aspect 1] from [Aspect 4] to [Aspect 5] in [Aspect 2] in [Aspect 3] for scenario [Aspect 6] is [Value].</t>
  </si>
  <si>
    <t>https://doi.org/10.5281/zenodo.17856661</t>
  </si>
  <si>
    <t>xlsx file from Zenodo repository</t>
  </si>
  <si>
    <t>Data downloaded from Zenodo and converted to IEDC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</si>
</sst>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0"/>
      <color rgb="FF000000"/>
      <name val="Arial"/>
    </font>
    <font>
      <sz val="11"/>
      <color theme="1"/>
      <name val="Calibri"/>
      <family val="2"/>
      <scheme val="minor"/>
    </font>
    <font>
      <sz val="11"/>
      <color rgb="FF000000"/>
      <name val="Arial"/>
      <family val="2"/>
    </font>
    <font>
      <sz val="11"/>
      <name val="Arial"/>
      <family val="2"/>
    </font>
    <font>
      <sz val="10"/>
      <name val="Arial"/>
      <family val="2"/>
    </font>
    <font>
      <sz val="11"/>
      <name val="Arial"/>
      <family val="2"/>
    </font>
    <font>
      <i/>
      <sz val="11"/>
      <name val="Arial"/>
      <family val="2"/>
    </font>
    <font>
      <u/>
      <sz val="11"/>
      <color rgb="FF0000FF"/>
      <name val="Arial"/>
      <family val="2"/>
    </font>
    <font>
      <u/>
      <sz val="11"/>
      <color rgb="FF0000FF"/>
      <name val="Arial"/>
      <family val="2"/>
    </font>
    <font>
      <sz val="10"/>
      <color rgb="FF000000"/>
      <name val="Arial"/>
      <family val="2"/>
    </font>
    <font>
      <sz val="10"/>
      <color theme="1"/>
      <name val="Arial"/>
      <family val="2"/>
    </font>
    <font>
      <b/>
      <sz val="10"/>
      <color rgb="FF000000"/>
      <name val="Arial"/>
      <family val="2"/>
    </font>
    <font>
      <sz val="11"/>
      <color theme="2" tint="-9.9978637043366805E-2"/>
      <name val="Arial"/>
      <family val="2"/>
    </font>
    <font>
      <sz val="10"/>
      <color theme="2" tint="-9.9978637043366805E-2"/>
      <name val="Arial"/>
      <family val="2"/>
    </font>
    <font>
      <u/>
      <sz val="10"/>
      <color theme="10"/>
      <name val="Arial"/>
      <family val="2"/>
    </font>
    <font>
      <u/>
      <sz val="11"/>
      <name val="Arial"/>
      <family val="2"/>
    </font>
    <font>
      <i/>
      <sz val="11"/>
      <color theme="1"/>
      <name val="Calibri"/>
      <family val="2"/>
      <scheme val="minor"/>
    </font>
    <font>
      <sz val="11"/>
      <color rgb="FFFF0000"/>
      <name val="Arial"/>
      <family val="2"/>
    </font>
    <font>
      <sz val="11"/>
      <color theme="1"/>
      <name val="Arial"/>
      <family val="2"/>
    </font>
    <font>
      <sz val="11"/>
      <name val="Calibri"/>
      <family val="2"/>
      <scheme val="minor"/>
    </font>
    <font>
      <sz val="11"/>
      <color rgb="FF000000"/>
      <name val="Calibri"/>
      <family val="2"/>
      <scheme val="minor"/>
    </font>
    <font>
      <sz val="11"/>
      <color theme="1"/>
      <name val="Calibri"/>
      <family val="2"/>
    </font>
    <font>
      <sz val="10"/>
      <color rgb="FF000000"/>
      <name val="Calibri"/>
      <family val="2"/>
      <scheme val="minor"/>
    </font>
    <font>
      <sz val="11"/>
      <name val="Arial"/>
      <family val="2"/>
      <charset val="1"/>
    </font>
    <font>
      <sz val="11"/>
      <color rgb="FF000000"/>
      <name val="Arial"/>
      <family val="2"/>
      <charset val="1"/>
    </font>
    <font>
      <sz val="11"/>
      <color theme="1"/>
      <name val="Arial"/>
      <family val="2"/>
      <charset val="1"/>
    </font>
  </fonts>
  <fills count="13">
    <fill>
      <patternFill patternType="none"/>
    </fill>
    <fill>
      <patternFill patternType="gray125"/>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6"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3">
    <xf numFmtId="0" fontId="0" fillId="0" borderId="0"/>
    <xf numFmtId="0" fontId="14" fillId="0" borderId="0" applyNumberFormat="0" applyFill="0" applyBorder="0" applyAlignment="0" applyProtection="0"/>
    <xf numFmtId="0" fontId="4" fillId="0" borderId="0" applyNumberFormat="0" applyFill="0" applyBorder="0" applyAlignment="0" applyProtection="0"/>
  </cellStyleXfs>
  <cellXfs count="314">
    <xf numFmtId="0" fontId="0" fillId="0" borderId="0" xfId="0" applyFont="1" applyAlignment="1"/>
    <xf numFmtId="0" fontId="2" fillId="0" borderId="0" xfId="0" applyFont="1" applyAlignment="1"/>
    <xf numFmtId="0" fontId="3" fillId="0" borderId="0" xfId="0" applyFont="1" applyAlignment="1"/>
    <xf numFmtId="0" fontId="3" fillId="0" borderId="0" xfId="0" applyFo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164" fontId="3" fillId="0" borderId="0" xfId="0" applyNumberFormat="1" applyFont="1" applyAlignment="1"/>
    <xf numFmtId="164" fontId="5" fillId="0" borderId="0" xfId="0" applyNumberFormat="1" applyFont="1" applyAlignment="1"/>
    <xf numFmtId="0" fontId="5" fillId="0" borderId="0" xfId="0" quotePrefix="1" applyFont="1" applyAlignment="1"/>
    <xf numFmtId="0" fontId="8" fillId="0" borderId="0" xfId="0" applyFont="1" applyAlignment="1"/>
    <xf numFmtId="0" fontId="9" fillId="0" borderId="0" xfId="0" applyFont="1" applyAlignment="1"/>
    <xf numFmtId="0" fontId="9" fillId="0" borderId="2" xfId="0" applyFont="1" applyBorder="1" applyAlignment="1"/>
    <xf numFmtId="0" fontId="9" fillId="0" borderId="3" xfId="0" applyFont="1" applyBorder="1" applyAlignment="1"/>
    <xf numFmtId="0" fontId="10" fillId="0" borderId="2" xfId="0" applyFont="1" applyBorder="1" applyAlignment="1"/>
    <xf numFmtId="0" fontId="10" fillId="0" borderId="4" xfId="0" applyFont="1" applyBorder="1" applyAlignment="1"/>
    <xf numFmtId="0" fontId="11" fillId="0" borderId="6" xfId="0" applyFont="1" applyBorder="1" applyAlignment="1"/>
    <xf numFmtId="0" fontId="11" fillId="0" borderId="7" xfId="0" applyFont="1" applyBorder="1" applyAlignment="1"/>
    <xf numFmtId="0" fontId="9" fillId="0" borderId="8"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9" fillId="0" borderId="8" xfId="0" applyFont="1" applyFill="1" applyBorder="1" applyAlignment="1"/>
    <xf numFmtId="0" fontId="0" fillId="0" borderId="0" xfId="0" applyFont="1" applyBorder="1" applyAlignment="1"/>
    <xf numFmtId="0" fontId="9" fillId="0" borderId="0" xfId="0" applyFont="1" applyBorder="1" applyAlignment="1"/>
    <xf numFmtId="0" fontId="9" fillId="0" borderId="0" xfId="0" applyFont="1" applyFill="1" applyBorder="1" applyAlignment="1"/>
    <xf numFmtId="0" fontId="4" fillId="0" borderId="0" xfId="0" applyFont="1" applyBorder="1" applyAlignment="1"/>
    <xf numFmtId="0" fontId="4" fillId="0" borderId="0" xfId="0" applyFont="1" applyFill="1" applyBorder="1" applyAlignment="1"/>
    <xf numFmtId="0" fontId="0" fillId="0" borderId="3" xfId="0" applyFont="1" applyBorder="1" applyAlignment="1"/>
    <xf numFmtId="0" fontId="0" fillId="0" borderId="5" xfId="0" applyFont="1" applyBorder="1" applyAlignment="1"/>
    <xf numFmtId="0" fontId="11" fillId="0" borderId="12" xfId="0" applyFont="1" applyBorder="1" applyAlignment="1"/>
    <xf numFmtId="0" fontId="0" fillId="0" borderId="1" xfId="0" applyFont="1" applyBorder="1" applyAlignment="1"/>
    <xf numFmtId="0" fontId="4" fillId="2" borderId="8" xfId="0" applyFont="1" applyFill="1" applyBorder="1" applyAlignment="1"/>
    <xf numFmtId="0" fontId="11" fillId="0" borderId="0" xfId="0" applyFont="1" applyBorder="1" applyAlignment="1">
      <alignment horizontal="left"/>
    </xf>
    <xf numFmtId="0" fontId="0" fillId="0" borderId="0" xfId="0" applyFont="1" applyBorder="1" applyAlignment="1">
      <alignment horizontal="left"/>
    </xf>
    <xf numFmtId="0" fontId="11" fillId="0" borderId="0" xfId="0" applyFont="1" applyFill="1" applyBorder="1" applyAlignment="1"/>
    <xf numFmtId="0" fontId="0" fillId="0" borderId="0" xfId="0" applyFont="1" applyFill="1" applyBorder="1" applyAlignment="1"/>
    <xf numFmtId="0" fontId="3" fillId="0" borderId="0" xfId="0" applyFont="1" applyFill="1" applyAlignment="1"/>
    <xf numFmtId="0" fontId="11" fillId="0" borderId="1" xfId="0" applyFont="1" applyFill="1" applyBorder="1" applyAlignment="1"/>
    <xf numFmtId="0" fontId="9" fillId="0" borderId="3" xfId="0" applyFont="1" applyFill="1" applyBorder="1" applyAlignment="1"/>
    <xf numFmtId="0" fontId="0" fillId="0" borderId="0" xfId="0" applyFont="1" applyAlignment="1"/>
    <xf numFmtId="0" fontId="4" fillId="0" borderId="0" xfId="0" applyFont="1" applyFill="1" applyAlignment="1"/>
    <xf numFmtId="0" fontId="12" fillId="0" borderId="0" xfId="0" applyFont="1" applyAlignment="1"/>
    <xf numFmtId="0" fontId="13" fillId="0" borderId="0" xfId="0" applyFont="1" applyAlignment="1"/>
    <xf numFmtId="0" fontId="12" fillId="0" borderId="0" xfId="0" applyFont="1"/>
    <xf numFmtId="0" fontId="14" fillId="0" borderId="0" xfId="1" applyAlignment="1"/>
    <xf numFmtId="0" fontId="0" fillId="0" borderId="8" xfId="0" applyBorder="1"/>
    <xf numFmtId="0" fontId="0" fillId="0" borderId="0" xfId="0" applyFont="1" applyAlignment="1"/>
    <xf numFmtId="0" fontId="0" fillId="0" borderId="0" xfId="0" applyFont="1" applyAlignment="1"/>
    <xf numFmtId="0" fontId="9" fillId="3" borderId="8" xfId="0" applyFont="1" applyFill="1" applyBorder="1" applyAlignment="1">
      <alignment horizontal="center" vertical="center" wrapText="1"/>
    </xf>
    <xf numFmtId="0" fontId="0" fillId="0" borderId="0" xfId="0" applyFont="1" applyAlignment="1"/>
    <xf numFmtId="0" fontId="0" fillId="0" borderId="8" xfId="0" applyFont="1" applyBorder="1" applyAlignment="1">
      <alignment horizontal="left"/>
    </xf>
    <xf numFmtId="0" fontId="4" fillId="0" borderId="13" xfId="0" applyFont="1" applyFill="1" applyBorder="1" applyAlignment="1"/>
    <xf numFmtId="0" fontId="9" fillId="0" borderId="2" xfId="0" applyFont="1" applyFill="1" applyBorder="1" applyAlignment="1"/>
    <xf numFmtId="0" fontId="4" fillId="0" borderId="2" xfId="0" applyFont="1" applyFill="1" applyBorder="1" applyAlignment="1"/>
    <xf numFmtId="0" fontId="4" fillId="0" borderId="2" xfId="0" applyFont="1" applyBorder="1" applyAlignment="1"/>
    <xf numFmtId="0" fontId="0" fillId="0" borderId="10" xfId="0" applyFont="1" applyBorder="1" applyAlignment="1">
      <alignment horizontal="left"/>
    </xf>
    <xf numFmtId="0" fontId="0" fillId="0" borderId="6" xfId="0" applyFont="1" applyBorder="1" applyAlignment="1"/>
    <xf numFmtId="0" fontId="4" fillId="2" borderId="2" xfId="0" applyFont="1" applyFill="1" applyBorder="1" applyAlignment="1"/>
    <xf numFmtId="0" fontId="0" fillId="0" borderId="0" xfId="0" applyFont="1" applyAlignment="1"/>
    <xf numFmtId="0" fontId="0" fillId="0" borderId="0" xfId="0" applyFill="1" applyBorder="1"/>
    <xf numFmtId="0" fontId="9" fillId="0" borderId="0" xfId="0" applyFont="1" applyFill="1" applyBorder="1"/>
    <xf numFmtId="0" fontId="0" fillId="0" borderId="0" xfId="0" applyFont="1" applyAlignment="1"/>
    <xf numFmtId="0" fontId="4" fillId="0" borderId="2" xfId="0" applyFont="1" applyFill="1" applyBorder="1" applyAlignment="1">
      <alignment horizontal="left"/>
    </xf>
    <xf numFmtId="0" fontId="9" fillId="0" borderId="3" xfId="0" applyFont="1" applyBorder="1" applyAlignment="1">
      <alignment horizontal="left"/>
    </xf>
    <xf numFmtId="0" fontId="3" fillId="0" borderId="0" xfId="0" applyFont="1" applyFill="1" applyAlignment="1">
      <alignment horizontal="left"/>
    </xf>
    <xf numFmtId="0" fontId="3" fillId="0" borderId="0" xfId="0" applyFont="1" applyAlignment="1">
      <alignment horizontal="left"/>
    </xf>
    <xf numFmtId="0" fontId="0" fillId="0" borderId="0" xfId="0" applyFont="1" applyAlignment="1">
      <alignment horizontal="left"/>
    </xf>
    <xf numFmtId="0" fontId="0" fillId="0" borderId="3" xfId="0" applyFont="1" applyBorder="1" applyAlignment="1">
      <alignment horizontal="left"/>
    </xf>
    <xf numFmtId="0" fontId="0" fillId="0" borderId="0" xfId="0" applyFont="1" applyAlignment="1"/>
    <xf numFmtId="0" fontId="0" fillId="0" borderId="0" xfId="0" applyFont="1"/>
    <xf numFmtId="0" fontId="9" fillId="0" borderId="0" xfId="0" applyFont="1" applyAlignment="1">
      <alignment horizontal="left"/>
    </xf>
    <xf numFmtId="0" fontId="11" fillId="0" borderId="0" xfId="0" applyFont="1" applyAlignment="1">
      <alignment horizontal="right"/>
    </xf>
    <xf numFmtId="0" fontId="0" fillId="0" borderId="0" xfId="0" applyFont="1" applyAlignment="1"/>
    <xf numFmtId="0" fontId="3" fillId="0" borderId="0" xfId="0" applyFont="1" applyBorder="1" applyAlignment="1"/>
    <xf numFmtId="0" fontId="3" fillId="0" borderId="0" xfId="0" applyFont="1" applyFill="1" applyBorder="1" applyAlignment="1">
      <alignment horizontal="left"/>
    </xf>
    <xf numFmtId="0" fontId="0" fillId="0" borderId="0" xfId="0" applyFont="1" applyAlignment="1"/>
    <xf numFmtId="0" fontId="15" fillId="0" borderId="0" xfId="0" applyFont="1" applyAlignment="1"/>
    <xf numFmtId="14" fontId="3" fillId="0" borderId="0" xfId="0" applyNumberFormat="1" applyFont="1" applyAlignment="1"/>
    <xf numFmtId="0" fontId="0" fillId="0" borderId="0" xfId="0" applyFont="1" applyAlignment="1"/>
    <xf numFmtId="0" fontId="0" fillId="0" borderId="0" xfId="0" applyFont="1" applyAlignment="1"/>
    <xf numFmtId="0" fontId="11" fillId="0" borderId="10" xfId="0" applyFont="1" applyFill="1" applyBorder="1" applyAlignment="1"/>
    <xf numFmtId="0" fontId="10" fillId="0" borderId="13" xfId="0" applyFont="1" applyBorder="1" applyAlignment="1"/>
    <xf numFmtId="0" fontId="0" fillId="0" borderId="14" xfId="0" applyFont="1" applyBorder="1" applyAlignment="1"/>
    <xf numFmtId="0" fontId="9" fillId="0" borderId="14" xfId="0" applyFont="1" applyBorder="1" applyAlignment="1"/>
    <xf numFmtId="0" fontId="9" fillId="0" borderId="4" xfId="0" applyFont="1" applyBorder="1" applyAlignment="1"/>
    <xf numFmtId="0" fontId="9" fillId="0" borderId="5" xfId="0" applyFont="1" applyBorder="1" applyAlignment="1"/>
    <xf numFmtId="0" fontId="3" fillId="0" borderId="0" xfId="0" applyFont="1" applyFill="1" applyBorder="1" applyAlignment="1"/>
    <xf numFmtId="0" fontId="16" fillId="0" borderId="0" xfId="0" applyFont="1" applyBorder="1"/>
    <xf numFmtId="0" fontId="0" fillId="0" borderId="0" xfId="0"/>
    <xf numFmtId="0" fontId="1" fillId="0" borderId="0" xfId="0" applyFont="1" applyBorder="1"/>
    <xf numFmtId="0" fontId="0" fillId="0" borderId="0" xfId="0" applyFont="1" applyAlignment="1"/>
    <xf numFmtId="0" fontId="2" fillId="0" borderId="0" xfId="0" applyFont="1" applyBorder="1" applyAlignment="1">
      <alignment horizontal="left"/>
    </xf>
    <xf numFmtId="0" fontId="2" fillId="0" borderId="0" xfId="0" applyFont="1" applyAlignment="1">
      <alignment horizontal="left"/>
    </xf>
    <xf numFmtId="0" fontId="6" fillId="0" borderId="4" xfId="0" applyFont="1" applyBorder="1" applyAlignment="1"/>
    <xf numFmtId="0" fontId="6" fillId="0" borderId="11" xfId="0" applyFont="1" applyBorder="1" applyAlignment="1"/>
    <xf numFmtId="0" fontId="3" fillId="0" borderId="11" xfId="0" applyFont="1" applyBorder="1" applyAlignment="1"/>
    <xf numFmtId="0" fontId="5" fillId="0" borderId="11" xfId="0" applyFont="1" applyBorder="1" applyAlignment="1">
      <alignment horizontal="left"/>
    </xf>
    <xf numFmtId="0" fontId="6" fillId="0" borderId="11" xfId="0" applyFont="1" applyBorder="1" applyAlignment="1">
      <alignment horizontal="left"/>
    </xf>
    <xf numFmtId="0" fontId="6" fillId="0" borderId="11" xfId="0" applyFont="1" applyFill="1" applyBorder="1" applyAlignment="1">
      <alignment horizontal="left"/>
    </xf>
    <xf numFmtId="0" fontId="3" fillId="0" borderId="11" xfId="0" applyFont="1" applyFill="1" applyBorder="1" applyAlignment="1">
      <alignment horizontal="left"/>
    </xf>
    <xf numFmtId="0" fontId="3" fillId="0" borderId="4" xfId="0" applyFont="1" applyFill="1" applyBorder="1" applyAlignment="1">
      <alignment horizontal="left"/>
    </xf>
    <xf numFmtId="164" fontId="3" fillId="0" borderId="0" xfId="0" quotePrefix="1" applyNumberFormat="1" applyFont="1" applyAlignment="1"/>
    <xf numFmtId="0" fontId="0" fillId="0" borderId="0" xfId="0" applyFont="1" applyAlignment="1"/>
    <xf numFmtId="0" fontId="0" fillId="0" borderId="0" xfId="0" applyFont="1" applyAlignment="1"/>
    <xf numFmtId="0" fontId="17" fillId="0" borderId="0" xfId="0" applyFont="1" applyAlignment="1"/>
    <xf numFmtId="0" fontId="10" fillId="0" borderId="10" xfId="0" applyFont="1" applyBorder="1" applyAlignment="1"/>
    <xf numFmtId="0" fontId="10" fillId="0" borderId="8" xfId="0" applyFont="1" applyBorder="1" applyAlignment="1"/>
    <xf numFmtId="0" fontId="10" fillId="0" borderId="9" xfId="0" applyFont="1" applyBorder="1" applyAlignment="1"/>
    <xf numFmtId="0" fontId="2" fillId="0" borderId="0" xfId="0" applyFont="1" applyFill="1" applyBorder="1" applyAlignment="1"/>
    <xf numFmtId="0" fontId="9" fillId="0" borderId="0" xfId="0" applyFont="1" applyBorder="1" applyAlignment="1">
      <alignment horizontal="left"/>
    </xf>
    <xf numFmtId="0" fontId="3" fillId="0" borderId="0" xfId="0" applyFont="1" applyBorder="1" applyAlignment="1">
      <alignment horizontal="left"/>
    </xf>
    <xf numFmtId="0" fontId="0" fillId="0" borderId="0" xfId="0" applyFont="1" applyAlignment="1">
      <alignment vertical="center" wrapText="1"/>
    </xf>
    <xf numFmtId="0" fontId="0" fillId="0" borderId="0" xfId="0" applyFont="1" applyAlignment="1">
      <alignment vertical="center"/>
    </xf>
    <xf numFmtId="0" fontId="3" fillId="0" borderId="3" xfId="0" applyFont="1" applyBorder="1" applyAlignment="1">
      <alignment horizontal="left"/>
    </xf>
    <xf numFmtId="0" fontId="3" fillId="0" borderId="11" xfId="0" applyFont="1" applyFill="1" applyBorder="1" applyAlignment="1"/>
    <xf numFmtId="0" fontId="9" fillId="0" borderId="0" xfId="0" quotePrefix="1" applyFont="1" applyAlignment="1"/>
    <xf numFmtId="0" fontId="9" fillId="0" borderId="8" xfId="0" applyFont="1" applyFill="1" applyBorder="1" applyAlignment="1">
      <alignment horizontal="left"/>
    </xf>
    <xf numFmtId="0" fontId="9" fillId="0" borderId="8" xfId="0" applyFont="1" applyBorder="1" applyAlignment="1">
      <alignment horizontal="left"/>
    </xf>
    <xf numFmtId="0" fontId="3" fillId="0" borderId="8" xfId="0" applyFont="1" applyBorder="1" applyAlignment="1">
      <alignment horizontal="left"/>
    </xf>
    <xf numFmtId="0" fontId="0" fillId="0" borderId="8" xfId="0" applyFont="1" applyFill="1" applyBorder="1" applyAlignment="1">
      <alignment horizontal="left"/>
    </xf>
    <xf numFmtId="14" fontId="0" fillId="0" borderId="8" xfId="0" applyNumberFormat="1" applyFont="1" applyBorder="1" applyAlignment="1">
      <alignment horizontal="left"/>
    </xf>
    <xf numFmtId="0" fontId="0" fillId="0" borderId="9" xfId="0" applyFont="1" applyBorder="1" applyAlignment="1">
      <alignment horizontal="left"/>
    </xf>
    <xf numFmtId="0" fontId="0" fillId="0" borderId="9" xfId="0" applyFont="1" applyFill="1" applyBorder="1" applyAlignment="1">
      <alignment horizontal="left"/>
    </xf>
    <xf numFmtId="0" fontId="11" fillId="0" borderId="15" xfId="0" applyFont="1" applyFill="1" applyBorder="1" applyAlignment="1"/>
    <xf numFmtId="0" fontId="9" fillId="0" borderId="0" xfId="0" applyFont="1" applyFill="1" applyBorder="1" applyAlignment="1">
      <alignment horizontal="left"/>
    </xf>
    <xf numFmtId="0" fontId="0" fillId="0" borderId="0" xfId="0" applyFont="1" applyFill="1" applyBorder="1" applyAlignment="1">
      <alignment horizontal="left"/>
    </xf>
    <xf numFmtId="14" fontId="0" fillId="0" borderId="0" xfId="0" applyNumberFormat="1" applyFont="1" applyBorder="1" applyAlignment="1">
      <alignment horizontal="left"/>
    </xf>
    <xf numFmtId="0" fontId="0" fillId="0" borderId="11" xfId="0" applyFont="1" applyFill="1" applyBorder="1" applyAlignment="1">
      <alignment horizontal="left"/>
    </xf>
    <xf numFmtId="0" fontId="11" fillId="0" borderId="12" xfId="0" applyFont="1" applyFill="1" applyBorder="1" applyAlignment="1"/>
    <xf numFmtId="0" fontId="0" fillId="0" borderId="15" xfId="0" applyFont="1" applyBorder="1" applyAlignment="1">
      <alignment horizontal="left"/>
    </xf>
    <xf numFmtId="0" fontId="0" fillId="0" borderId="0" xfId="0" applyBorder="1" applyAlignment="1">
      <alignment horizontal="left"/>
    </xf>
    <xf numFmtId="0" fontId="0" fillId="0" borderId="11" xfId="0" applyFont="1" applyBorder="1" applyAlignment="1">
      <alignment horizontal="left"/>
    </xf>
    <xf numFmtId="0" fontId="9" fillId="0" borderId="8" xfId="0" quotePrefix="1" applyFont="1" applyBorder="1" applyAlignment="1">
      <alignment horizontal="left"/>
    </xf>
    <xf numFmtId="0" fontId="4" fillId="0" borderId="8" xfId="0" applyFont="1" applyBorder="1"/>
    <xf numFmtId="0" fontId="4" fillId="0" borderId="8" xfId="0" applyFont="1" applyBorder="1" applyAlignment="1">
      <alignment horizontal="left"/>
    </xf>
    <xf numFmtId="0" fontId="4" fillId="0" borderId="8" xfId="0" applyFont="1" applyFill="1" applyBorder="1" applyAlignment="1">
      <alignment horizontal="left"/>
    </xf>
    <xf numFmtId="14" fontId="4" fillId="0" borderId="8" xfId="0" applyNumberFormat="1" applyFont="1" applyBorder="1" applyAlignment="1">
      <alignment horizontal="left"/>
    </xf>
    <xf numFmtId="0" fontId="3" fillId="0" borderId="8" xfId="0" applyFont="1" applyFill="1" applyBorder="1" applyAlignment="1">
      <alignment horizontal="left"/>
    </xf>
    <xf numFmtId="0" fontId="0" fillId="0" borderId="10" xfId="0" applyFont="1" applyFill="1" applyBorder="1" applyAlignment="1">
      <alignment horizontal="left"/>
    </xf>
    <xf numFmtId="14" fontId="0" fillId="0" borderId="8" xfId="0" applyNumberFormat="1" applyFont="1" applyBorder="1" applyAlignment="1"/>
    <xf numFmtId="0" fontId="11" fillId="0" borderId="13" xfId="0" applyFont="1" applyFill="1" applyBorder="1" applyAlignment="1"/>
    <xf numFmtId="0" fontId="0" fillId="0" borderId="2" xfId="0" applyFont="1" applyFill="1" applyBorder="1" applyAlignment="1">
      <alignment horizontal="left"/>
    </xf>
    <xf numFmtId="0" fontId="9" fillId="0" borderId="2" xfId="0" applyFont="1" applyFill="1" applyBorder="1" applyAlignment="1">
      <alignment horizontal="left"/>
    </xf>
    <xf numFmtId="0" fontId="0" fillId="0" borderId="2" xfId="0" applyFont="1" applyBorder="1" applyAlignment="1"/>
    <xf numFmtId="0" fontId="3" fillId="0" borderId="8" xfId="0" applyFont="1" applyBorder="1" applyAlignment="1"/>
    <xf numFmtId="0" fontId="3" fillId="0" borderId="2" xfId="0" applyFont="1" applyBorder="1" applyAlignment="1"/>
    <xf numFmtId="14" fontId="0" fillId="0" borderId="2" xfId="0" applyNumberFormat="1" applyFont="1" applyBorder="1" applyAlignment="1">
      <alignment horizontal="left"/>
    </xf>
    <xf numFmtId="0" fontId="0" fillId="0" borderId="4" xfId="0" applyFont="1" applyFill="1" applyBorder="1" applyAlignment="1">
      <alignment horizontal="left"/>
    </xf>
    <xf numFmtId="0" fontId="0" fillId="0" borderId="4" xfId="0" applyFont="1" applyBorder="1" applyAlignment="1"/>
    <xf numFmtId="0" fontId="0" fillId="0" borderId="11" xfId="0" applyFont="1" applyBorder="1" applyAlignment="1"/>
    <xf numFmtId="0" fontId="0" fillId="0" borderId="2" xfId="0" applyFill="1" applyBorder="1"/>
    <xf numFmtId="0" fontId="9" fillId="10" borderId="0" xfId="0" applyFont="1" applyFill="1" applyBorder="1"/>
    <xf numFmtId="0" fontId="9" fillId="11" borderId="0" xfId="0" applyFont="1" applyFill="1" applyAlignment="1"/>
    <xf numFmtId="0" fontId="0" fillId="0" borderId="3" xfId="0" applyBorder="1" applyAlignment="1">
      <alignment horizontal="left"/>
    </xf>
    <xf numFmtId="0" fontId="0" fillId="0" borderId="3" xfId="0" applyBorder="1"/>
    <xf numFmtId="164" fontId="3" fillId="0" borderId="3" xfId="0" applyNumberFormat="1" applyFont="1" applyBorder="1" applyAlignment="1">
      <alignment horizontal="left"/>
    </xf>
    <xf numFmtId="0" fontId="0" fillId="0" borderId="5" xfId="0" applyBorder="1"/>
    <xf numFmtId="0" fontId="3" fillId="0" borderId="3" xfId="0" applyFont="1" applyFill="1" applyBorder="1" applyAlignment="1">
      <alignment horizontal="left"/>
    </xf>
    <xf numFmtId="0" fontId="0" fillId="0" borderId="3" xfId="0" applyFont="1" applyFill="1" applyBorder="1" applyAlignment="1"/>
    <xf numFmtId="14" fontId="0" fillId="0" borderId="8" xfId="0" applyNumberFormat="1" applyFont="1" applyFill="1" applyBorder="1" applyAlignment="1"/>
    <xf numFmtId="0" fontId="0" fillId="0" borderId="5" xfId="0" applyFont="1" applyFill="1" applyBorder="1" applyAlignment="1"/>
    <xf numFmtId="0" fontId="9" fillId="0" borderId="3" xfId="0" applyFont="1" applyFill="1" applyBorder="1"/>
    <xf numFmtId="0" fontId="0" fillId="0" borderId="8" xfId="0" applyFont="1" applyFill="1" applyBorder="1" applyAlignment="1"/>
    <xf numFmtId="0" fontId="9" fillId="0" borderId="8" xfId="0" applyFont="1" applyFill="1" applyBorder="1"/>
    <xf numFmtId="0" fontId="0" fillId="0" borderId="9" xfId="0" applyFont="1" applyFill="1" applyBorder="1" applyAlignment="1"/>
    <xf numFmtId="0" fontId="0" fillId="10" borderId="0" xfId="0" applyFont="1" applyFill="1" applyAlignment="1"/>
    <xf numFmtId="0" fontId="0" fillId="10" borderId="0" xfId="0" applyFont="1" applyFill="1" applyBorder="1" applyAlignment="1"/>
    <xf numFmtId="0" fontId="18" fillId="0" borderId="3" xfId="0" applyFont="1" applyBorder="1"/>
    <xf numFmtId="0" fontId="0" fillId="0" borderId="0" xfId="0" applyFill="1"/>
    <xf numFmtId="0" fontId="0" fillId="0" borderId="0" xfId="0" applyFont="1" applyFill="1" applyAlignment="1"/>
    <xf numFmtId="14" fontId="0" fillId="0" borderId="0" xfId="0" applyNumberFormat="1" applyFont="1" applyAlignment="1"/>
    <xf numFmtId="0" fontId="0" fillId="0" borderId="0" xfId="0" applyFont="1" applyFill="1" applyAlignment="1">
      <alignment horizontal="left"/>
    </xf>
    <xf numFmtId="0" fontId="0" fillId="11" borderId="0" xfId="0" applyFont="1" applyFill="1" applyAlignment="1"/>
    <xf numFmtId="0" fontId="9" fillId="0" borderId="0" xfId="0" applyFont="1" applyFill="1" applyAlignment="1"/>
    <xf numFmtId="164" fontId="3" fillId="0" borderId="0" xfId="0" applyNumberFormat="1" applyFont="1" applyBorder="1" applyAlignment="1">
      <alignment horizontal="left"/>
    </xf>
    <xf numFmtId="0" fontId="18" fillId="0" borderId="0" xfId="0" applyFont="1" applyBorder="1" applyAlignment="1">
      <alignment horizontal="left"/>
    </xf>
    <xf numFmtId="0" fontId="18" fillId="0" borderId="0" xfId="0" applyFont="1" applyBorder="1"/>
    <xf numFmtId="0" fontId="0" fillId="0" borderId="8" xfId="0" applyFill="1" applyBorder="1"/>
    <xf numFmtId="14" fontId="0" fillId="0" borderId="8" xfId="0" applyNumberFormat="1" applyFont="1" applyFill="1" applyBorder="1" applyAlignment="1">
      <alignment horizontal="left"/>
    </xf>
    <xf numFmtId="0" fontId="0" fillId="0" borderId="10" xfId="0" applyFont="1" applyFill="1" applyBorder="1" applyAlignment="1"/>
    <xf numFmtId="0" fontId="2" fillId="0" borderId="3" xfId="0" applyFont="1" applyFill="1" applyBorder="1" applyAlignment="1">
      <alignment horizontal="left"/>
    </xf>
    <xf numFmtId="0" fontId="18" fillId="0" borderId="3" xfId="0" applyFont="1" applyFill="1" applyBorder="1" applyAlignment="1">
      <alignment horizontal="left"/>
    </xf>
    <xf numFmtId="0" fontId="2" fillId="0" borderId="3" xfId="0" applyFont="1" applyBorder="1" applyAlignment="1">
      <alignment horizontal="left"/>
    </xf>
    <xf numFmtId="0" fontId="18" fillId="0" borderId="3" xfId="0" applyFont="1" applyBorder="1" applyAlignment="1">
      <alignment horizontal="left"/>
    </xf>
    <xf numFmtId="0" fontId="0" fillId="0" borderId="3" xfId="0" applyFill="1" applyBorder="1"/>
    <xf numFmtId="0" fontId="19" fillId="0" borderId="3" xfId="0" applyFont="1" applyBorder="1" applyAlignment="1">
      <alignment horizontal="left"/>
    </xf>
    <xf numFmtId="0" fontId="20" fillId="0" borderId="3" xfId="0" applyFont="1" applyBorder="1" applyAlignment="1">
      <alignment horizontal="left"/>
    </xf>
    <xf numFmtId="14" fontId="0" fillId="0" borderId="3" xfId="0" applyNumberFormat="1" applyBorder="1" applyAlignment="1">
      <alignment horizontal="left"/>
    </xf>
    <xf numFmtId="14" fontId="19" fillId="0" borderId="3" xfId="0" applyNumberFormat="1" applyFont="1" applyBorder="1" applyAlignment="1">
      <alignment horizontal="left"/>
    </xf>
    <xf numFmtId="0" fontId="0" fillId="0" borderId="3" xfId="0" applyFont="1" applyBorder="1"/>
    <xf numFmtId="14" fontId="18" fillId="0" borderId="3" xfId="0" applyNumberFormat="1" applyFont="1" applyBorder="1" applyAlignment="1">
      <alignment horizontal="left"/>
    </xf>
    <xf numFmtId="14" fontId="3" fillId="0" borderId="3" xfId="0" applyNumberFormat="1" applyFont="1" applyBorder="1" applyAlignment="1">
      <alignment horizontal="left"/>
    </xf>
    <xf numFmtId="0" fontId="18" fillId="0" borderId="3" xfId="0" applyFont="1" applyFill="1" applyBorder="1"/>
    <xf numFmtId="0" fontId="2" fillId="0" borderId="3" xfId="0" applyFont="1" applyBorder="1"/>
    <xf numFmtId="0" fontId="9" fillId="0" borderId="3" xfId="0" applyFont="1" applyBorder="1"/>
    <xf numFmtId="0" fontId="18" fillId="0" borderId="0" xfId="0" applyFont="1"/>
    <xf numFmtId="0" fontId="9" fillId="11" borderId="0" xfId="0" quotePrefix="1" applyFont="1" applyFill="1" applyAlignment="1"/>
    <xf numFmtId="0" fontId="9" fillId="0" borderId="8" xfId="0" quotePrefix="1" applyFont="1" applyFill="1" applyBorder="1" applyAlignment="1"/>
    <xf numFmtId="0" fontId="19" fillId="0" borderId="8" xfId="0" applyFont="1" applyBorder="1" applyAlignment="1">
      <alignment horizontal="left"/>
    </xf>
    <xf numFmtId="0" fontId="0" fillId="0" borderId="8" xfId="0" applyBorder="1" applyAlignment="1">
      <alignment horizontal="left"/>
    </xf>
    <xf numFmtId="0" fontId="20" fillId="0" borderId="8" xfId="0" applyFont="1" applyBorder="1" applyAlignment="1">
      <alignment horizontal="left"/>
    </xf>
    <xf numFmtId="14" fontId="0" fillId="0" borderId="8" xfId="0" applyNumberFormat="1" applyBorder="1" applyAlignment="1">
      <alignment horizontal="left"/>
    </xf>
    <xf numFmtId="14" fontId="19" fillId="0" borderId="8" xfId="0" applyNumberFormat="1" applyFont="1" applyBorder="1" applyAlignment="1">
      <alignment horizontal="left"/>
    </xf>
    <xf numFmtId="14" fontId="0" fillId="0" borderId="3" xfId="0" applyNumberFormat="1" applyFont="1" applyBorder="1" applyAlignment="1">
      <alignment horizontal="left"/>
    </xf>
    <xf numFmtId="0" fontId="3" fillId="0" borderId="3" xfId="0" applyFont="1" applyBorder="1"/>
    <xf numFmtId="0" fontId="4" fillId="0" borderId="3" xfId="0" applyFont="1" applyBorder="1" applyAlignment="1">
      <alignment horizontal="left"/>
    </xf>
    <xf numFmtId="0" fontId="19" fillId="0" borderId="3" xfId="0" applyFont="1" applyFill="1" applyBorder="1" applyAlignment="1">
      <alignment horizontal="left"/>
    </xf>
    <xf numFmtId="0" fontId="20" fillId="0" borderId="3" xfId="0" applyFont="1" applyFill="1" applyBorder="1" applyAlignment="1">
      <alignment horizontal="left"/>
    </xf>
    <xf numFmtId="0" fontId="0" fillId="0" borderId="3" xfId="0" applyFont="1" applyFill="1" applyBorder="1" applyAlignment="1">
      <alignment horizontal="left"/>
    </xf>
    <xf numFmtId="0" fontId="0" fillId="0" borderId="3" xfId="0" applyFont="1" applyFill="1" applyBorder="1"/>
    <xf numFmtId="0" fontId="0" fillId="0" borderId="3" xfId="0" applyFill="1" applyBorder="1" applyAlignment="1">
      <alignment horizontal="left"/>
    </xf>
    <xf numFmtId="0" fontId="21" fillId="0" borderId="3" xfId="0" applyFont="1" applyFill="1" applyBorder="1" applyAlignment="1">
      <alignment horizontal="left"/>
    </xf>
    <xf numFmtId="0" fontId="21" fillId="0" borderId="3" xfId="0" applyFont="1" applyFill="1" applyBorder="1"/>
    <xf numFmtId="0" fontId="2" fillId="0" borderId="3" xfId="0" applyFont="1" applyFill="1" applyBorder="1"/>
    <xf numFmtId="0" fontId="3" fillId="0" borderId="3" xfId="0" quotePrefix="1" applyFont="1" applyBorder="1" applyAlignment="1">
      <alignment horizontal="left"/>
    </xf>
    <xf numFmtId="0" fontId="3" fillId="0" borderId="3" xfId="0" applyFont="1" applyFill="1" applyBorder="1" applyAlignment="1" applyProtection="1"/>
    <xf numFmtId="0" fontId="0" fillId="0" borderId="3" xfId="0" applyFont="1" applyBorder="1" applyAlignment="1">
      <alignment horizontal="left" vertical="top"/>
    </xf>
    <xf numFmtId="14" fontId="0" fillId="0" borderId="3" xfId="0" applyNumberFormat="1" applyFont="1" applyFill="1" applyBorder="1" applyAlignment="1">
      <alignment horizontal="left"/>
    </xf>
    <xf numFmtId="0" fontId="18" fillId="0" borderId="0" xfId="0" applyFont="1" applyFill="1"/>
    <xf numFmtId="164" fontId="3" fillId="0" borderId="3" xfId="0" applyNumberFormat="1" applyFont="1" applyFill="1" applyBorder="1" applyAlignment="1">
      <alignment horizontal="left"/>
    </xf>
    <xf numFmtId="0" fontId="0" fillId="0" borderId="3" xfId="0" applyBorder="1" applyAlignment="1">
      <alignment horizontal="left" vertical="top"/>
    </xf>
    <xf numFmtId="14" fontId="0" fillId="0" borderId="3" xfId="0" applyNumberFormat="1" applyFill="1" applyBorder="1" applyAlignment="1">
      <alignment horizontal="left"/>
    </xf>
    <xf numFmtId="0" fontId="18" fillId="0" borderId="3" xfId="0" applyFont="1" applyBorder="1" applyAlignment="1">
      <alignment horizontal="left" vertical="top"/>
    </xf>
    <xf numFmtId="0" fontId="10" fillId="0" borderId="3" xfId="0" applyFont="1" applyBorder="1"/>
    <xf numFmtId="0" fontId="0" fillId="0" borderId="8" xfId="0" applyFill="1" applyBorder="1" applyAlignment="1">
      <alignment horizontal="left"/>
    </xf>
    <xf numFmtId="14" fontId="0" fillId="0" borderId="8" xfId="0" applyNumberFormat="1" applyFill="1" applyBorder="1" applyAlignment="1">
      <alignment horizontal="left"/>
    </xf>
    <xf numFmtId="0" fontId="19" fillId="0" borderId="8" xfId="0" applyFont="1" applyFill="1" applyBorder="1" applyAlignment="1">
      <alignment horizontal="left"/>
    </xf>
    <xf numFmtId="0" fontId="3" fillId="0" borderId="3" xfId="0" applyFont="1" applyBorder="1" applyAlignment="1">
      <alignment horizontal="left" wrapText="1"/>
    </xf>
    <xf numFmtId="14" fontId="3" fillId="0" borderId="3" xfId="0" applyNumberFormat="1" applyFont="1" applyFill="1" applyBorder="1" applyAlignment="1">
      <alignment horizontal="left"/>
    </xf>
    <xf numFmtId="0" fontId="9" fillId="0" borderId="0" xfId="0" applyFont="1" applyFill="1"/>
    <xf numFmtId="0" fontId="9" fillId="0" borderId="3" xfId="0" applyFont="1" applyFill="1" applyBorder="1" applyAlignment="1">
      <alignment horizontal="left"/>
    </xf>
    <xf numFmtId="0" fontId="18" fillId="0" borderId="3" xfId="0" applyFont="1" applyBorder="1" applyAlignment="1"/>
    <xf numFmtId="0" fontId="18" fillId="0" borderId="3" xfId="0" applyFont="1" applyFill="1" applyBorder="1" applyAlignment="1">
      <alignment vertical="center"/>
    </xf>
    <xf numFmtId="0" fontId="3" fillId="0" borderId="3" xfId="0" applyFont="1" applyFill="1" applyBorder="1"/>
    <xf numFmtId="0" fontId="18" fillId="0" borderId="3" xfId="0" applyFont="1" applyFill="1" applyBorder="1" applyAlignment="1" applyProtection="1"/>
    <xf numFmtId="164" fontId="18" fillId="0" borderId="3" xfId="0" applyNumberFormat="1" applyFont="1" applyBorder="1" applyAlignment="1">
      <alignment horizontal="left"/>
    </xf>
    <xf numFmtId="0" fontId="18" fillId="0" borderId="0" xfId="0" applyFont="1" applyAlignment="1"/>
    <xf numFmtId="0" fontId="9" fillId="0" borderId="9" xfId="0" applyFont="1" applyFill="1" applyBorder="1" applyAlignment="1">
      <alignment horizontal="left"/>
    </xf>
    <xf numFmtId="0" fontId="9" fillId="0" borderId="0" xfId="0" quotePrefix="1" applyFont="1" applyFill="1" applyAlignment="1"/>
    <xf numFmtId="0" fontId="11" fillId="12" borderId="0" xfId="0" applyFont="1" applyFill="1" applyAlignment="1"/>
    <xf numFmtId="0" fontId="9" fillId="12" borderId="0" xfId="0" applyFont="1" applyFill="1" applyAlignment="1"/>
    <xf numFmtId="0" fontId="3" fillId="0" borderId="3" xfId="2" applyFont="1" applyFill="1" applyBorder="1" applyAlignment="1">
      <alignment horizontal="left"/>
    </xf>
    <xf numFmtId="0" fontId="3" fillId="0" borderId="5" xfId="2" applyFont="1" applyBorder="1" applyAlignment="1">
      <alignment horizontal="left"/>
    </xf>
    <xf numFmtId="0" fontId="3" fillId="0" borderId="3" xfId="2" applyFont="1" applyBorder="1" applyAlignment="1">
      <alignment horizontal="left"/>
    </xf>
    <xf numFmtId="0" fontId="4" fillId="0" borderId="3" xfId="2" applyFill="1" applyBorder="1" applyAlignment="1">
      <alignment horizontal="left"/>
    </xf>
    <xf numFmtId="0" fontId="3" fillId="0" borderId="14" xfId="2" applyFont="1" applyFill="1" applyBorder="1" applyAlignment="1">
      <alignment horizontal="left"/>
    </xf>
    <xf numFmtId="0" fontId="2" fillId="0" borderId="3" xfId="2" applyFont="1" applyBorder="1" applyAlignment="1">
      <alignment horizontal="left"/>
    </xf>
    <xf numFmtId="0" fontId="18" fillId="0" borderId="14" xfId="2" applyFont="1" applyBorder="1" applyAlignment="1">
      <alignment horizontal="left"/>
    </xf>
    <xf numFmtId="0" fontId="18" fillId="0" borderId="3" xfId="2" applyFont="1" applyBorder="1" applyAlignment="1">
      <alignment horizontal="left"/>
    </xf>
    <xf numFmtId="0" fontId="9" fillId="0" borderId="5" xfId="2" applyFont="1" applyBorder="1" applyAlignment="1">
      <alignment horizontal="left"/>
    </xf>
    <xf numFmtId="14" fontId="3" fillId="0" borderId="14" xfId="2" applyNumberFormat="1" applyFont="1" applyBorder="1" applyAlignment="1">
      <alignment horizontal="left"/>
    </xf>
    <xf numFmtId="14" fontId="3" fillId="0" borderId="3" xfId="2" applyNumberFormat="1" applyFont="1" applyFill="1" applyBorder="1" applyAlignment="1">
      <alignment horizontal="left"/>
    </xf>
    <xf numFmtId="14" fontId="4" fillId="0" borderId="3" xfId="2" applyNumberFormat="1" applyBorder="1" applyAlignment="1">
      <alignment horizontal="left"/>
    </xf>
    <xf numFmtId="0" fontId="4" fillId="0" borderId="5" xfId="2" applyBorder="1"/>
    <xf numFmtId="0" fontId="4" fillId="0" borderId="3" xfId="2" applyBorder="1"/>
    <xf numFmtId="0" fontId="3" fillId="0" borderId="5" xfId="2" applyFont="1" applyFill="1" applyBorder="1" applyAlignment="1">
      <alignment horizontal="left"/>
    </xf>
    <xf numFmtId="14" fontId="3" fillId="0" borderId="3" xfId="2" applyNumberFormat="1" applyFont="1" applyBorder="1" applyAlignment="1">
      <alignment horizontal="left"/>
    </xf>
    <xf numFmtId="0" fontId="0" fillId="0" borderId="13" xfId="0" applyFont="1" applyFill="1" applyBorder="1" applyAlignment="1">
      <alignment horizontal="left"/>
    </xf>
    <xf numFmtId="0" fontId="0" fillId="0" borderId="2" xfId="0" applyFont="1" applyFill="1" applyBorder="1" applyAlignment="1"/>
    <xf numFmtId="14" fontId="0" fillId="0" borderId="2" xfId="0" applyNumberFormat="1" applyFont="1" applyFill="1" applyBorder="1" applyAlignment="1"/>
    <xf numFmtId="0" fontId="0" fillId="0" borderId="4" xfId="0" applyFont="1" applyFill="1" applyBorder="1" applyAlignment="1"/>
    <xf numFmtId="0" fontId="3" fillId="0" borderId="8" xfId="2" applyFont="1" applyFill="1" applyBorder="1" applyAlignment="1">
      <alignment horizontal="left"/>
    </xf>
    <xf numFmtId="0" fontId="3" fillId="0" borderId="9" xfId="2" applyFont="1" applyBorder="1" applyAlignment="1">
      <alignment horizontal="left"/>
    </xf>
    <xf numFmtId="0" fontId="3" fillId="0" borderId="8" xfId="2" applyFont="1" applyBorder="1" applyAlignment="1">
      <alignment horizontal="left"/>
    </xf>
    <xf numFmtId="0" fontId="3" fillId="0" borderId="9" xfId="2" applyFont="1" applyFill="1" applyBorder="1" applyAlignment="1">
      <alignment horizontal="left"/>
    </xf>
    <xf numFmtId="0" fontId="2" fillId="0" borderId="8" xfId="2" applyFont="1" applyBorder="1" applyAlignment="1">
      <alignment horizontal="left"/>
    </xf>
    <xf numFmtId="0" fontId="18" fillId="0" borderId="10" xfId="2" applyFont="1" applyBorder="1" applyAlignment="1">
      <alignment horizontal="left"/>
    </xf>
    <xf numFmtId="0" fontId="18" fillId="0" borderId="8" xfId="2" applyFont="1" applyBorder="1" applyAlignment="1">
      <alignment horizontal="left"/>
    </xf>
    <xf numFmtId="0" fontId="9" fillId="0" borderId="8" xfId="2" applyFont="1" applyBorder="1" applyAlignment="1">
      <alignment horizontal="left"/>
    </xf>
    <xf numFmtId="14" fontId="3" fillId="0" borderId="10" xfId="2" applyNumberFormat="1" applyFont="1" applyBorder="1" applyAlignment="1">
      <alignment horizontal="left"/>
    </xf>
    <xf numFmtId="0" fontId="22" fillId="0" borderId="3" xfId="0" applyFont="1" applyBorder="1" applyAlignment="1">
      <alignment horizontal="left"/>
    </xf>
    <xf numFmtId="164" fontId="19" fillId="0" borderId="3" xfId="0" applyNumberFormat="1" applyFont="1" applyBorder="1" applyAlignment="1">
      <alignment horizontal="left"/>
    </xf>
    <xf numFmtId="0" fontId="18" fillId="0" borderId="8" xfId="0" applyFont="1" applyBorder="1" applyAlignment="1">
      <alignment horizontal="left"/>
    </xf>
    <xf numFmtId="0" fontId="2" fillId="0" borderId="8" xfId="0" applyFont="1" applyBorder="1" applyAlignment="1">
      <alignment horizontal="left"/>
    </xf>
    <xf numFmtId="0" fontId="3" fillId="0" borderId="9" xfId="0" applyFont="1" applyBorder="1" applyAlignment="1">
      <alignment horizontal="left"/>
    </xf>
    <xf numFmtId="14" fontId="3" fillId="0" borderId="8" xfId="2" applyNumberFormat="1" applyFont="1" applyBorder="1" applyAlignment="1">
      <alignment horizontal="left"/>
    </xf>
    <xf numFmtId="0" fontId="3" fillId="0" borderId="8" xfId="2" applyFont="1" applyBorder="1" applyAlignment="1">
      <alignment horizontal="left" wrapText="1"/>
    </xf>
    <xf numFmtId="0" fontId="4" fillId="0" borderId="9" xfId="2" applyBorder="1"/>
    <xf numFmtId="0" fontId="4" fillId="0" borderId="8" xfId="2" applyBorder="1"/>
    <xf numFmtId="0" fontId="18" fillId="0" borderId="10" xfId="2" applyFont="1" applyFill="1" applyBorder="1" applyAlignment="1">
      <alignment horizontal="left"/>
    </xf>
    <xf numFmtId="0" fontId="18" fillId="0" borderId="8" xfId="2" applyFont="1" applyFill="1" applyBorder="1" applyAlignment="1">
      <alignment horizontal="left"/>
    </xf>
    <xf numFmtId="0" fontId="9" fillId="0" borderId="8" xfId="2" applyFont="1" applyFill="1" applyBorder="1" applyAlignment="1">
      <alignment horizontal="left"/>
    </xf>
    <xf numFmtId="14" fontId="3" fillId="0" borderId="10" xfId="2" applyNumberFormat="1" applyFont="1" applyFill="1" applyBorder="1" applyAlignment="1">
      <alignment horizontal="left"/>
    </xf>
    <xf numFmtId="0" fontId="4" fillId="0" borderId="9" xfId="2" applyFill="1" applyBorder="1"/>
    <xf numFmtId="0" fontId="23" fillId="0" borderId="3" xfId="0" applyFont="1" applyBorder="1" applyAlignment="1">
      <alignment horizontal="left"/>
    </xf>
    <xf numFmtId="0" fontId="24" fillId="0" borderId="3" xfId="0" applyFont="1" applyBorder="1" applyAlignment="1">
      <alignment horizontal="left"/>
    </xf>
    <xf numFmtId="0" fontId="25" fillId="0" borderId="3" xfId="0" applyFont="1" applyBorder="1" applyAlignment="1">
      <alignment horizontal="left"/>
    </xf>
    <xf numFmtId="164" fontId="23" fillId="0" borderId="3" xfId="0" applyNumberFormat="1" applyFont="1" applyBorder="1" applyAlignment="1">
      <alignment horizontal="left"/>
    </xf>
    <xf numFmtId="0" fontId="25" fillId="0" borderId="3" xfId="0" applyFont="1" applyBorder="1"/>
    <xf numFmtId="0" fontId="3" fillId="0" borderId="3" xfId="0" applyFont="1" applyBorder="1" applyAlignment="1">
      <alignment wrapText="1"/>
    </xf>
    <xf numFmtId="0" fontId="9" fillId="9" borderId="8" xfId="0" applyFont="1" applyFill="1" applyBorder="1" applyAlignment="1">
      <alignment horizontal="center" vertical="center"/>
    </xf>
    <xf numFmtId="0" fontId="0" fillId="9" borderId="8" xfId="0" applyFont="1" applyFill="1" applyBorder="1" applyAlignment="1">
      <alignment horizontal="center" vertical="center"/>
    </xf>
    <xf numFmtId="0" fontId="0" fillId="9" borderId="9" xfId="0" applyFont="1" applyFill="1" applyBorder="1" applyAlignment="1">
      <alignment horizontal="center" vertical="center"/>
    </xf>
    <xf numFmtId="0" fontId="4" fillId="2" borderId="8" xfId="0" applyFont="1" applyFill="1" applyBorder="1" applyAlignment="1">
      <alignment horizontal="center" vertical="center"/>
    </xf>
    <xf numFmtId="0" fontId="9" fillId="4" borderId="8"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9" fillId="8" borderId="8" xfId="0" applyFont="1" applyFill="1" applyBorder="1" applyAlignment="1">
      <alignment horizontal="center" vertical="center" wrapText="1"/>
    </xf>
    <xf numFmtId="0" fontId="4" fillId="2" borderId="8" xfId="0" applyFont="1" applyFill="1" applyBorder="1" applyAlignment="1">
      <alignment horizontal="center"/>
    </xf>
    <xf numFmtId="0" fontId="9" fillId="0" borderId="8" xfId="0" applyFont="1" applyBorder="1" applyAlignment="1">
      <alignment horizontal="center"/>
    </xf>
    <xf numFmtId="0" fontId="9" fillId="8" borderId="9" xfId="0" applyFont="1" applyFill="1" applyBorder="1" applyAlignment="1">
      <alignment horizontal="center" vertical="center" wrapText="1"/>
    </xf>
    <xf numFmtId="0" fontId="9" fillId="9" borderId="2" xfId="0" applyFont="1" applyFill="1" applyBorder="1" applyAlignment="1">
      <alignment horizontal="center" vertical="center"/>
    </xf>
    <xf numFmtId="0" fontId="9" fillId="9" borderId="4" xfId="0" applyFont="1" applyFill="1" applyBorder="1" applyAlignment="1">
      <alignment horizontal="center" vertical="center"/>
    </xf>
    <xf numFmtId="0" fontId="4" fillId="2" borderId="2" xfId="0" applyFont="1" applyFill="1" applyBorder="1" applyAlignment="1">
      <alignment horizontal="center"/>
    </xf>
    <xf numFmtId="0" fontId="9" fillId="0" borderId="2" xfId="0" applyFont="1" applyBorder="1" applyAlignment="1">
      <alignment horizontal="center"/>
    </xf>
    <xf numFmtId="0" fontId="9" fillId="3"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9" fillId="8" borderId="2" xfId="0" applyFont="1" applyFill="1" applyBorder="1" applyAlignment="1">
      <alignment horizontal="center" vertical="center" wrapText="1"/>
    </xf>
  </cellXfs>
  <cellStyles count="3">
    <cellStyle name="Link" xfId="1" builtinId="8"/>
    <cellStyle name="Standard" xfId="0" builtinId="0"/>
    <cellStyle name="Standard 2" xfId="2" xr:uid="{52DC5222-11EA-4F9A-8A1C-AF0557D8781A}"/>
  </cellStyles>
  <dxfs count="0"/>
  <tableStyles count="0" defaultTableStyle="TableStyleMedium2" defaultPivotStyle="PivotStyleLight16"/>
  <colors>
    <mruColors>
      <color rgb="FFC9A4E4"/>
      <color rgb="FFD3B5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apenergy.2019.113632" TargetMode="External"/><Relationship Id="rId13" Type="http://schemas.openxmlformats.org/officeDocument/2006/relationships/hyperlink" Target="https://doi.org/10.1016/j.apenergy.2019.113632" TargetMode="External"/><Relationship Id="rId3" Type="http://schemas.openxmlformats.org/officeDocument/2006/relationships/hyperlink" Target="http://www.diw.de/documents/publikationen/73/diw_01.c.532381.de/dp1570.pdf" TargetMode="External"/><Relationship Id="rId7" Type="http://schemas.openxmlformats.org/officeDocument/2006/relationships/hyperlink" Target="https://doi.org/10.1021/es100044n" TargetMode="External"/><Relationship Id="rId12" Type="http://schemas.openxmlformats.org/officeDocument/2006/relationships/hyperlink" Target="https://doi.org/10.1016/j.apenergy.2019.113632" TargetMode="External"/><Relationship Id="rId17" Type="http://schemas.openxmlformats.org/officeDocument/2006/relationships/printerSettings" Target="../printerSettings/printerSettings2.bin"/><Relationship Id="rId2" Type="http://schemas.openxmlformats.org/officeDocument/2006/relationships/hyperlink" Target="https://figshare.com/articles/Metal_content_of_commodities/5221306" TargetMode="External"/><Relationship Id="rId16" Type="http://schemas.openxmlformats.org/officeDocument/2006/relationships/hyperlink" Target="https://doi.org/10.1016/j.apenergy.2019.113632" TargetMode="External"/><Relationship Id="rId1" Type="http://schemas.openxmlformats.org/officeDocument/2006/relationships/hyperlink" Target="https://doi.org/10.1021/es302433p" TargetMode="External"/><Relationship Id="rId6" Type="http://schemas.openxmlformats.org/officeDocument/2006/relationships/hyperlink" Target="https://doi.org/10.1021/es302433p" TargetMode="External"/><Relationship Id="rId11" Type="http://schemas.openxmlformats.org/officeDocument/2006/relationships/hyperlink" Target="https://doi.org/10.1016/j.apenergy.2019.113632" TargetMode="External"/><Relationship Id="rId5" Type="http://schemas.openxmlformats.org/officeDocument/2006/relationships/hyperlink" Target="https://doi.org/10.1016/j.resconrec.2012.11.008" TargetMode="External"/><Relationship Id="rId15" Type="http://schemas.openxmlformats.org/officeDocument/2006/relationships/hyperlink" Target="https://doi.org/10.1016/j.apenergy.2019.113632" TargetMode="External"/><Relationship Id="rId10" Type="http://schemas.openxmlformats.org/officeDocument/2006/relationships/hyperlink" Target="https://doi.org/10.1016/j.apenergy.2019.113632" TargetMode="External"/><Relationship Id="rId4" Type="http://schemas.openxmlformats.org/officeDocument/2006/relationships/hyperlink" Target="https://www.steel.org/~/media/Files/SMDI/Sustainability/3rs.pdf?la=en" TargetMode="External"/><Relationship Id="rId9" Type="http://schemas.openxmlformats.org/officeDocument/2006/relationships/hyperlink" Target="https://doi.org/10.1016/j.apenergy.2019.113632" TargetMode="External"/><Relationship Id="rId14" Type="http://schemas.openxmlformats.org/officeDocument/2006/relationships/hyperlink" Target="https://doi.org/10.1016/j.apenergy.2019.11363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i.org/10.1016/j.resconrec.2012.11.008" TargetMode="External"/><Relationship Id="rId18" Type="http://schemas.openxmlformats.org/officeDocument/2006/relationships/hyperlink" Target="https://doi.org/10.1016/j.resconrec.2012.11.008" TargetMode="External"/><Relationship Id="rId26" Type="http://schemas.openxmlformats.org/officeDocument/2006/relationships/hyperlink" Target="https://doi.org/10.1016/j.resconrec.2012.11.008" TargetMode="External"/><Relationship Id="rId39" Type="http://schemas.openxmlformats.org/officeDocument/2006/relationships/hyperlink" Target="https://doi.org/10.1016/j.resconrec.2012.11.008" TargetMode="External"/><Relationship Id="rId21" Type="http://schemas.openxmlformats.org/officeDocument/2006/relationships/hyperlink" Target="https://doi.org/10.1016/j.resconrec.2012.11.008" TargetMode="External"/><Relationship Id="rId34" Type="http://schemas.openxmlformats.org/officeDocument/2006/relationships/hyperlink" Target="https://doi.org/10.1016/j.resconrec.2012.11.008" TargetMode="External"/><Relationship Id="rId42" Type="http://schemas.openxmlformats.org/officeDocument/2006/relationships/hyperlink" Target="https://doi.org/10.1016/j.resconrec.2012.11.008" TargetMode="External"/><Relationship Id="rId7" Type="http://schemas.openxmlformats.org/officeDocument/2006/relationships/hyperlink" Target="https://doi.org/10.1016/j.resconrec.2012.11.008" TargetMode="External"/><Relationship Id="rId2" Type="http://schemas.openxmlformats.org/officeDocument/2006/relationships/hyperlink" Target="https://doi.org/10.1016/j.resconrec.2012.11.008" TargetMode="External"/><Relationship Id="rId16" Type="http://schemas.openxmlformats.org/officeDocument/2006/relationships/hyperlink" Target="https://doi.org/10.1016/j.resconrec.2012.11.008" TargetMode="External"/><Relationship Id="rId29" Type="http://schemas.openxmlformats.org/officeDocument/2006/relationships/hyperlink" Target="https://doi.org/10.1016/j.resconrec.2012.11.008" TargetMode="External"/><Relationship Id="rId1" Type="http://schemas.openxmlformats.org/officeDocument/2006/relationships/hyperlink" Target="https://doi.org/10.1016/j.resconrec.2012.11.008" TargetMode="External"/><Relationship Id="rId6" Type="http://schemas.openxmlformats.org/officeDocument/2006/relationships/hyperlink" Target="https://doi.org/10.1016/j.resconrec.2012.11.008" TargetMode="External"/><Relationship Id="rId11" Type="http://schemas.openxmlformats.org/officeDocument/2006/relationships/hyperlink" Target="https://doi.org/10.1016/j.resconrec.2012.11.008" TargetMode="External"/><Relationship Id="rId24" Type="http://schemas.openxmlformats.org/officeDocument/2006/relationships/hyperlink" Target="https://doi.org/10.1016/j.resconrec.2012.11.008" TargetMode="External"/><Relationship Id="rId32" Type="http://schemas.openxmlformats.org/officeDocument/2006/relationships/hyperlink" Target="https://doi.org/10.1016/j.resconrec.2012.11.008" TargetMode="External"/><Relationship Id="rId37" Type="http://schemas.openxmlformats.org/officeDocument/2006/relationships/hyperlink" Target="https://doi.org/10.1016/j.resconrec.2012.11.008" TargetMode="External"/><Relationship Id="rId40" Type="http://schemas.openxmlformats.org/officeDocument/2006/relationships/hyperlink" Target="https://doi.org/10.1016/j.resconrec.2012.11.008" TargetMode="External"/><Relationship Id="rId45" Type="http://schemas.openxmlformats.org/officeDocument/2006/relationships/hyperlink" Target="https://doi.org/10.1016/j.resconrec.2012.11.008" TargetMode="External"/><Relationship Id="rId5" Type="http://schemas.openxmlformats.org/officeDocument/2006/relationships/hyperlink" Target="https://doi.org/10.1016/j.resconrec.2012.11.008" TargetMode="External"/><Relationship Id="rId15" Type="http://schemas.openxmlformats.org/officeDocument/2006/relationships/hyperlink" Target="https://doi.org/10.1016/j.resconrec.2012.11.008" TargetMode="External"/><Relationship Id="rId23" Type="http://schemas.openxmlformats.org/officeDocument/2006/relationships/hyperlink" Target="https://doi.org/10.1016/j.resconrec.2012.11.008" TargetMode="External"/><Relationship Id="rId28" Type="http://schemas.openxmlformats.org/officeDocument/2006/relationships/hyperlink" Target="https://doi.org/10.1016/j.resconrec.2012.11.008" TargetMode="External"/><Relationship Id="rId36" Type="http://schemas.openxmlformats.org/officeDocument/2006/relationships/hyperlink" Target="https://doi.org/10.1016/j.resconrec.2012.11.008" TargetMode="External"/><Relationship Id="rId10" Type="http://schemas.openxmlformats.org/officeDocument/2006/relationships/hyperlink" Target="https://doi.org/10.1016/j.resconrec.2012.11.008" TargetMode="External"/><Relationship Id="rId19" Type="http://schemas.openxmlformats.org/officeDocument/2006/relationships/hyperlink" Target="https://doi.org/10.1016/j.resconrec.2012.11.008" TargetMode="External"/><Relationship Id="rId31" Type="http://schemas.openxmlformats.org/officeDocument/2006/relationships/hyperlink" Target="https://doi.org/10.1016/j.resconrec.2012.11.008" TargetMode="External"/><Relationship Id="rId44" Type="http://schemas.openxmlformats.org/officeDocument/2006/relationships/hyperlink" Target="https://doi.org/10.1016/j.resconrec.2012.11.008" TargetMode="External"/><Relationship Id="rId4" Type="http://schemas.openxmlformats.org/officeDocument/2006/relationships/hyperlink" Target="https://doi.org/10.1016/j.resconrec.2012.11.008" TargetMode="External"/><Relationship Id="rId9" Type="http://schemas.openxmlformats.org/officeDocument/2006/relationships/hyperlink" Target="https://doi.org/10.1016/j.resconrec.2012.11.008" TargetMode="External"/><Relationship Id="rId14" Type="http://schemas.openxmlformats.org/officeDocument/2006/relationships/hyperlink" Target="https://doi.org/10.1016/j.resconrec.2012.11.008" TargetMode="External"/><Relationship Id="rId22" Type="http://schemas.openxmlformats.org/officeDocument/2006/relationships/hyperlink" Target="https://doi.org/10.1016/j.resconrec.2012.11.008" TargetMode="External"/><Relationship Id="rId27" Type="http://schemas.openxmlformats.org/officeDocument/2006/relationships/hyperlink" Target="https://doi.org/10.1016/j.resconrec.2012.11.008" TargetMode="External"/><Relationship Id="rId30" Type="http://schemas.openxmlformats.org/officeDocument/2006/relationships/hyperlink" Target="https://doi.org/10.1016/j.resconrec.2012.11.008" TargetMode="External"/><Relationship Id="rId35" Type="http://schemas.openxmlformats.org/officeDocument/2006/relationships/hyperlink" Target="https://doi.org/10.1016/j.resconrec.2012.11.008" TargetMode="External"/><Relationship Id="rId43" Type="http://schemas.openxmlformats.org/officeDocument/2006/relationships/hyperlink" Target="https://doi.org/10.1016/j.resconrec.2012.11.008" TargetMode="External"/><Relationship Id="rId8" Type="http://schemas.openxmlformats.org/officeDocument/2006/relationships/hyperlink" Target="https://doi.org/10.1016/j.resconrec.2012.11.008" TargetMode="External"/><Relationship Id="rId3" Type="http://schemas.openxmlformats.org/officeDocument/2006/relationships/hyperlink" Target="https://doi.org/10.1016/j.resconrec.2012.11.008" TargetMode="External"/><Relationship Id="rId12" Type="http://schemas.openxmlformats.org/officeDocument/2006/relationships/hyperlink" Target="https://doi.org/10.1016/j.resconrec.2012.11.008" TargetMode="External"/><Relationship Id="rId17" Type="http://schemas.openxmlformats.org/officeDocument/2006/relationships/hyperlink" Target="https://doi.org/10.1016/j.resconrec.2012.11.008" TargetMode="External"/><Relationship Id="rId25" Type="http://schemas.openxmlformats.org/officeDocument/2006/relationships/hyperlink" Target="https://doi.org/10.1016/j.resconrec.2012.11.008" TargetMode="External"/><Relationship Id="rId33" Type="http://schemas.openxmlformats.org/officeDocument/2006/relationships/hyperlink" Target="https://doi.org/10.1016/j.resconrec.2012.11.008" TargetMode="External"/><Relationship Id="rId38" Type="http://schemas.openxmlformats.org/officeDocument/2006/relationships/hyperlink" Target="https://doi.org/10.1016/j.resconrec.2012.11.008" TargetMode="External"/><Relationship Id="rId46" Type="http://schemas.openxmlformats.org/officeDocument/2006/relationships/printerSettings" Target="../printerSettings/printerSettings3.bin"/><Relationship Id="rId20" Type="http://schemas.openxmlformats.org/officeDocument/2006/relationships/hyperlink" Target="https://doi.org/10.1016/j.resconrec.2012.11.008" TargetMode="External"/><Relationship Id="rId41" Type="http://schemas.openxmlformats.org/officeDocument/2006/relationships/hyperlink" Target="https://doi.org/10.1016/j.resconrec.2012.11.00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32"/>
  <sheetViews>
    <sheetView workbookViewId="0">
      <pane xSplit="3" ySplit="3" topLeftCell="M4" activePane="bottomRight" state="frozen"/>
      <selection pane="topRight" activeCell="D1" sqref="D1"/>
      <selection pane="bottomLeft" activeCell="A4" sqref="A4"/>
      <selection pane="bottomRight" activeCell="M16" sqref="M16"/>
    </sheetView>
  </sheetViews>
  <sheetFormatPr baseColWidth="10" defaultRowHeight="13.2" x14ac:dyDescent="0.25"/>
  <cols>
    <col min="3" max="3" width="33" bestFit="1" customWidth="1"/>
    <col min="4" max="4" width="33" style="51" customWidth="1"/>
    <col min="5" max="5" width="28.33203125" customWidth="1"/>
    <col min="6" max="6" width="17.6640625" bestFit="1" customWidth="1"/>
    <col min="8" max="8" width="17.88671875" customWidth="1"/>
    <col min="14" max="15" width="10.6640625" style="105"/>
  </cols>
  <sheetData>
    <row r="1" spans="2:22" x14ac:dyDescent="0.25">
      <c r="R1" s="105"/>
      <c r="S1" s="105"/>
      <c r="T1" s="105"/>
      <c r="U1" s="105"/>
      <c r="V1" s="105"/>
    </row>
    <row r="2" spans="2:22" x14ac:dyDescent="0.25">
      <c r="B2" s="34" t="s">
        <v>186</v>
      </c>
      <c r="C2" s="35"/>
      <c r="D2" s="35"/>
    </row>
    <row r="3" spans="2:22" x14ac:dyDescent="0.25">
      <c r="B3" s="32"/>
      <c r="C3" s="31" t="s">
        <v>181</v>
      </c>
      <c r="D3" s="31" t="s">
        <v>182</v>
      </c>
      <c r="E3" s="39" t="s">
        <v>1386</v>
      </c>
      <c r="F3" s="39" t="s">
        <v>1387</v>
      </c>
      <c r="G3" s="39" t="s">
        <v>1365</v>
      </c>
      <c r="H3" s="39" t="s">
        <v>1511</v>
      </c>
      <c r="I3" s="39" t="s">
        <v>1503</v>
      </c>
      <c r="J3" s="39" t="s">
        <v>2122</v>
      </c>
      <c r="K3" s="39" t="s">
        <v>2156</v>
      </c>
      <c r="L3" s="39" t="s">
        <v>3442</v>
      </c>
      <c r="M3" s="39" t="s">
        <v>3445</v>
      </c>
      <c r="N3" s="39" t="s">
        <v>3905</v>
      </c>
      <c r="O3" s="39" t="s">
        <v>3953</v>
      </c>
      <c r="P3" s="39" t="s">
        <v>3899</v>
      </c>
      <c r="Q3" s="39" t="s">
        <v>3937</v>
      </c>
      <c r="R3" s="39" t="s">
        <v>4004</v>
      </c>
      <c r="S3" s="39" t="s">
        <v>2579</v>
      </c>
      <c r="T3" s="39" t="s">
        <v>4203</v>
      </c>
      <c r="U3" s="39" t="s">
        <v>1137</v>
      </c>
      <c r="V3" s="39" t="s">
        <v>4593</v>
      </c>
    </row>
    <row r="4" spans="2:22" x14ac:dyDescent="0.25">
      <c r="B4" s="295" t="s">
        <v>2</v>
      </c>
      <c r="C4" s="28" t="s">
        <v>421</v>
      </c>
      <c r="D4" s="25" t="s">
        <v>442</v>
      </c>
      <c r="E4" s="52">
        <v>1</v>
      </c>
      <c r="F4" s="57">
        <v>2</v>
      </c>
      <c r="G4" s="57">
        <v>3</v>
      </c>
      <c r="H4" s="57">
        <v>4</v>
      </c>
      <c r="I4" s="57">
        <v>5</v>
      </c>
      <c r="J4" s="140">
        <v>6</v>
      </c>
      <c r="K4" s="140">
        <v>7</v>
      </c>
      <c r="L4" s="140">
        <v>8</v>
      </c>
      <c r="M4" s="140">
        <v>9</v>
      </c>
      <c r="N4" s="140">
        <v>10</v>
      </c>
      <c r="O4" s="140">
        <v>11</v>
      </c>
      <c r="P4" s="140">
        <v>12</v>
      </c>
      <c r="Q4" s="140">
        <v>13</v>
      </c>
      <c r="R4" s="140">
        <v>14</v>
      </c>
      <c r="S4" s="140">
        <v>15</v>
      </c>
      <c r="T4" s="140">
        <v>16</v>
      </c>
      <c r="U4" s="140">
        <v>17</v>
      </c>
      <c r="V4" s="140">
        <v>18</v>
      </c>
    </row>
    <row r="5" spans="2:22" x14ac:dyDescent="0.25">
      <c r="B5" s="295"/>
      <c r="C5" s="26" t="s">
        <v>422</v>
      </c>
      <c r="D5" s="25" t="s">
        <v>442</v>
      </c>
      <c r="E5" s="118" t="s">
        <v>1130</v>
      </c>
      <c r="F5" s="119" t="s">
        <v>1131</v>
      </c>
      <c r="G5" s="119" t="s">
        <v>1365</v>
      </c>
      <c r="H5" s="119" t="s">
        <v>1511</v>
      </c>
      <c r="I5" s="119" t="s">
        <v>1505</v>
      </c>
      <c r="J5" s="118" t="s">
        <v>2122</v>
      </c>
      <c r="K5" s="118" t="s">
        <v>2156</v>
      </c>
      <c r="L5" s="118" t="s">
        <v>3442</v>
      </c>
      <c r="M5" s="118" t="s">
        <v>3445</v>
      </c>
      <c r="N5" s="118" t="s">
        <v>3905</v>
      </c>
      <c r="O5" s="118" t="s">
        <v>3953</v>
      </c>
      <c r="P5" s="118" t="s">
        <v>3899</v>
      </c>
      <c r="Q5" s="118" t="s">
        <v>3937</v>
      </c>
      <c r="R5" s="118" t="s">
        <v>4004</v>
      </c>
      <c r="S5" s="118" t="s">
        <v>2579</v>
      </c>
      <c r="T5" s="118" t="s">
        <v>4203</v>
      </c>
      <c r="U5" s="118" t="s">
        <v>1137</v>
      </c>
      <c r="V5" s="118" t="s">
        <v>4593</v>
      </c>
    </row>
    <row r="6" spans="2:22" ht="13.35" customHeight="1" x14ac:dyDescent="0.25">
      <c r="B6" s="296" t="s">
        <v>6</v>
      </c>
      <c r="C6" s="26" t="s">
        <v>423</v>
      </c>
      <c r="D6" s="26"/>
      <c r="E6" s="52"/>
      <c r="F6" s="52"/>
      <c r="G6" s="52"/>
      <c r="H6" s="52"/>
      <c r="I6" s="52"/>
      <c r="J6" s="121"/>
      <c r="K6" s="121"/>
      <c r="L6" s="121"/>
      <c r="M6" s="121"/>
      <c r="N6" s="121"/>
      <c r="O6" s="121"/>
      <c r="P6" s="121"/>
      <c r="Q6" s="121"/>
      <c r="R6" s="121"/>
      <c r="S6" s="121"/>
      <c r="T6" s="121"/>
      <c r="U6" s="121"/>
      <c r="V6" s="121"/>
    </row>
    <row r="7" spans="2:22" x14ac:dyDescent="0.25">
      <c r="B7" s="296"/>
      <c r="C7" s="26" t="s">
        <v>424</v>
      </c>
      <c r="D7" s="26"/>
      <c r="E7" s="52"/>
      <c r="F7" s="52"/>
      <c r="G7" s="52"/>
      <c r="H7" s="52"/>
      <c r="I7" s="52"/>
      <c r="J7" s="121"/>
      <c r="K7" s="121"/>
      <c r="L7" s="121"/>
      <c r="M7" s="121"/>
      <c r="N7" s="121"/>
      <c r="O7" s="121"/>
      <c r="P7" s="121"/>
      <c r="Q7" s="121"/>
      <c r="R7" s="121"/>
      <c r="S7" s="121"/>
      <c r="T7" s="121"/>
      <c r="U7" s="121"/>
      <c r="V7" s="121"/>
    </row>
    <row r="8" spans="2:22" x14ac:dyDescent="0.25">
      <c r="B8" s="296"/>
      <c r="C8" s="26" t="s">
        <v>425</v>
      </c>
      <c r="D8" s="26"/>
      <c r="E8" s="52"/>
      <c r="F8" s="52"/>
      <c r="G8" s="52"/>
      <c r="H8" s="52"/>
      <c r="I8" s="52"/>
      <c r="J8" s="121"/>
      <c r="K8" s="121"/>
      <c r="L8" s="121"/>
      <c r="M8" s="121"/>
      <c r="N8" s="121"/>
      <c r="O8" s="121"/>
      <c r="P8" s="121"/>
      <c r="Q8" s="121"/>
      <c r="R8" s="121"/>
      <c r="S8" s="121"/>
      <c r="T8" s="121"/>
      <c r="U8" s="121"/>
      <c r="V8" s="121"/>
    </row>
    <row r="9" spans="2:22" x14ac:dyDescent="0.25">
      <c r="B9" s="296"/>
      <c r="C9" s="28" t="s">
        <v>426</v>
      </c>
      <c r="D9" s="24"/>
      <c r="E9" s="52"/>
      <c r="F9" s="52"/>
      <c r="G9" s="52"/>
      <c r="H9" s="52"/>
      <c r="I9" s="52"/>
      <c r="J9" s="121"/>
      <c r="K9" s="121"/>
      <c r="L9" s="121"/>
      <c r="M9" s="121"/>
      <c r="N9" s="121"/>
      <c r="O9" s="121"/>
      <c r="P9" s="121"/>
      <c r="Q9" s="121"/>
      <c r="R9" s="121"/>
      <c r="S9" s="121"/>
      <c r="T9" s="121"/>
      <c r="U9" s="121"/>
      <c r="V9" s="121"/>
    </row>
    <row r="10" spans="2:22" x14ac:dyDescent="0.25">
      <c r="B10" s="296"/>
      <c r="C10" s="27" t="s">
        <v>427</v>
      </c>
      <c r="D10" s="24"/>
      <c r="E10" s="52"/>
      <c r="F10" s="52"/>
      <c r="G10" s="52"/>
      <c r="H10" s="52"/>
      <c r="I10" s="52"/>
      <c r="J10" s="121"/>
      <c r="K10" s="121"/>
      <c r="L10" s="121"/>
      <c r="M10" s="121"/>
      <c r="N10" s="121"/>
      <c r="O10" s="121"/>
      <c r="P10" s="121"/>
      <c r="Q10" s="121"/>
      <c r="R10" s="121"/>
      <c r="S10" s="121"/>
      <c r="T10" s="121"/>
      <c r="U10" s="121"/>
      <c r="V10" s="121"/>
    </row>
    <row r="11" spans="2:22" x14ac:dyDescent="0.25">
      <c r="B11" s="296"/>
      <c r="C11" s="27" t="s">
        <v>428</v>
      </c>
      <c r="D11" s="24"/>
      <c r="E11" s="52"/>
      <c r="F11" s="52"/>
      <c r="G11" s="52"/>
      <c r="H11" s="52"/>
      <c r="I11" s="52"/>
      <c r="J11" s="121"/>
      <c r="K11" s="121"/>
      <c r="L11" s="121"/>
      <c r="M11" s="121"/>
      <c r="N11" s="121"/>
      <c r="O11" s="121"/>
      <c r="P11" s="121"/>
      <c r="Q11" s="121"/>
      <c r="R11" s="121"/>
      <c r="S11" s="121"/>
      <c r="T11" s="121"/>
      <c r="U11" s="121"/>
      <c r="V11" s="121"/>
    </row>
    <row r="12" spans="2:22" x14ac:dyDescent="0.25">
      <c r="B12" s="296"/>
      <c r="C12" s="27" t="s">
        <v>429</v>
      </c>
      <c r="D12" s="24"/>
      <c r="E12" s="52"/>
      <c r="F12" s="52"/>
      <c r="G12" s="52"/>
      <c r="H12" s="52"/>
      <c r="I12" s="52"/>
      <c r="J12" s="121"/>
      <c r="K12" s="121"/>
      <c r="L12" s="121"/>
      <c r="M12" s="121"/>
      <c r="N12" s="121"/>
      <c r="O12" s="121"/>
      <c r="P12" s="121"/>
      <c r="Q12" s="121"/>
      <c r="R12" s="121"/>
      <c r="S12" s="121"/>
      <c r="T12" s="121"/>
      <c r="U12" s="121"/>
      <c r="V12" s="121"/>
    </row>
    <row r="13" spans="2:22" x14ac:dyDescent="0.25">
      <c r="B13" s="296"/>
      <c r="C13" s="27" t="s">
        <v>430</v>
      </c>
      <c r="D13" s="24"/>
      <c r="E13" s="52"/>
      <c r="F13" s="52"/>
      <c r="G13" s="52"/>
      <c r="H13" s="52"/>
      <c r="I13" s="52"/>
      <c r="J13" s="121"/>
      <c r="K13" s="121"/>
      <c r="L13" s="121"/>
      <c r="M13" s="121"/>
      <c r="N13" s="121"/>
      <c r="O13" s="121"/>
      <c r="P13" s="121"/>
      <c r="Q13" s="121"/>
      <c r="R13" s="121"/>
      <c r="S13" s="121"/>
      <c r="T13" s="121"/>
      <c r="U13" s="121"/>
      <c r="V13" s="121"/>
    </row>
    <row r="14" spans="2:22" x14ac:dyDescent="0.25">
      <c r="B14" s="296"/>
      <c r="C14" s="27" t="s">
        <v>431</v>
      </c>
      <c r="D14" s="24"/>
      <c r="E14" s="52"/>
      <c r="F14" s="52"/>
      <c r="G14" s="52"/>
      <c r="H14" s="52"/>
      <c r="I14" s="52"/>
      <c r="J14" s="121"/>
      <c r="K14" s="121"/>
      <c r="L14" s="121"/>
      <c r="M14" s="121"/>
      <c r="N14" s="121"/>
      <c r="O14" s="121"/>
      <c r="P14" s="121"/>
      <c r="Q14" s="121"/>
      <c r="R14" s="121"/>
      <c r="S14" s="121"/>
      <c r="T14" s="121"/>
      <c r="U14" s="121"/>
      <c r="V14" s="121"/>
    </row>
    <row r="15" spans="2:22" x14ac:dyDescent="0.25">
      <c r="B15" s="296"/>
      <c r="C15" s="27" t="s">
        <v>432</v>
      </c>
      <c r="D15" s="24"/>
      <c r="E15" s="52"/>
      <c r="F15" s="52"/>
      <c r="G15" s="52"/>
      <c r="H15" s="52"/>
      <c r="I15" s="52"/>
      <c r="J15" s="121"/>
      <c r="K15" s="121"/>
      <c r="L15" s="121"/>
      <c r="M15" s="121"/>
      <c r="N15" s="121"/>
      <c r="O15" s="121"/>
      <c r="P15" s="121"/>
      <c r="Q15" s="121"/>
      <c r="R15" s="121"/>
      <c r="S15" s="121"/>
      <c r="T15" s="121"/>
      <c r="U15" s="121"/>
      <c r="V15" s="121"/>
    </row>
    <row r="16" spans="2:22" x14ac:dyDescent="0.25">
      <c r="B16" s="296"/>
      <c r="C16" s="27" t="s">
        <v>433</v>
      </c>
      <c r="D16" s="25"/>
      <c r="E16" s="52"/>
      <c r="F16" s="52"/>
      <c r="G16" s="52"/>
      <c r="H16" s="52"/>
      <c r="I16" s="52"/>
      <c r="J16" s="121"/>
      <c r="K16" s="121"/>
      <c r="L16" s="121"/>
      <c r="M16" s="121"/>
      <c r="N16" s="121"/>
      <c r="O16" s="121"/>
      <c r="P16" s="121"/>
      <c r="Q16" s="121"/>
      <c r="R16" s="121"/>
      <c r="S16" s="121"/>
      <c r="T16" s="121"/>
      <c r="U16" s="121"/>
      <c r="V16" s="121"/>
    </row>
    <row r="17" spans="2:22" x14ac:dyDescent="0.25">
      <c r="B17" s="296"/>
      <c r="C17" s="27" t="s">
        <v>434</v>
      </c>
      <c r="D17" s="25"/>
      <c r="E17" s="52"/>
      <c r="F17" s="52"/>
      <c r="G17" s="52"/>
      <c r="H17" s="52"/>
      <c r="I17" s="52"/>
      <c r="J17" s="121"/>
      <c r="K17" s="121"/>
      <c r="L17" s="121"/>
      <c r="M17" s="121"/>
      <c r="N17" s="121"/>
      <c r="O17" s="121"/>
      <c r="P17" s="121"/>
      <c r="Q17" s="121"/>
      <c r="R17" s="121"/>
      <c r="S17" s="121"/>
      <c r="T17" s="121"/>
      <c r="U17" s="121"/>
      <c r="V17" s="121"/>
    </row>
    <row r="18" spans="2:22" x14ac:dyDescent="0.25">
      <c r="B18" s="296"/>
      <c r="C18" s="27" t="s">
        <v>435</v>
      </c>
      <c r="D18" s="25"/>
      <c r="E18" s="52"/>
      <c r="F18" s="52"/>
      <c r="G18" s="52"/>
      <c r="H18" s="52"/>
      <c r="I18" s="52"/>
      <c r="J18" s="121"/>
      <c r="K18" s="121"/>
      <c r="L18" s="121"/>
      <c r="M18" s="121"/>
      <c r="N18" s="121"/>
      <c r="O18" s="121"/>
      <c r="P18" s="121"/>
      <c r="Q18" s="121"/>
      <c r="R18" s="121"/>
      <c r="S18" s="121"/>
      <c r="T18" s="121"/>
      <c r="U18" s="121"/>
      <c r="V18" s="121"/>
    </row>
    <row r="19" spans="2:22" x14ac:dyDescent="0.25">
      <c r="B19" s="297" t="s">
        <v>0</v>
      </c>
      <c r="C19" s="27" t="s">
        <v>436</v>
      </c>
      <c r="D19" s="25"/>
      <c r="E19" s="52"/>
      <c r="F19" s="119" t="s">
        <v>1006</v>
      </c>
      <c r="G19" s="119" t="s">
        <v>1369</v>
      </c>
      <c r="H19" s="119" t="s">
        <v>1513</v>
      </c>
      <c r="I19" s="119" t="s">
        <v>1504</v>
      </c>
      <c r="J19" s="118" t="s">
        <v>2126</v>
      </c>
      <c r="K19" s="118" t="s">
        <v>2159</v>
      </c>
      <c r="L19" s="118" t="s">
        <v>3443</v>
      </c>
      <c r="M19" s="118" t="s">
        <v>3446</v>
      </c>
      <c r="N19" s="118" t="s">
        <v>3908</v>
      </c>
      <c r="O19" s="118" t="s">
        <v>3955</v>
      </c>
      <c r="P19" s="118" t="s">
        <v>3902</v>
      </c>
      <c r="Q19" s="118" t="s">
        <v>3941</v>
      </c>
      <c r="R19" s="118" t="s">
        <v>4006</v>
      </c>
      <c r="S19" s="118" t="s">
        <v>4215</v>
      </c>
      <c r="T19" s="118" t="s">
        <v>4214</v>
      </c>
      <c r="U19" s="118" t="s">
        <v>4213</v>
      </c>
      <c r="V19" s="118" t="s">
        <v>4596</v>
      </c>
    </row>
    <row r="20" spans="2:22" x14ac:dyDescent="0.25">
      <c r="B20" s="297"/>
      <c r="C20" s="27" t="s">
        <v>437</v>
      </c>
      <c r="D20" s="26" t="s">
        <v>442</v>
      </c>
      <c r="E20" s="119" t="s">
        <v>197</v>
      </c>
      <c r="F20" s="119" t="s">
        <v>1007</v>
      </c>
      <c r="G20" s="119" t="s">
        <v>1366</v>
      </c>
      <c r="H20" s="119" t="s">
        <v>1514</v>
      </c>
      <c r="I20" s="119" t="s">
        <v>1508</v>
      </c>
      <c r="J20" s="118" t="s">
        <v>2125</v>
      </c>
      <c r="K20" s="118" t="s">
        <v>2157</v>
      </c>
      <c r="L20" s="118" t="s">
        <v>3444</v>
      </c>
      <c r="M20" s="118" t="s">
        <v>3447</v>
      </c>
      <c r="N20" s="118" t="s">
        <v>3909</v>
      </c>
      <c r="O20" s="118" t="s">
        <v>3956</v>
      </c>
      <c r="P20" s="118" t="s">
        <v>3903</v>
      </c>
      <c r="Q20" s="118" t="s">
        <v>3942</v>
      </c>
      <c r="R20" s="118" t="s">
        <v>4007</v>
      </c>
      <c r="S20" s="118" t="s">
        <v>4210</v>
      </c>
      <c r="T20" s="118" t="s">
        <v>4211</v>
      </c>
      <c r="U20" s="118" t="s">
        <v>4212</v>
      </c>
      <c r="V20" s="118" t="s">
        <v>4595</v>
      </c>
    </row>
    <row r="21" spans="2:22" x14ac:dyDescent="0.25">
      <c r="B21" s="297"/>
      <c r="C21" s="27" t="s">
        <v>438</v>
      </c>
      <c r="D21" s="25"/>
      <c r="E21" s="52"/>
      <c r="F21" s="119" t="s">
        <v>1008</v>
      </c>
      <c r="G21" s="119" t="s">
        <v>1368</v>
      </c>
      <c r="H21" s="119" t="s">
        <v>1515</v>
      </c>
      <c r="I21" s="119" t="s">
        <v>1507</v>
      </c>
      <c r="J21" s="118" t="s">
        <v>2124</v>
      </c>
      <c r="K21" s="118" t="s">
        <v>2158</v>
      </c>
      <c r="L21" s="118" t="s">
        <v>4008</v>
      </c>
      <c r="M21" s="118" t="s">
        <v>3448</v>
      </c>
      <c r="N21" s="118"/>
      <c r="O21" s="118"/>
      <c r="P21" s="118"/>
      <c r="Q21" s="118"/>
      <c r="R21" s="118" t="s">
        <v>4009</v>
      </c>
      <c r="S21" s="118" t="s">
        <v>4207</v>
      </c>
      <c r="T21" s="118" t="s">
        <v>4208</v>
      </c>
      <c r="U21" s="118" t="s">
        <v>4209</v>
      </c>
      <c r="V21" s="118" t="s">
        <v>4597</v>
      </c>
    </row>
    <row r="22" spans="2:22" ht="13.35" customHeight="1" x14ac:dyDescent="0.25">
      <c r="B22" s="298" t="s">
        <v>8</v>
      </c>
      <c r="C22" s="26" t="s">
        <v>439</v>
      </c>
      <c r="D22" s="25"/>
      <c r="E22" s="26" t="s">
        <v>206</v>
      </c>
      <c r="F22" s="52" t="s">
        <v>860</v>
      </c>
      <c r="G22" s="52" t="s">
        <v>860</v>
      </c>
      <c r="H22" s="119" t="s">
        <v>861</v>
      </c>
      <c r="I22" s="119" t="s">
        <v>861</v>
      </c>
      <c r="J22" s="121" t="s">
        <v>860</v>
      </c>
      <c r="K22" s="121" t="s">
        <v>860</v>
      </c>
      <c r="L22" s="121" t="s">
        <v>860</v>
      </c>
      <c r="M22" s="121" t="s">
        <v>860</v>
      </c>
      <c r="N22" s="118" t="s">
        <v>861</v>
      </c>
      <c r="O22" s="118" t="s">
        <v>861</v>
      </c>
      <c r="P22" s="118" t="s">
        <v>861</v>
      </c>
      <c r="Q22" s="118" t="s">
        <v>861</v>
      </c>
      <c r="R22" s="118" t="s">
        <v>860</v>
      </c>
      <c r="S22" s="118" t="s">
        <v>860</v>
      </c>
      <c r="T22" s="118" t="s">
        <v>860</v>
      </c>
      <c r="U22" s="118" t="s">
        <v>860</v>
      </c>
      <c r="V22" s="118" t="s">
        <v>860</v>
      </c>
    </row>
    <row r="23" spans="2:22" x14ac:dyDescent="0.25">
      <c r="B23" s="298"/>
      <c r="C23" s="26" t="s">
        <v>440</v>
      </c>
      <c r="D23" s="25"/>
      <c r="E23" s="52"/>
      <c r="F23" s="52"/>
      <c r="G23" s="52"/>
      <c r="H23" s="52"/>
      <c r="I23" s="52"/>
      <c r="J23" s="121"/>
      <c r="K23" s="121"/>
      <c r="L23" s="121"/>
      <c r="M23" s="121"/>
      <c r="N23" s="121"/>
      <c r="O23" s="121"/>
      <c r="P23" s="121"/>
      <c r="Q23" s="121"/>
      <c r="R23" s="121"/>
      <c r="S23" s="121"/>
      <c r="T23" s="121"/>
      <c r="U23" s="121"/>
      <c r="V23" s="121"/>
    </row>
    <row r="24" spans="2:22" x14ac:dyDescent="0.25">
      <c r="B24" s="298"/>
      <c r="C24" s="25" t="s">
        <v>441</v>
      </c>
      <c r="D24" s="24"/>
      <c r="E24" s="52"/>
      <c r="F24" s="52"/>
      <c r="G24" s="52"/>
      <c r="H24" s="52"/>
      <c r="I24" s="52"/>
      <c r="J24" s="121"/>
      <c r="K24" s="121"/>
      <c r="L24" s="121"/>
      <c r="M24" s="121"/>
      <c r="N24" s="121"/>
      <c r="O24" s="121"/>
      <c r="P24" s="121"/>
      <c r="Q24" s="121"/>
      <c r="R24" s="121"/>
      <c r="S24" s="121"/>
      <c r="T24" s="121"/>
      <c r="U24" s="121"/>
      <c r="V24" s="121"/>
    </row>
    <row r="25" spans="2:22" x14ac:dyDescent="0.25">
      <c r="B25" s="298"/>
      <c r="C25" s="25" t="s">
        <v>443</v>
      </c>
      <c r="D25" s="24"/>
      <c r="E25" s="52"/>
      <c r="F25" s="52" t="s">
        <v>1005</v>
      </c>
      <c r="G25" s="90" t="s">
        <v>1367</v>
      </c>
      <c r="H25" s="90" t="s">
        <v>1512</v>
      </c>
      <c r="I25" s="90" t="s">
        <v>1506</v>
      </c>
      <c r="J25" s="170" t="s">
        <v>2123</v>
      </c>
      <c r="K25" s="231" t="s">
        <v>3440</v>
      </c>
      <c r="L25" s="170" t="s">
        <v>3441</v>
      </c>
      <c r="M25" s="170" t="s">
        <v>3459</v>
      </c>
      <c r="N25" s="170" t="s">
        <v>3901</v>
      </c>
      <c r="O25" s="170" t="s">
        <v>3954</v>
      </c>
      <c r="P25" s="170" t="s">
        <v>3900</v>
      </c>
      <c r="Q25" s="170" t="s">
        <v>3940</v>
      </c>
      <c r="R25" s="170" t="s">
        <v>4005</v>
      </c>
      <c r="S25" s="231" t="s">
        <v>4204</v>
      </c>
      <c r="T25" s="231" t="s">
        <v>4205</v>
      </c>
      <c r="U25" s="231" t="s">
        <v>4206</v>
      </c>
      <c r="V25" s="170" t="s">
        <v>4594</v>
      </c>
    </row>
    <row r="26" spans="2:22" x14ac:dyDescent="0.25">
      <c r="B26" s="298"/>
      <c r="C26" s="25" t="s">
        <v>444</v>
      </c>
      <c r="D26" s="24"/>
      <c r="E26" s="119" t="s">
        <v>208</v>
      </c>
      <c r="F26" s="52"/>
      <c r="G26" s="52"/>
      <c r="H26" s="52"/>
      <c r="I26" s="52"/>
      <c r="J26" s="121"/>
      <c r="K26" s="121"/>
      <c r="L26" s="121"/>
      <c r="M26" s="121"/>
      <c r="N26" s="121"/>
      <c r="O26" s="121"/>
      <c r="P26" s="121"/>
      <c r="Q26" s="121"/>
      <c r="R26" s="121"/>
      <c r="S26" s="121"/>
      <c r="T26" s="121"/>
      <c r="U26" s="121"/>
      <c r="V26" s="121"/>
    </row>
    <row r="27" spans="2:22" x14ac:dyDescent="0.25">
      <c r="B27" s="298"/>
      <c r="C27" s="25" t="s">
        <v>445</v>
      </c>
      <c r="D27" s="24"/>
      <c r="E27" s="52"/>
      <c r="F27" s="52"/>
      <c r="G27" s="52"/>
      <c r="H27" s="52"/>
      <c r="I27" s="52"/>
      <c r="J27" s="121"/>
      <c r="K27" s="121"/>
      <c r="L27" s="121"/>
      <c r="M27" s="121"/>
      <c r="N27" s="121"/>
      <c r="O27" s="121"/>
      <c r="P27" s="121"/>
      <c r="Q27" s="121"/>
      <c r="R27" s="121"/>
      <c r="S27" s="121"/>
      <c r="T27" s="121"/>
      <c r="U27" s="121"/>
      <c r="V27" s="121"/>
    </row>
    <row r="28" spans="2:22" ht="13.35" customHeight="1" x14ac:dyDescent="0.25">
      <c r="B28" s="299" t="s">
        <v>9</v>
      </c>
      <c r="C28" s="25" t="s">
        <v>446</v>
      </c>
      <c r="D28" s="25" t="s">
        <v>442</v>
      </c>
      <c r="E28" s="122">
        <v>43260</v>
      </c>
      <c r="F28" s="122">
        <v>43347</v>
      </c>
      <c r="G28" s="122">
        <v>44404</v>
      </c>
      <c r="H28" s="122">
        <v>45144</v>
      </c>
      <c r="I28" s="122">
        <v>45144</v>
      </c>
      <c r="J28" s="180">
        <v>45704</v>
      </c>
      <c r="K28" s="180">
        <v>45705</v>
      </c>
      <c r="L28" s="180">
        <v>46020</v>
      </c>
      <c r="M28" s="180">
        <v>46020</v>
      </c>
      <c r="N28" s="180">
        <v>46031</v>
      </c>
      <c r="O28" s="180">
        <v>46031</v>
      </c>
      <c r="P28" s="180">
        <v>46031</v>
      </c>
      <c r="Q28" s="180">
        <v>46031</v>
      </c>
      <c r="R28" s="180">
        <v>46036</v>
      </c>
      <c r="S28" s="180">
        <v>46051</v>
      </c>
      <c r="T28" s="180">
        <v>46051</v>
      </c>
      <c r="U28" s="180">
        <v>46051</v>
      </c>
      <c r="V28" s="180">
        <v>46113</v>
      </c>
    </row>
    <row r="29" spans="2:22" x14ac:dyDescent="0.25">
      <c r="B29" s="299"/>
      <c r="C29" s="25" t="s">
        <v>447</v>
      </c>
      <c r="D29" s="25" t="s">
        <v>442</v>
      </c>
      <c r="E29" s="52" t="s">
        <v>30</v>
      </c>
      <c r="F29" s="123" t="s">
        <v>30</v>
      </c>
      <c r="G29" s="123" t="s">
        <v>30</v>
      </c>
      <c r="H29" s="123" t="s">
        <v>30</v>
      </c>
      <c r="I29" s="123" t="s">
        <v>30</v>
      </c>
      <c r="J29" s="124" t="s">
        <v>30</v>
      </c>
      <c r="K29" s="124" t="s">
        <v>30</v>
      </c>
      <c r="L29" s="124" t="s">
        <v>30</v>
      </c>
      <c r="M29" s="124" t="s">
        <v>30</v>
      </c>
      <c r="N29" s="124" t="s">
        <v>30</v>
      </c>
      <c r="O29" s="124" t="s">
        <v>30</v>
      </c>
      <c r="P29" s="239" t="s">
        <v>30</v>
      </c>
      <c r="Q29" s="124" t="s">
        <v>30</v>
      </c>
      <c r="R29" s="124" t="s">
        <v>30</v>
      </c>
      <c r="S29" s="124" t="s">
        <v>30</v>
      </c>
      <c r="T29" s="124" t="s">
        <v>30</v>
      </c>
      <c r="U29" s="124" t="s">
        <v>30</v>
      </c>
      <c r="V29" s="124" t="s">
        <v>30</v>
      </c>
    </row>
    <row r="30" spans="2:22" x14ac:dyDescent="0.25">
      <c r="B30" s="292" t="s">
        <v>185</v>
      </c>
      <c r="C30" s="107" t="s">
        <v>448</v>
      </c>
      <c r="D30" s="22"/>
      <c r="E30" s="22"/>
      <c r="F30" s="22"/>
      <c r="G30" s="22"/>
      <c r="H30" s="22"/>
      <c r="I30" s="22"/>
      <c r="J30" s="181"/>
      <c r="K30" s="181"/>
      <c r="L30" s="181"/>
      <c r="M30" s="181"/>
      <c r="N30" s="181"/>
      <c r="O30" s="181"/>
      <c r="P30" s="181"/>
      <c r="Q30" s="181"/>
      <c r="R30" s="181"/>
      <c r="S30" s="181"/>
      <c r="T30" s="181"/>
      <c r="U30" s="181"/>
      <c r="V30" s="181"/>
    </row>
    <row r="31" spans="2:22" x14ac:dyDescent="0.25">
      <c r="B31" s="293"/>
      <c r="C31" s="108" t="s">
        <v>449</v>
      </c>
      <c r="D31" s="20"/>
      <c r="E31" s="20"/>
      <c r="F31" s="20"/>
      <c r="G31" s="20"/>
      <c r="H31" s="20"/>
      <c r="I31" s="20"/>
      <c r="J31" s="164"/>
      <c r="K31" s="164"/>
      <c r="L31" s="164"/>
      <c r="M31" s="164"/>
      <c r="N31" s="164"/>
      <c r="O31" s="164"/>
      <c r="P31" s="164"/>
      <c r="Q31" s="164"/>
      <c r="R31" s="164"/>
      <c r="S31" s="164"/>
      <c r="T31" s="164"/>
      <c r="U31" s="164"/>
      <c r="V31" s="164"/>
    </row>
    <row r="32" spans="2:22" x14ac:dyDescent="0.25">
      <c r="B32" s="294"/>
      <c r="C32" s="109" t="s">
        <v>450</v>
      </c>
      <c r="D32" s="21"/>
      <c r="E32" s="21"/>
      <c r="F32" s="21"/>
      <c r="G32" s="21"/>
      <c r="H32" s="21"/>
      <c r="I32" s="21"/>
      <c r="J32" s="166"/>
      <c r="K32" s="166"/>
      <c r="L32" s="166"/>
      <c r="M32" s="166"/>
      <c r="N32" s="166"/>
      <c r="O32" s="166"/>
      <c r="P32" s="166"/>
      <c r="Q32" s="166"/>
      <c r="R32" s="166"/>
      <c r="S32" s="166"/>
      <c r="T32" s="166"/>
      <c r="U32" s="166"/>
      <c r="V32" s="166"/>
    </row>
  </sheetData>
  <mergeCells count="6">
    <mergeCell ref="B30:B32"/>
    <mergeCell ref="B4:B5"/>
    <mergeCell ref="B6:B18"/>
    <mergeCell ref="B19:B21"/>
    <mergeCell ref="B22:B27"/>
    <mergeCell ref="B28:B29"/>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A39"/>
  <sheetViews>
    <sheetView zoomScale="85" zoomScaleNormal="85" workbookViewId="0">
      <pane xSplit="4" ySplit="3" topLeftCell="AQ4" activePane="bottomRight" state="frozen"/>
      <selection pane="topRight" activeCell="E1" sqref="E1"/>
      <selection pane="bottomLeft" activeCell="A4" sqref="A4"/>
      <selection pane="bottomRight" activeCell="AX37" sqref="AX37"/>
    </sheetView>
  </sheetViews>
  <sheetFormatPr baseColWidth="10" defaultRowHeight="13.2" x14ac:dyDescent="0.25"/>
  <cols>
    <col min="3" max="3" width="22.109375" bestFit="1" customWidth="1"/>
    <col min="4" max="4" width="8.109375" bestFit="1" customWidth="1"/>
    <col min="5" max="5" width="65.6640625" bestFit="1" customWidth="1"/>
    <col min="6" max="6" width="62" customWidth="1"/>
    <col min="7" max="7" width="60.109375" customWidth="1"/>
    <col min="8" max="8" width="55.109375" customWidth="1"/>
    <col min="9" max="9" width="66.5546875" bestFit="1" customWidth="1"/>
    <col min="11" max="13" width="10.6640625" style="105"/>
    <col min="14" max="14" width="64.5546875" customWidth="1"/>
    <col min="15" max="15" width="55.5546875" customWidth="1"/>
    <col min="16" max="16" width="38.6640625" customWidth="1"/>
    <col min="17" max="17" width="37.21875" customWidth="1"/>
    <col min="18" max="18" width="39.21875" customWidth="1"/>
    <col min="19" max="19" width="37.33203125" customWidth="1"/>
    <col min="20" max="20" width="34.5546875" customWidth="1"/>
    <col min="21" max="21" width="52.6640625" customWidth="1"/>
    <col min="22" max="22" width="40.6640625" customWidth="1"/>
    <col min="23" max="23" width="32.6640625" customWidth="1"/>
    <col min="27" max="27" width="24.44140625" customWidth="1"/>
    <col min="28" max="28" width="42.6640625" customWidth="1"/>
    <col min="38" max="38" width="11.109375" customWidth="1"/>
    <col min="44" max="44" width="17" customWidth="1"/>
  </cols>
  <sheetData>
    <row r="2" spans="2:53" x14ac:dyDescent="0.25">
      <c r="B2" s="34" t="s">
        <v>184</v>
      </c>
      <c r="C2" s="35"/>
      <c r="D2" s="35"/>
      <c r="W2" s="105"/>
      <c r="X2" s="105"/>
      <c r="Y2" s="105"/>
      <c r="Z2" s="105"/>
      <c r="AA2" s="105"/>
      <c r="AB2" s="105"/>
      <c r="AC2" s="105"/>
      <c r="AD2" s="105"/>
      <c r="AE2" s="105"/>
      <c r="AF2" s="105"/>
      <c r="AL2" s="105"/>
      <c r="AM2" s="105"/>
      <c r="AN2" s="105"/>
      <c r="AO2" s="105"/>
      <c r="AP2" s="105"/>
    </row>
    <row r="3" spans="2:53" x14ac:dyDescent="0.25">
      <c r="B3" s="32"/>
      <c r="C3" s="17" t="s">
        <v>181</v>
      </c>
      <c r="D3" s="18" t="s">
        <v>182</v>
      </c>
      <c r="E3" s="39" t="s">
        <v>193</v>
      </c>
      <c r="F3" s="130" t="s">
        <v>194</v>
      </c>
      <c r="G3" s="39" t="s">
        <v>195</v>
      </c>
      <c r="H3" s="125" t="s">
        <v>196</v>
      </c>
      <c r="I3" s="82" t="s">
        <v>1009</v>
      </c>
      <c r="J3" s="142" t="s">
        <v>1282</v>
      </c>
      <c r="K3" s="82" t="s">
        <v>1283</v>
      </c>
      <c r="L3" s="82" t="s">
        <v>1284</v>
      </c>
      <c r="M3" s="82" t="s">
        <v>1285</v>
      </c>
      <c r="N3" s="82" t="s">
        <v>1137</v>
      </c>
      <c r="O3" s="39" t="s">
        <v>1268</v>
      </c>
      <c r="P3" s="82" t="s">
        <v>1364</v>
      </c>
      <c r="Q3" s="82" t="s">
        <v>1382</v>
      </c>
      <c r="R3" s="82" t="s">
        <v>1384</v>
      </c>
      <c r="S3" s="82" t="s">
        <v>1509</v>
      </c>
      <c r="T3" s="82" t="s">
        <v>1510</v>
      </c>
      <c r="U3" s="82" t="s">
        <v>1543</v>
      </c>
      <c r="V3" s="82" t="s">
        <v>1991</v>
      </c>
      <c r="W3" s="82" t="s">
        <v>2127</v>
      </c>
      <c r="X3" s="82" t="s">
        <v>2136</v>
      </c>
      <c r="Y3" s="82" t="s">
        <v>2137</v>
      </c>
      <c r="Z3" s="82" t="s">
        <v>2152</v>
      </c>
      <c r="AA3" s="82" t="s">
        <v>2138</v>
      </c>
      <c r="AB3" s="82" t="s">
        <v>4450</v>
      </c>
      <c r="AC3" s="82" t="s">
        <v>2570</v>
      </c>
      <c r="AD3" s="82" t="s">
        <v>2581</v>
      </c>
      <c r="AE3" s="82" t="s">
        <v>2594</v>
      </c>
      <c r="AF3" s="82" t="s">
        <v>3450</v>
      </c>
      <c r="AG3" s="82" t="s">
        <v>3460</v>
      </c>
      <c r="AH3" s="82" t="s">
        <v>3463</v>
      </c>
      <c r="AI3" s="82" t="s">
        <v>3473</v>
      </c>
      <c r="AJ3" s="82" t="s">
        <v>3487</v>
      </c>
      <c r="AK3" s="82" t="s">
        <v>3904</v>
      </c>
      <c r="AL3" s="82" t="s">
        <v>3906</v>
      </c>
      <c r="AM3" s="82" t="s">
        <v>3907</v>
      </c>
      <c r="AN3" s="82" t="s">
        <v>3943</v>
      </c>
      <c r="AO3" s="82" t="s">
        <v>4463</v>
      </c>
      <c r="AP3" s="82" t="s">
        <v>4198</v>
      </c>
      <c r="AQ3" s="82" t="s">
        <v>4455</v>
      </c>
      <c r="AR3" s="82" t="s">
        <v>4456</v>
      </c>
      <c r="AS3" s="82" t="s">
        <v>4459</v>
      </c>
      <c r="AT3" s="82" t="s">
        <v>4580</v>
      </c>
      <c r="AU3" s="82" t="s">
        <v>4586</v>
      </c>
      <c r="AV3" s="82" t="s">
        <v>4659</v>
      </c>
      <c r="AW3" s="142" t="s">
        <v>4658</v>
      </c>
      <c r="AX3" s="82" t="s">
        <v>4657</v>
      </c>
      <c r="AY3" s="82" t="s">
        <v>4642</v>
      </c>
      <c r="AZ3" s="82" t="s">
        <v>4647</v>
      </c>
      <c r="BA3" s="82" t="s">
        <v>5008</v>
      </c>
    </row>
    <row r="4" spans="2:53" x14ac:dyDescent="0.25">
      <c r="B4" s="300" t="s">
        <v>2</v>
      </c>
      <c r="C4" s="53" t="s">
        <v>451</v>
      </c>
      <c r="D4" s="85" t="s">
        <v>442</v>
      </c>
      <c r="E4" s="52">
        <v>1</v>
      </c>
      <c r="F4" s="131">
        <v>2</v>
      </c>
      <c r="G4" s="57">
        <v>3</v>
      </c>
      <c r="H4" s="35">
        <v>4</v>
      </c>
      <c r="I4" s="52">
        <v>5</v>
      </c>
      <c r="J4" s="143">
        <v>6</v>
      </c>
      <c r="K4" s="121">
        <v>7</v>
      </c>
      <c r="L4" s="121">
        <v>8</v>
      </c>
      <c r="M4" s="121">
        <v>9</v>
      </c>
      <c r="N4" s="52">
        <v>10</v>
      </c>
      <c r="O4" s="140">
        <v>11</v>
      </c>
      <c r="P4" s="140">
        <v>12</v>
      </c>
      <c r="Q4" s="140">
        <v>13</v>
      </c>
      <c r="R4" s="140">
        <v>14</v>
      </c>
      <c r="S4" s="140">
        <v>15</v>
      </c>
      <c r="T4" s="140">
        <v>16</v>
      </c>
      <c r="U4" s="140">
        <v>17</v>
      </c>
      <c r="V4" s="140">
        <v>18</v>
      </c>
      <c r="W4" s="140">
        <v>19</v>
      </c>
      <c r="X4" s="140">
        <v>20</v>
      </c>
      <c r="Y4" s="140">
        <v>21</v>
      </c>
      <c r="Z4" s="140">
        <v>22</v>
      </c>
      <c r="AA4" s="140">
        <v>23</v>
      </c>
      <c r="AB4" s="140">
        <v>24</v>
      </c>
      <c r="AC4" s="140">
        <v>25</v>
      </c>
      <c r="AD4" s="140">
        <v>26</v>
      </c>
      <c r="AE4" s="140">
        <v>27</v>
      </c>
      <c r="AF4" s="140">
        <v>28</v>
      </c>
      <c r="AG4" s="140">
        <v>29</v>
      </c>
      <c r="AH4" s="140">
        <v>30</v>
      </c>
      <c r="AI4" s="140">
        <v>31</v>
      </c>
      <c r="AJ4" s="140">
        <v>32</v>
      </c>
      <c r="AK4" s="140">
        <v>33</v>
      </c>
      <c r="AL4" s="140">
        <v>34</v>
      </c>
      <c r="AM4" s="140">
        <v>35</v>
      </c>
      <c r="AN4" s="140">
        <v>36</v>
      </c>
      <c r="AO4" s="140">
        <v>37</v>
      </c>
      <c r="AP4" s="140">
        <v>38</v>
      </c>
      <c r="AQ4" s="140">
        <v>39</v>
      </c>
      <c r="AR4" s="140">
        <v>40</v>
      </c>
      <c r="AS4" s="140">
        <v>41</v>
      </c>
      <c r="AT4" s="140">
        <v>42</v>
      </c>
      <c r="AU4" s="140">
        <v>43</v>
      </c>
      <c r="AV4" s="140">
        <v>44</v>
      </c>
      <c r="AW4" s="259">
        <v>45</v>
      </c>
      <c r="AX4" s="121">
        <v>46</v>
      </c>
      <c r="AY4" s="140">
        <v>47</v>
      </c>
      <c r="AZ4" s="140">
        <v>48</v>
      </c>
      <c r="BA4" s="140">
        <v>49</v>
      </c>
    </row>
    <row r="5" spans="2:53" x14ac:dyDescent="0.25">
      <c r="B5" s="301"/>
      <c r="C5" s="54" t="s">
        <v>452</v>
      </c>
      <c r="D5" s="14" t="s">
        <v>442</v>
      </c>
      <c r="E5" s="118" t="s">
        <v>1127</v>
      </c>
      <c r="F5" s="126" t="s">
        <v>1128</v>
      </c>
      <c r="G5" s="119" t="s">
        <v>1004</v>
      </c>
      <c r="H5" s="126" t="s">
        <v>811</v>
      </c>
      <c r="I5" s="118" t="s">
        <v>1010</v>
      </c>
      <c r="J5" s="144" t="s">
        <v>1286</v>
      </c>
      <c r="K5" s="118" t="s">
        <v>1287</v>
      </c>
      <c r="L5" s="118" t="s">
        <v>1288</v>
      </c>
      <c r="M5" s="118" t="s">
        <v>1289</v>
      </c>
      <c r="N5" s="118" t="s">
        <v>1149</v>
      </c>
      <c r="O5" s="118" t="s">
        <v>1272</v>
      </c>
      <c r="P5" s="145" t="s">
        <v>1364</v>
      </c>
      <c r="Q5" s="24" t="s">
        <v>1382</v>
      </c>
      <c r="R5" s="29" t="s">
        <v>1384</v>
      </c>
      <c r="S5" s="160" t="s">
        <v>1509</v>
      </c>
      <c r="T5" s="164" t="s">
        <v>1510</v>
      </c>
      <c r="U5" s="164" t="s">
        <v>1543</v>
      </c>
      <c r="V5" s="164" t="s">
        <v>1991</v>
      </c>
      <c r="W5" s="164" t="s">
        <v>2127</v>
      </c>
      <c r="X5" s="164" t="s">
        <v>2136</v>
      </c>
      <c r="Y5" s="164" t="s">
        <v>2137</v>
      </c>
      <c r="Z5" s="164" t="s">
        <v>2152</v>
      </c>
      <c r="AA5" s="164" t="s">
        <v>2138</v>
      </c>
      <c r="AB5" s="164" t="s">
        <v>4450</v>
      </c>
      <c r="AC5" s="164" t="s">
        <v>2570</v>
      </c>
      <c r="AD5" s="164" t="s">
        <v>2581</v>
      </c>
      <c r="AE5" s="164" t="s">
        <v>2594</v>
      </c>
      <c r="AF5" s="164" t="s">
        <v>3450</v>
      </c>
      <c r="AG5" s="164" t="s">
        <v>3460</v>
      </c>
      <c r="AH5" s="164" t="s">
        <v>3461</v>
      </c>
      <c r="AI5" s="164" t="s">
        <v>3473</v>
      </c>
      <c r="AJ5" s="164" t="s">
        <v>3487</v>
      </c>
      <c r="AK5" s="164" t="s">
        <v>3904</v>
      </c>
      <c r="AL5" s="164" t="s">
        <v>3906</v>
      </c>
      <c r="AM5" s="164" t="s">
        <v>3907</v>
      </c>
      <c r="AN5" s="164" t="s">
        <v>3943</v>
      </c>
      <c r="AO5" s="164" t="s">
        <v>4463</v>
      </c>
      <c r="AP5" s="164" t="s">
        <v>4198</v>
      </c>
      <c r="AQ5" s="164" t="s">
        <v>4455</v>
      </c>
      <c r="AR5" s="164" t="s">
        <v>4456</v>
      </c>
      <c r="AS5" s="164" t="s">
        <v>4459</v>
      </c>
      <c r="AT5" s="164" t="s">
        <v>4580</v>
      </c>
      <c r="AU5" s="164" t="s">
        <v>4586</v>
      </c>
      <c r="AV5" s="164" t="s">
        <v>4598</v>
      </c>
      <c r="AW5" s="260" t="s">
        <v>4601</v>
      </c>
      <c r="AX5" s="164" t="s">
        <v>4637</v>
      </c>
      <c r="AY5" s="164" t="s">
        <v>4642</v>
      </c>
      <c r="AZ5" s="164" t="s">
        <v>4647</v>
      </c>
      <c r="BA5" s="23" t="s">
        <v>5008</v>
      </c>
    </row>
    <row r="6" spans="2:53" x14ac:dyDescent="0.25">
      <c r="B6" s="33"/>
      <c r="C6" s="54" t="s">
        <v>453</v>
      </c>
      <c r="D6" s="29"/>
      <c r="E6" s="52">
        <v>2</v>
      </c>
      <c r="F6" s="35">
        <v>1</v>
      </c>
      <c r="G6" s="52" t="s">
        <v>11</v>
      </c>
      <c r="H6" s="35" t="s">
        <v>11</v>
      </c>
      <c r="I6" s="52" t="s">
        <v>11</v>
      </c>
      <c r="J6" s="143" t="s">
        <v>11</v>
      </c>
      <c r="K6" s="19" t="s">
        <v>11</v>
      </c>
      <c r="L6" s="121" t="s">
        <v>11</v>
      </c>
      <c r="M6" s="121" t="s">
        <v>11</v>
      </c>
      <c r="N6" s="134" t="s">
        <v>1150</v>
      </c>
      <c r="O6" s="134" t="s">
        <v>1150</v>
      </c>
      <c r="P6" s="145" t="s">
        <v>1150</v>
      </c>
      <c r="Q6" s="24" t="s">
        <v>1150</v>
      </c>
      <c r="R6" s="29" t="s">
        <v>1150</v>
      </c>
      <c r="S6" s="160" t="s">
        <v>1150</v>
      </c>
      <c r="T6" s="164" t="s">
        <v>1150</v>
      </c>
      <c r="U6" s="164" t="s">
        <v>1150</v>
      </c>
      <c r="V6" s="164" t="s">
        <v>2015</v>
      </c>
      <c r="W6" s="164" t="s">
        <v>2015</v>
      </c>
      <c r="X6" s="164" t="s">
        <v>2015</v>
      </c>
      <c r="Y6" s="164" t="s">
        <v>2015</v>
      </c>
      <c r="Z6" s="164" t="s">
        <v>2015</v>
      </c>
      <c r="AA6" s="164" t="s">
        <v>2015</v>
      </c>
      <c r="AB6" s="164" t="s">
        <v>2015</v>
      </c>
      <c r="AC6" s="164" t="s">
        <v>11</v>
      </c>
      <c r="AD6" s="164" t="s">
        <v>11</v>
      </c>
      <c r="AE6" s="164" t="s">
        <v>11</v>
      </c>
      <c r="AF6" s="164" t="s">
        <v>11</v>
      </c>
      <c r="AG6" s="164" t="s">
        <v>11</v>
      </c>
      <c r="AH6" s="164" t="s">
        <v>11</v>
      </c>
      <c r="AI6" s="164" t="s">
        <v>11</v>
      </c>
      <c r="AJ6" s="164" t="s">
        <v>11</v>
      </c>
      <c r="AK6" s="164" t="s">
        <v>11</v>
      </c>
      <c r="AL6" s="164" t="s">
        <v>11</v>
      </c>
      <c r="AM6" s="164" t="s">
        <v>11</v>
      </c>
      <c r="AN6" s="164" t="s">
        <v>11</v>
      </c>
      <c r="AO6" s="164" t="s">
        <v>11</v>
      </c>
      <c r="AP6" s="164" t="s">
        <v>11</v>
      </c>
      <c r="AQ6" s="164" t="s">
        <v>2015</v>
      </c>
      <c r="AR6" s="164" t="s">
        <v>2015</v>
      </c>
      <c r="AS6" s="164" t="s">
        <v>11</v>
      </c>
      <c r="AT6" s="164" t="s">
        <v>11</v>
      </c>
      <c r="AU6" s="164" t="s">
        <v>11</v>
      </c>
      <c r="AV6" s="164" t="s">
        <v>11</v>
      </c>
      <c r="AW6" s="260" t="s">
        <v>11</v>
      </c>
      <c r="AX6" s="23" t="s">
        <v>11</v>
      </c>
      <c r="AY6" s="164" t="s">
        <v>11</v>
      </c>
      <c r="AZ6" s="164" t="s">
        <v>11</v>
      </c>
      <c r="BA6" s="164" t="s">
        <v>11</v>
      </c>
    </row>
    <row r="7" spans="2:53" x14ac:dyDescent="0.25">
      <c r="B7" s="50" t="s">
        <v>3</v>
      </c>
      <c r="C7" s="54" t="s">
        <v>421</v>
      </c>
      <c r="D7" s="14"/>
      <c r="E7" s="52" t="s">
        <v>1130</v>
      </c>
      <c r="F7" s="35" t="s">
        <v>11</v>
      </c>
      <c r="G7" s="52" t="s">
        <v>1131</v>
      </c>
      <c r="H7" s="35" t="s">
        <v>11</v>
      </c>
      <c r="I7" s="52" t="s">
        <v>11</v>
      </c>
      <c r="J7" s="143" t="s">
        <v>11</v>
      </c>
      <c r="K7" s="52" t="s">
        <v>1130</v>
      </c>
      <c r="L7" s="121" t="s">
        <v>11</v>
      </c>
      <c r="M7" s="121" t="s">
        <v>11</v>
      </c>
      <c r="N7" s="52" t="s">
        <v>11</v>
      </c>
      <c r="O7" s="121" t="s">
        <v>11</v>
      </c>
      <c r="P7" s="145" t="s">
        <v>1365</v>
      </c>
      <c r="Q7" s="24" t="s">
        <v>1365</v>
      </c>
      <c r="R7" s="29" t="s">
        <v>1365</v>
      </c>
      <c r="S7" s="40" t="s">
        <v>1505</v>
      </c>
      <c r="T7" s="23" t="s">
        <v>1511</v>
      </c>
      <c r="U7" s="23" t="s">
        <v>11</v>
      </c>
      <c r="V7" s="23" t="s">
        <v>11</v>
      </c>
      <c r="W7" s="23" t="s">
        <v>2122</v>
      </c>
      <c r="X7" s="23" t="s">
        <v>2122</v>
      </c>
      <c r="Y7" s="23" t="s">
        <v>2122</v>
      </c>
      <c r="Z7" s="23" t="s">
        <v>2122</v>
      </c>
      <c r="AA7" s="23" t="s">
        <v>2122</v>
      </c>
      <c r="AB7" s="164" t="s">
        <v>2156</v>
      </c>
      <c r="AC7" s="164" t="s">
        <v>11</v>
      </c>
      <c r="AD7" s="164" t="s">
        <v>11</v>
      </c>
      <c r="AE7" s="164" t="s">
        <v>11</v>
      </c>
      <c r="AF7" s="164" t="s">
        <v>3442</v>
      </c>
      <c r="AG7" s="164" t="s">
        <v>3442</v>
      </c>
      <c r="AH7" s="164" t="s">
        <v>3442</v>
      </c>
      <c r="AI7" s="164" t="s">
        <v>11</v>
      </c>
      <c r="AJ7" s="164" t="s">
        <v>11</v>
      </c>
      <c r="AK7" t="s">
        <v>3899</v>
      </c>
      <c r="AL7" t="s">
        <v>3905</v>
      </c>
      <c r="AM7" s="105" t="s">
        <v>3905</v>
      </c>
      <c r="AN7" t="s">
        <v>3937</v>
      </c>
      <c r="AO7" s="171" t="s">
        <v>3953</v>
      </c>
      <c r="AP7" s="105" t="s">
        <v>3905</v>
      </c>
      <c r="AQ7" s="164" t="s">
        <v>2156</v>
      </c>
      <c r="AR7" s="164" t="s">
        <v>2156</v>
      </c>
      <c r="AS7" s="164" t="s">
        <v>11</v>
      </c>
      <c r="AT7" s="164" t="s">
        <v>11</v>
      </c>
      <c r="AU7" s="164" t="s">
        <v>11</v>
      </c>
      <c r="AV7" s="164" t="s">
        <v>4593</v>
      </c>
      <c r="AW7" s="260" t="s">
        <v>4593</v>
      </c>
      <c r="AX7" s="164" t="s">
        <v>3445</v>
      </c>
      <c r="AY7" s="164" t="s">
        <v>3442</v>
      </c>
      <c r="AZ7" s="164" t="s">
        <v>11</v>
      </c>
      <c r="BA7" s="164" t="s">
        <v>11</v>
      </c>
    </row>
    <row r="8" spans="2:53" ht="13.35" customHeight="1" x14ac:dyDescent="0.25">
      <c r="B8" s="296" t="s">
        <v>6</v>
      </c>
      <c r="C8" s="54" t="s">
        <v>423</v>
      </c>
      <c r="D8" s="40"/>
      <c r="E8" s="119" t="s">
        <v>198</v>
      </c>
      <c r="F8" s="126" t="s">
        <v>318</v>
      </c>
      <c r="G8" s="119" t="s">
        <v>668</v>
      </c>
      <c r="H8" s="111" t="s">
        <v>668</v>
      </c>
      <c r="I8" s="119" t="s">
        <v>1011</v>
      </c>
      <c r="J8" s="143" t="s">
        <v>1290</v>
      </c>
      <c r="K8" s="144" t="s">
        <v>1291</v>
      </c>
      <c r="L8" s="121" t="s">
        <v>1292</v>
      </c>
      <c r="M8" s="121" t="s">
        <v>1290</v>
      </c>
      <c r="N8" s="119" t="s">
        <v>1139</v>
      </c>
      <c r="O8" s="121" t="s">
        <v>1273</v>
      </c>
      <c r="P8" s="145" t="s">
        <v>1370</v>
      </c>
      <c r="Q8" s="24" t="s">
        <v>1370</v>
      </c>
      <c r="R8" s="29" t="s">
        <v>1370</v>
      </c>
      <c r="S8" s="40" t="s">
        <v>1519</v>
      </c>
      <c r="T8" s="164" t="s">
        <v>1533</v>
      </c>
      <c r="U8" s="164" t="s">
        <v>1556</v>
      </c>
      <c r="V8" s="164" t="s">
        <v>1992</v>
      </c>
      <c r="W8" s="164" t="s">
        <v>2129</v>
      </c>
      <c r="X8" s="23" t="s">
        <v>2139</v>
      </c>
      <c r="Y8" s="23" t="s">
        <v>2145</v>
      </c>
      <c r="Z8" s="23" t="s">
        <v>2153</v>
      </c>
      <c r="AA8" s="23" t="s">
        <v>2149</v>
      </c>
      <c r="AB8" s="23" t="s">
        <v>2164</v>
      </c>
      <c r="AC8" s="23" t="s">
        <v>2571</v>
      </c>
      <c r="AD8" s="23" t="s">
        <v>2583</v>
      </c>
      <c r="AE8" s="23" t="s">
        <v>2595</v>
      </c>
      <c r="AF8" s="23" t="s">
        <v>3455</v>
      </c>
      <c r="AG8" s="23" t="s">
        <v>2571</v>
      </c>
      <c r="AH8" s="23" t="s">
        <v>2571</v>
      </c>
      <c r="AI8" s="23" t="s">
        <v>3474</v>
      </c>
      <c r="AJ8" s="23" t="s">
        <v>2571</v>
      </c>
      <c r="AK8" s="23" t="s">
        <v>3910</v>
      </c>
      <c r="AL8" s="23" t="s">
        <v>3924</v>
      </c>
      <c r="AM8" s="23" t="s">
        <v>3931</v>
      </c>
      <c r="AN8" s="23" t="s">
        <v>3946</v>
      </c>
      <c r="AO8" s="23" t="s">
        <v>3910</v>
      </c>
      <c r="AP8" s="23" t="s">
        <v>4199</v>
      </c>
      <c r="AQ8" s="23" t="s">
        <v>2164</v>
      </c>
      <c r="AR8" s="23" t="s">
        <v>2164</v>
      </c>
      <c r="AS8" s="23" t="s">
        <v>4460</v>
      </c>
      <c r="AT8" s="23" t="s">
        <v>4581</v>
      </c>
      <c r="AU8" s="23" t="s">
        <v>1292</v>
      </c>
      <c r="AV8" s="23" t="s">
        <v>4599</v>
      </c>
      <c r="AW8" s="54" t="s">
        <v>4600</v>
      </c>
      <c r="AX8" s="23" t="s">
        <v>2164</v>
      </c>
      <c r="AY8" s="23" t="s">
        <v>2571</v>
      </c>
      <c r="AZ8" s="23" t="s">
        <v>2571</v>
      </c>
      <c r="BA8" s="23" t="s">
        <v>1292</v>
      </c>
    </row>
    <row r="9" spans="2:53" x14ac:dyDescent="0.25">
      <c r="B9" s="296"/>
      <c r="C9" s="54" t="s">
        <v>424</v>
      </c>
      <c r="D9" s="40"/>
      <c r="E9" s="119" t="s">
        <v>198</v>
      </c>
      <c r="F9" s="126" t="s">
        <v>318</v>
      </c>
      <c r="G9" s="119" t="s">
        <v>669</v>
      </c>
      <c r="H9" s="111" t="s">
        <v>669</v>
      </c>
      <c r="I9" s="119" t="s">
        <v>1012</v>
      </c>
      <c r="J9" s="143" t="s">
        <v>1293</v>
      </c>
      <c r="K9" s="144" t="s">
        <v>1294</v>
      </c>
      <c r="L9" s="121" t="s">
        <v>1295</v>
      </c>
      <c r="M9" s="121" t="s">
        <v>1293</v>
      </c>
      <c r="N9" s="119" t="s">
        <v>1138</v>
      </c>
      <c r="O9" s="121" t="s">
        <v>1273</v>
      </c>
      <c r="P9" s="145" t="s">
        <v>1370</v>
      </c>
      <c r="Q9" s="24" t="s">
        <v>1370</v>
      </c>
      <c r="R9" s="29" t="s">
        <v>1370</v>
      </c>
      <c r="S9" s="40" t="s">
        <v>1521</v>
      </c>
      <c r="T9" s="164" t="s">
        <v>1532</v>
      </c>
      <c r="U9" s="164" t="s">
        <v>1544</v>
      </c>
      <c r="V9" s="164" t="s">
        <v>1993</v>
      </c>
      <c r="W9" s="164" t="s">
        <v>2129</v>
      </c>
      <c r="X9" s="23" t="s">
        <v>2139</v>
      </c>
      <c r="Y9" s="23" t="s">
        <v>2145</v>
      </c>
      <c r="Z9" s="23" t="s">
        <v>2153</v>
      </c>
      <c r="AA9" s="23" t="s">
        <v>2149</v>
      </c>
      <c r="AB9" s="23" t="s">
        <v>2165</v>
      </c>
      <c r="AC9" s="23" t="s">
        <v>2571</v>
      </c>
      <c r="AD9" s="23" t="s">
        <v>2583</v>
      </c>
      <c r="AE9" s="23" t="s">
        <v>2595</v>
      </c>
      <c r="AF9" s="23" t="s">
        <v>3456</v>
      </c>
      <c r="AG9" s="23" t="s">
        <v>3466</v>
      </c>
      <c r="AH9" s="23" t="s">
        <v>3466</v>
      </c>
      <c r="AI9" s="23" t="s">
        <v>3475</v>
      </c>
      <c r="AJ9" s="23" t="s">
        <v>3488</v>
      </c>
      <c r="AK9" s="23" t="s">
        <v>3911</v>
      </c>
      <c r="AL9" s="23" t="s">
        <v>3925</v>
      </c>
      <c r="AM9" s="23" t="s">
        <v>3930</v>
      </c>
      <c r="AN9" s="23" t="s">
        <v>3947</v>
      </c>
      <c r="AO9" s="23" t="s">
        <v>3961</v>
      </c>
      <c r="AP9" s="23" t="s">
        <v>4200</v>
      </c>
      <c r="AQ9" s="23" t="s">
        <v>2165</v>
      </c>
      <c r="AR9" s="23" t="s">
        <v>2165</v>
      </c>
      <c r="AS9" s="23" t="s">
        <v>4460</v>
      </c>
      <c r="AT9" s="23" t="s">
        <v>4581</v>
      </c>
      <c r="AU9" s="23" t="s">
        <v>1292</v>
      </c>
      <c r="AV9" s="23" t="s">
        <v>4599</v>
      </c>
      <c r="AW9" s="54" t="s">
        <v>4602</v>
      </c>
      <c r="AX9" s="23" t="s">
        <v>2164</v>
      </c>
      <c r="AY9" s="23" t="s">
        <v>4643</v>
      </c>
      <c r="AZ9" s="23" t="s">
        <v>4648</v>
      </c>
      <c r="BA9" s="23" t="s">
        <v>5009</v>
      </c>
    </row>
    <row r="10" spans="2:53" x14ac:dyDescent="0.25">
      <c r="B10" s="296"/>
      <c r="C10" s="54" t="s">
        <v>425</v>
      </c>
      <c r="D10" s="40"/>
      <c r="E10" s="119" t="s">
        <v>199</v>
      </c>
      <c r="F10" s="126" t="s">
        <v>319</v>
      </c>
      <c r="G10" s="119" t="s">
        <v>670</v>
      </c>
      <c r="H10" s="111" t="s">
        <v>812</v>
      </c>
      <c r="I10" s="119" t="s">
        <v>1013</v>
      </c>
      <c r="J10" s="13" t="s">
        <v>199</v>
      </c>
      <c r="K10" s="19" t="s">
        <v>199</v>
      </c>
      <c r="L10" s="20" t="s">
        <v>12</v>
      </c>
      <c r="M10" s="19" t="s">
        <v>199</v>
      </c>
      <c r="N10" s="119" t="s">
        <v>1013</v>
      </c>
      <c r="O10" s="121" t="s">
        <v>1013</v>
      </c>
      <c r="P10" s="145" t="s">
        <v>1013</v>
      </c>
      <c r="Q10" s="24" t="s">
        <v>1013</v>
      </c>
      <c r="R10" s="29" t="s">
        <v>1013</v>
      </c>
      <c r="S10" s="40" t="s">
        <v>1520</v>
      </c>
      <c r="T10" s="164" t="s">
        <v>199</v>
      </c>
      <c r="U10" s="164" t="s">
        <v>1552</v>
      </c>
      <c r="V10" s="164" t="s">
        <v>199</v>
      </c>
      <c r="W10" s="164" t="s">
        <v>2130</v>
      </c>
      <c r="X10" s="164" t="s">
        <v>2130</v>
      </c>
      <c r="Y10" s="164" t="s">
        <v>2130</v>
      </c>
      <c r="Z10" s="164" t="s">
        <v>2130</v>
      </c>
      <c r="AA10" s="164" t="s">
        <v>2130</v>
      </c>
      <c r="AB10" s="164" t="s">
        <v>2130</v>
      </c>
      <c r="AC10" s="164" t="s">
        <v>199</v>
      </c>
      <c r="AD10" s="164" t="s">
        <v>2584</v>
      </c>
      <c r="AE10" s="23" t="s">
        <v>2595</v>
      </c>
      <c r="AF10" s="23" t="s">
        <v>199</v>
      </c>
      <c r="AG10" s="23" t="s">
        <v>199</v>
      </c>
      <c r="AH10" s="23" t="s">
        <v>199</v>
      </c>
      <c r="AI10" s="23" t="s">
        <v>3476</v>
      </c>
      <c r="AJ10" s="23" t="s">
        <v>199</v>
      </c>
      <c r="AK10" s="23" t="s">
        <v>3915</v>
      </c>
      <c r="AL10" s="23" t="s">
        <v>1025</v>
      </c>
      <c r="AM10" s="23" t="s">
        <v>1091</v>
      </c>
      <c r="AN10" s="23" t="s">
        <v>1091</v>
      </c>
      <c r="AO10" s="23" t="s">
        <v>1025</v>
      </c>
      <c r="AP10" s="23" t="s">
        <v>1025</v>
      </c>
      <c r="AQ10" s="164" t="s">
        <v>2130</v>
      </c>
      <c r="AR10" s="164" t="s">
        <v>2130</v>
      </c>
      <c r="AS10" s="164" t="s">
        <v>1013</v>
      </c>
      <c r="AT10" s="164" t="s">
        <v>11</v>
      </c>
      <c r="AU10" s="164" t="s">
        <v>4587</v>
      </c>
      <c r="AV10" s="164" t="s">
        <v>1013</v>
      </c>
      <c r="AW10" s="260" t="s">
        <v>1013</v>
      </c>
      <c r="AX10" s="19" t="s">
        <v>4638</v>
      </c>
      <c r="AY10" s="23" t="s">
        <v>199</v>
      </c>
      <c r="AZ10" s="23" t="s">
        <v>199</v>
      </c>
      <c r="BA10" s="23" t="s">
        <v>5010</v>
      </c>
    </row>
    <row r="11" spans="2:53" ht="13.8" x14ac:dyDescent="0.25">
      <c r="B11" s="296"/>
      <c r="C11" s="55" t="s">
        <v>426</v>
      </c>
      <c r="D11" s="29"/>
      <c r="E11" s="119" t="s">
        <v>200</v>
      </c>
      <c r="F11" s="126" t="s">
        <v>320</v>
      </c>
      <c r="G11" s="119" t="s">
        <v>671</v>
      </c>
      <c r="H11" s="112" t="s">
        <v>779</v>
      </c>
      <c r="I11" s="120" t="s">
        <v>779</v>
      </c>
      <c r="J11" s="145" t="s">
        <v>626</v>
      </c>
      <c r="K11" s="20" t="s">
        <v>13</v>
      </c>
      <c r="L11" s="20" t="s">
        <v>13</v>
      </c>
      <c r="M11" s="20" t="s">
        <v>626</v>
      </c>
      <c r="N11" s="120" t="s">
        <v>779</v>
      </c>
      <c r="O11" s="121" t="s">
        <v>779</v>
      </c>
      <c r="P11" s="145" t="s">
        <v>1371</v>
      </c>
      <c r="Q11" s="24" t="s">
        <v>1371</v>
      </c>
      <c r="R11" s="29" t="s">
        <v>1371</v>
      </c>
      <c r="S11" s="40" t="s">
        <v>1522</v>
      </c>
      <c r="T11" s="164" t="s">
        <v>1542</v>
      </c>
      <c r="U11" s="164" t="s">
        <v>1545</v>
      </c>
      <c r="V11" s="164" t="s">
        <v>1994</v>
      </c>
      <c r="W11" s="164" t="s">
        <v>2132</v>
      </c>
      <c r="X11" s="23" t="s">
        <v>2140</v>
      </c>
      <c r="Y11" s="23" t="s">
        <v>2146</v>
      </c>
      <c r="Z11" s="23" t="s">
        <v>2150</v>
      </c>
      <c r="AA11" s="23" t="s">
        <v>2150</v>
      </c>
      <c r="AB11" s="23" t="s">
        <v>2150</v>
      </c>
      <c r="AC11" s="23" t="s">
        <v>2572</v>
      </c>
      <c r="AD11" s="23" t="s">
        <v>2585</v>
      </c>
      <c r="AE11" s="23" t="s">
        <v>2596</v>
      </c>
      <c r="AF11" s="23" t="s">
        <v>782</v>
      </c>
      <c r="AG11" s="23" t="s">
        <v>782</v>
      </c>
      <c r="AH11" s="23" t="s">
        <v>782</v>
      </c>
      <c r="AI11" s="23" t="s">
        <v>782</v>
      </c>
      <c r="AJ11" s="23" t="s">
        <v>3489</v>
      </c>
      <c r="AK11" s="23" t="s">
        <v>3916</v>
      </c>
      <c r="AL11" s="23" t="s">
        <v>3927</v>
      </c>
      <c r="AM11" s="23" t="s">
        <v>3927</v>
      </c>
      <c r="AN11" s="23" t="s">
        <v>782</v>
      </c>
      <c r="AO11" s="23" t="s">
        <v>3960</v>
      </c>
      <c r="AP11" s="23" t="s">
        <v>3927</v>
      </c>
      <c r="AQ11" s="23" t="s">
        <v>2150</v>
      </c>
      <c r="AR11" s="23" t="s">
        <v>2150</v>
      </c>
      <c r="AS11" s="23" t="s">
        <v>11</v>
      </c>
      <c r="AT11" s="23" t="s">
        <v>11</v>
      </c>
      <c r="AU11" s="23" t="s">
        <v>4588</v>
      </c>
      <c r="AV11" s="23" t="s">
        <v>4588</v>
      </c>
      <c r="AW11" s="54" t="s">
        <v>4588</v>
      </c>
      <c r="AX11" s="19" t="s">
        <v>3960</v>
      </c>
      <c r="AY11" s="23" t="s">
        <v>782</v>
      </c>
      <c r="AZ11" s="23" t="s">
        <v>1677</v>
      </c>
      <c r="BA11" s="23" t="s">
        <v>5011</v>
      </c>
    </row>
    <row r="12" spans="2:53" ht="13.8" x14ac:dyDescent="0.25">
      <c r="B12" s="296"/>
      <c r="C12" s="56" t="s">
        <v>427</v>
      </c>
      <c r="D12" s="29"/>
      <c r="E12" s="119" t="s">
        <v>201</v>
      </c>
      <c r="F12" s="126" t="s">
        <v>321</v>
      </c>
      <c r="G12" s="119" t="s">
        <v>672</v>
      </c>
      <c r="H12" s="112" t="s">
        <v>780</v>
      </c>
      <c r="I12" s="120" t="s">
        <v>1014</v>
      </c>
      <c r="J12" s="145" t="s">
        <v>1296</v>
      </c>
      <c r="K12" s="20" t="s">
        <v>14</v>
      </c>
      <c r="L12" s="20" t="s">
        <v>14</v>
      </c>
      <c r="M12" s="20" t="s">
        <v>1296</v>
      </c>
      <c r="N12" s="120" t="s">
        <v>1140</v>
      </c>
      <c r="O12" s="121" t="s">
        <v>1274</v>
      </c>
      <c r="P12" s="145" t="s">
        <v>1372</v>
      </c>
      <c r="Q12" s="24" t="s">
        <v>1372</v>
      </c>
      <c r="R12" s="29" t="s">
        <v>1372</v>
      </c>
      <c r="S12" s="160" t="s">
        <v>1516</v>
      </c>
      <c r="T12" s="164" t="s">
        <v>1534</v>
      </c>
      <c r="U12" s="164" t="s">
        <v>1546</v>
      </c>
      <c r="V12" s="164" t="s">
        <v>1995</v>
      </c>
      <c r="W12" s="164" t="s">
        <v>2131</v>
      </c>
      <c r="X12" s="164" t="s">
        <v>2131</v>
      </c>
      <c r="Y12" s="164" t="s">
        <v>2131</v>
      </c>
      <c r="Z12" s="164" t="s">
        <v>2131</v>
      </c>
      <c r="AA12" s="164" t="s">
        <v>2131</v>
      </c>
      <c r="AB12" s="164" t="s">
        <v>2169</v>
      </c>
      <c r="AC12" s="23" t="s">
        <v>2573</v>
      </c>
      <c r="AD12" s="23" t="s">
        <v>2586</v>
      </c>
      <c r="AE12" s="23" t="s">
        <v>2586</v>
      </c>
      <c r="AF12" s="23" t="s">
        <v>2271</v>
      </c>
      <c r="AG12" s="23" t="s">
        <v>3467</v>
      </c>
      <c r="AH12" s="23" t="s">
        <v>3467</v>
      </c>
      <c r="AI12" s="23" t="s">
        <v>2271</v>
      </c>
      <c r="AJ12" s="23" t="s">
        <v>3490</v>
      </c>
      <c r="AK12" s="23" t="s">
        <v>3917</v>
      </c>
      <c r="AL12" s="23" t="s">
        <v>3926</v>
      </c>
      <c r="AM12" s="23" t="s">
        <v>3926</v>
      </c>
      <c r="AN12" s="23" t="s">
        <v>2271</v>
      </c>
      <c r="AO12" s="23" t="s">
        <v>1995</v>
      </c>
      <c r="AP12" s="23" t="s">
        <v>3926</v>
      </c>
      <c r="AQ12" s="164" t="s">
        <v>2169</v>
      </c>
      <c r="AR12" s="164" t="s">
        <v>2169</v>
      </c>
      <c r="AS12" s="164" t="s">
        <v>11</v>
      </c>
      <c r="AT12" s="164" t="s">
        <v>11</v>
      </c>
      <c r="AU12" s="164" t="s">
        <v>3928</v>
      </c>
      <c r="AV12" s="164" t="s">
        <v>3928</v>
      </c>
      <c r="AW12" s="260" t="s">
        <v>3928</v>
      </c>
      <c r="AX12" s="164" t="s">
        <v>3928</v>
      </c>
      <c r="AY12" s="23" t="s">
        <v>3467</v>
      </c>
      <c r="AZ12" s="23" t="s">
        <v>4649</v>
      </c>
      <c r="BA12" s="23" t="s">
        <v>5012</v>
      </c>
    </row>
    <row r="13" spans="2:53" ht="13.8" x14ac:dyDescent="0.25">
      <c r="B13" s="296"/>
      <c r="C13" s="56" t="s">
        <v>428</v>
      </c>
      <c r="D13" s="29"/>
      <c r="E13" s="52" t="s">
        <v>34</v>
      </c>
      <c r="F13" s="126" t="s">
        <v>322</v>
      </c>
      <c r="G13" s="119" t="s">
        <v>674</v>
      </c>
      <c r="H13" s="112" t="s">
        <v>779</v>
      </c>
      <c r="I13" s="120" t="s">
        <v>779</v>
      </c>
      <c r="J13" s="145" t="s">
        <v>11</v>
      </c>
      <c r="K13" s="20" t="s">
        <v>15</v>
      </c>
      <c r="L13" s="20" t="s">
        <v>15</v>
      </c>
      <c r="M13" s="20" t="s">
        <v>11</v>
      </c>
      <c r="N13" s="120" t="s">
        <v>11</v>
      </c>
      <c r="O13" s="20" t="s">
        <v>1275</v>
      </c>
      <c r="P13" s="145" t="s">
        <v>1373</v>
      </c>
      <c r="Q13" s="24" t="s">
        <v>1383</v>
      </c>
      <c r="R13" s="29" t="s">
        <v>1383</v>
      </c>
      <c r="S13" s="40" t="s">
        <v>1523</v>
      </c>
      <c r="T13" s="164" t="s">
        <v>1094</v>
      </c>
      <c r="U13" s="164" t="s">
        <v>11</v>
      </c>
      <c r="V13" s="164" t="s">
        <v>11</v>
      </c>
      <c r="W13" s="164" t="s">
        <v>11</v>
      </c>
      <c r="X13" s="23" t="s">
        <v>2141</v>
      </c>
      <c r="Y13" s="23" t="s">
        <v>2141</v>
      </c>
      <c r="Z13" s="23" t="s">
        <v>2141</v>
      </c>
      <c r="AA13" s="23" t="s">
        <v>2141</v>
      </c>
      <c r="AB13" s="23" t="s">
        <v>2167</v>
      </c>
      <c r="AC13" s="23" t="s">
        <v>11</v>
      </c>
      <c r="AD13" s="23" t="s">
        <v>2587</v>
      </c>
      <c r="AE13" s="23" t="s">
        <v>11</v>
      </c>
      <c r="AF13" s="23" t="s">
        <v>1561</v>
      </c>
      <c r="AG13" s="23" t="s">
        <v>1561</v>
      </c>
      <c r="AH13" s="23" t="s">
        <v>1561</v>
      </c>
      <c r="AI13" s="23" t="s">
        <v>3477</v>
      </c>
      <c r="AJ13" s="23" t="s">
        <v>3344</v>
      </c>
      <c r="AK13" s="23" t="s">
        <v>3918</v>
      </c>
      <c r="AL13" s="23" t="s">
        <v>1561</v>
      </c>
      <c r="AM13" s="23" t="s">
        <v>1561</v>
      </c>
      <c r="AN13" s="23" t="s">
        <v>3948</v>
      </c>
      <c r="AO13" s="23" t="s">
        <v>597</v>
      </c>
      <c r="AP13" s="23" t="s">
        <v>1561</v>
      </c>
      <c r="AQ13" s="23" t="s">
        <v>2167</v>
      </c>
      <c r="AR13" s="23" t="s">
        <v>2167</v>
      </c>
      <c r="AS13" s="23" t="s">
        <v>11</v>
      </c>
      <c r="AT13" s="23" t="s">
        <v>11</v>
      </c>
      <c r="AU13" s="23" t="s">
        <v>1460</v>
      </c>
      <c r="AV13" s="23" t="s">
        <v>1460</v>
      </c>
      <c r="AW13" s="54" t="s">
        <v>1460</v>
      </c>
      <c r="AX13" s="19" t="s">
        <v>46</v>
      </c>
      <c r="AY13" s="23" t="s">
        <v>1561</v>
      </c>
      <c r="AZ13" s="23" t="s">
        <v>4650</v>
      </c>
      <c r="BA13" s="23" t="s">
        <v>5013</v>
      </c>
    </row>
    <row r="14" spans="2:53" ht="13.8" x14ac:dyDescent="0.25">
      <c r="B14" s="296"/>
      <c r="C14" s="56" t="s">
        <v>429</v>
      </c>
      <c r="D14" s="29"/>
      <c r="E14" s="52" t="s">
        <v>35</v>
      </c>
      <c r="F14" s="126" t="s">
        <v>323</v>
      </c>
      <c r="G14" s="119" t="s">
        <v>673</v>
      </c>
      <c r="H14" s="112" t="s">
        <v>781</v>
      </c>
      <c r="I14" s="120" t="s">
        <v>1015</v>
      </c>
      <c r="J14" s="145" t="s">
        <v>11</v>
      </c>
      <c r="K14" s="19" t="s">
        <v>1297</v>
      </c>
      <c r="L14" s="20" t="s">
        <v>16</v>
      </c>
      <c r="M14" s="20" t="s">
        <v>11</v>
      </c>
      <c r="N14" s="120" t="s">
        <v>11</v>
      </c>
      <c r="O14" s="20" t="s">
        <v>1275</v>
      </c>
      <c r="P14" s="145" t="s">
        <v>1374</v>
      </c>
      <c r="Q14" s="24" t="s">
        <v>1374</v>
      </c>
      <c r="R14" s="29" t="s">
        <v>1374</v>
      </c>
      <c r="S14" s="40" t="s">
        <v>1524</v>
      </c>
      <c r="T14" s="164" t="s">
        <v>1535</v>
      </c>
      <c r="U14" s="164" t="s">
        <v>11</v>
      </c>
      <c r="V14" s="164" t="s">
        <v>11</v>
      </c>
      <c r="W14" s="164" t="s">
        <v>11</v>
      </c>
      <c r="X14" s="23" t="s">
        <v>2141</v>
      </c>
      <c r="Y14" s="23" t="s">
        <v>2141</v>
      </c>
      <c r="Z14" s="23" t="s">
        <v>2141</v>
      </c>
      <c r="AA14" s="23" t="s">
        <v>2141</v>
      </c>
      <c r="AB14" s="23" t="s">
        <v>2168</v>
      </c>
      <c r="AC14" s="23" t="s">
        <v>11</v>
      </c>
      <c r="AD14" s="23" t="s">
        <v>2588</v>
      </c>
      <c r="AE14" s="23" t="s">
        <v>11</v>
      </c>
      <c r="AF14" s="23" t="s">
        <v>3451</v>
      </c>
      <c r="AG14" s="23" t="s">
        <v>3467</v>
      </c>
      <c r="AH14" s="23" t="s">
        <v>3467</v>
      </c>
      <c r="AI14" s="23" t="s">
        <v>3478</v>
      </c>
      <c r="AJ14" s="23" t="s">
        <v>3491</v>
      </c>
      <c r="AK14" s="23" t="s">
        <v>3919</v>
      </c>
      <c r="AL14" s="23" t="s">
        <v>3928</v>
      </c>
      <c r="AM14" s="23" t="s">
        <v>3928</v>
      </c>
      <c r="AN14" s="23" t="s">
        <v>3949</v>
      </c>
      <c r="AO14" s="23" t="s">
        <v>3959</v>
      </c>
      <c r="AP14" s="23" t="s">
        <v>3928</v>
      </c>
      <c r="AQ14" s="23" t="s">
        <v>2168</v>
      </c>
      <c r="AR14" s="23" t="s">
        <v>2168</v>
      </c>
      <c r="AS14" s="23" t="s">
        <v>11</v>
      </c>
      <c r="AT14" s="23" t="s">
        <v>11</v>
      </c>
      <c r="AU14" s="23" t="s">
        <v>3928</v>
      </c>
      <c r="AV14" s="23" t="s">
        <v>3928</v>
      </c>
      <c r="AW14" s="54" t="s">
        <v>3928</v>
      </c>
      <c r="AX14" s="164" t="s">
        <v>3928</v>
      </c>
      <c r="AY14" s="23" t="s">
        <v>3467</v>
      </c>
      <c r="AZ14" s="23" t="s">
        <v>3928</v>
      </c>
      <c r="BA14" s="23" t="s">
        <v>5014</v>
      </c>
    </row>
    <row r="15" spans="2:53" ht="13.8" x14ac:dyDescent="0.25">
      <c r="B15" s="296"/>
      <c r="C15" s="56" t="s">
        <v>430</v>
      </c>
      <c r="D15" s="29"/>
      <c r="E15" s="52" t="s">
        <v>17</v>
      </c>
      <c r="F15" s="126" t="s">
        <v>324</v>
      </c>
      <c r="G15" s="119" t="s">
        <v>11</v>
      </c>
      <c r="H15" s="112" t="s">
        <v>11</v>
      </c>
      <c r="I15" s="120" t="s">
        <v>1016</v>
      </c>
      <c r="J15" s="145" t="s">
        <v>1298</v>
      </c>
      <c r="K15" s="20" t="s">
        <v>17</v>
      </c>
      <c r="L15" s="20" t="s">
        <v>17</v>
      </c>
      <c r="M15" s="20" t="s">
        <v>1298</v>
      </c>
      <c r="N15" s="120" t="s">
        <v>1141</v>
      </c>
      <c r="O15" s="20" t="s">
        <v>565</v>
      </c>
      <c r="P15" s="145" t="s">
        <v>1376</v>
      </c>
      <c r="Q15" s="24" t="s">
        <v>1376</v>
      </c>
      <c r="R15" s="29" t="s">
        <v>1376</v>
      </c>
      <c r="S15" s="160" t="s">
        <v>11</v>
      </c>
      <c r="T15" s="164" t="s">
        <v>1536</v>
      </c>
      <c r="U15" s="164" t="s">
        <v>1545</v>
      </c>
      <c r="V15" s="164" t="s">
        <v>1679</v>
      </c>
      <c r="W15" s="164" t="s">
        <v>11</v>
      </c>
      <c r="X15" s="23" t="s">
        <v>2142</v>
      </c>
      <c r="Y15" s="23" t="s">
        <v>2142</v>
      </c>
      <c r="Z15" s="23" t="s">
        <v>2142</v>
      </c>
      <c r="AA15" s="23" t="s">
        <v>2142</v>
      </c>
      <c r="AB15" s="23" t="s">
        <v>2166</v>
      </c>
      <c r="AC15" s="23" t="s">
        <v>2574</v>
      </c>
      <c r="AD15" s="23" t="s">
        <v>11</v>
      </c>
      <c r="AE15" s="23" t="s">
        <v>2597</v>
      </c>
      <c r="AF15" s="23" t="s">
        <v>1679</v>
      </c>
      <c r="AG15" s="23" t="s">
        <v>1679</v>
      </c>
      <c r="AH15" s="23" t="s">
        <v>1679</v>
      </c>
      <c r="AI15" s="23" t="s">
        <v>11</v>
      </c>
      <c r="AJ15" s="23" t="s">
        <v>3500</v>
      </c>
      <c r="AK15" s="23" t="s">
        <v>3920</v>
      </c>
      <c r="AL15" s="23" t="s">
        <v>1679</v>
      </c>
      <c r="AM15" s="23" t="s">
        <v>1679</v>
      </c>
      <c r="AN15" s="23" t="s">
        <v>3950</v>
      </c>
      <c r="AO15" s="23" t="s">
        <v>11</v>
      </c>
      <c r="AP15" s="23" t="s">
        <v>1679</v>
      </c>
      <c r="AQ15" s="23" t="s">
        <v>2166</v>
      </c>
      <c r="AR15" s="23" t="s">
        <v>2166</v>
      </c>
      <c r="AS15" s="23" t="s">
        <v>1679</v>
      </c>
      <c r="AT15" s="23" t="s">
        <v>11</v>
      </c>
      <c r="AU15" s="23" t="s">
        <v>11</v>
      </c>
      <c r="AV15" s="23" t="s">
        <v>4603</v>
      </c>
      <c r="AW15" s="54" t="s">
        <v>4603</v>
      </c>
      <c r="AX15" s="19" t="s">
        <v>4641</v>
      </c>
      <c r="AY15" s="23" t="s">
        <v>1679</v>
      </c>
      <c r="AZ15" s="23" t="s">
        <v>565</v>
      </c>
      <c r="BA15" s="23" t="s">
        <v>5013</v>
      </c>
    </row>
    <row r="16" spans="2:53" ht="13.8" x14ac:dyDescent="0.25">
      <c r="B16" s="296"/>
      <c r="C16" s="56" t="s">
        <v>431</v>
      </c>
      <c r="D16" s="29"/>
      <c r="E16" s="52" t="s">
        <v>18</v>
      </c>
      <c r="F16" s="126" t="s">
        <v>324</v>
      </c>
      <c r="G16" s="119" t="s">
        <v>11</v>
      </c>
      <c r="H16" s="112" t="s">
        <v>11</v>
      </c>
      <c r="I16" s="120" t="s">
        <v>44</v>
      </c>
      <c r="J16" s="145" t="s">
        <v>1299</v>
      </c>
      <c r="K16" s="20" t="s">
        <v>18</v>
      </c>
      <c r="L16" s="20" t="s">
        <v>18</v>
      </c>
      <c r="M16" s="20" t="s">
        <v>1300</v>
      </c>
      <c r="N16" s="120" t="s">
        <v>1142</v>
      </c>
      <c r="O16" s="20" t="s">
        <v>1276</v>
      </c>
      <c r="P16" s="145" t="s">
        <v>1375</v>
      </c>
      <c r="Q16" s="24" t="s">
        <v>1375</v>
      </c>
      <c r="R16" s="29" t="s">
        <v>1375</v>
      </c>
      <c r="S16" s="160" t="s">
        <v>11</v>
      </c>
      <c r="T16" s="164" t="s">
        <v>1535</v>
      </c>
      <c r="U16" s="164" t="s">
        <v>1549</v>
      </c>
      <c r="V16" s="164" t="s">
        <v>1996</v>
      </c>
      <c r="W16" s="164" t="s">
        <v>11</v>
      </c>
      <c r="X16" s="23" t="s">
        <v>2142</v>
      </c>
      <c r="Y16" s="23" t="s">
        <v>2142</v>
      </c>
      <c r="Z16" s="23" t="s">
        <v>2142</v>
      </c>
      <c r="AA16" s="23" t="s">
        <v>2142</v>
      </c>
      <c r="AB16" s="23" t="s">
        <v>2166</v>
      </c>
      <c r="AC16" s="23" t="s">
        <v>2575</v>
      </c>
      <c r="AD16" s="23" t="s">
        <v>11</v>
      </c>
      <c r="AE16" s="23" t="s">
        <v>2597</v>
      </c>
      <c r="AF16" s="23" t="s">
        <v>3452</v>
      </c>
      <c r="AG16" s="23" t="s">
        <v>3468</v>
      </c>
      <c r="AH16" s="23" t="s">
        <v>3468</v>
      </c>
      <c r="AI16" s="23" t="s">
        <v>11</v>
      </c>
      <c r="AJ16" s="23" t="s">
        <v>3499</v>
      </c>
      <c r="AK16" s="23" t="s">
        <v>3922</v>
      </c>
      <c r="AL16" s="23" t="s">
        <v>3928</v>
      </c>
      <c r="AM16" s="23" t="s">
        <v>3928</v>
      </c>
      <c r="AN16" s="23" t="s">
        <v>2523</v>
      </c>
      <c r="AO16" s="23" t="s">
        <v>11</v>
      </c>
      <c r="AP16" s="23" t="s">
        <v>3928</v>
      </c>
      <c r="AQ16" s="23" t="s">
        <v>2166</v>
      </c>
      <c r="AR16" s="23" t="s">
        <v>2166</v>
      </c>
      <c r="AS16" s="23" t="s">
        <v>3928</v>
      </c>
      <c r="AT16" s="23" t="s">
        <v>11</v>
      </c>
      <c r="AU16" s="23" t="s">
        <v>11</v>
      </c>
      <c r="AV16" s="23" t="s">
        <v>3928</v>
      </c>
      <c r="AW16" s="54" t="s">
        <v>3928</v>
      </c>
      <c r="AX16" s="164" t="s">
        <v>3928</v>
      </c>
      <c r="AY16" s="164" t="s">
        <v>3928</v>
      </c>
      <c r="AZ16" s="164" t="s">
        <v>3928</v>
      </c>
      <c r="BA16" s="164" t="s">
        <v>5014</v>
      </c>
    </row>
    <row r="17" spans="2:53" ht="13.8" x14ac:dyDescent="0.25">
      <c r="B17" s="296"/>
      <c r="C17" s="56" t="s">
        <v>432</v>
      </c>
      <c r="D17" s="29"/>
      <c r="E17" s="52" t="s">
        <v>19</v>
      </c>
      <c r="F17" s="126" t="s">
        <v>19</v>
      </c>
      <c r="G17" s="119" t="s">
        <v>19</v>
      </c>
      <c r="H17" s="112" t="s">
        <v>651</v>
      </c>
      <c r="I17" s="120" t="s">
        <v>740</v>
      </c>
      <c r="J17" s="13" t="s">
        <v>1301</v>
      </c>
      <c r="K17" s="20" t="s">
        <v>19</v>
      </c>
      <c r="L17" s="20" t="s">
        <v>19</v>
      </c>
      <c r="M17" s="19" t="s">
        <v>19</v>
      </c>
      <c r="N17" s="120" t="s">
        <v>19</v>
      </c>
      <c r="O17" s="20" t="s">
        <v>188</v>
      </c>
      <c r="P17" s="145" t="s">
        <v>19</v>
      </c>
      <c r="Q17" s="24" t="s">
        <v>19</v>
      </c>
      <c r="R17" s="29" t="s">
        <v>19</v>
      </c>
      <c r="S17" s="160" t="s">
        <v>819</v>
      </c>
      <c r="T17" s="164" t="s">
        <v>1531</v>
      </c>
      <c r="U17" s="164" t="s">
        <v>19</v>
      </c>
      <c r="V17" s="164" t="s">
        <v>19</v>
      </c>
      <c r="W17" s="164" t="s">
        <v>819</v>
      </c>
      <c r="X17" s="164" t="s">
        <v>819</v>
      </c>
      <c r="Y17" s="164" t="s">
        <v>819</v>
      </c>
      <c r="Z17" s="164" t="s">
        <v>819</v>
      </c>
      <c r="AA17" s="164" t="s">
        <v>819</v>
      </c>
      <c r="AB17" s="164" t="s">
        <v>19</v>
      </c>
      <c r="AC17" s="164" t="s">
        <v>19</v>
      </c>
      <c r="AD17" s="164" t="s">
        <v>1422</v>
      </c>
      <c r="AE17" s="164" t="s">
        <v>1422</v>
      </c>
      <c r="AF17" s="164" t="s">
        <v>819</v>
      </c>
      <c r="AG17" s="164" t="s">
        <v>819</v>
      </c>
      <c r="AH17" s="164" t="s">
        <v>819</v>
      </c>
      <c r="AI17" s="164" t="s">
        <v>3479</v>
      </c>
      <c r="AJ17" s="164" t="s">
        <v>156</v>
      </c>
      <c r="AK17" s="164" t="s">
        <v>1422</v>
      </c>
      <c r="AL17" s="164" t="s">
        <v>3929</v>
      </c>
      <c r="AM17" s="164" t="s">
        <v>3929</v>
      </c>
      <c r="AN17" s="164" t="s">
        <v>19</v>
      </c>
      <c r="AO17" s="164" t="s">
        <v>19</v>
      </c>
      <c r="AP17" s="164" t="s">
        <v>3929</v>
      </c>
      <c r="AQ17" s="164" t="s">
        <v>1422</v>
      </c>
      <c r="AR17" s="164" t="s">
        <v>1422</v>
      </c>
      <c r="AS17" s="164" t="s">
        <v>11</v>
      </c>
      <c r="AT17" s="164" t="s">
        <v>11</v>
      </c>
      <c r="AU17" s="164" t="s">
        <v>819</v>
      </c>
      <c r="AV17" s="164" t="s">
        <v>4604</v>
      </c>
      <c r="AW17" s="260" t="s">
        <v>4604</v>
      </c>
      <c r="AX17" s="19" t="s">
        <v>19</v>
      </c>
      <c r="AY17" s="164" t="s">
        <v>819</v>
      </c>
      <c r="AZ17" s="164" t="s">
        <v>819</v>
      </c>
      <c r="BA17" s="164" t="s">
        <v>3256</v>
      </c>
    </row>
    <row r="18" spans="2:53" ht="13.8" x14ac:dyDescent="0.25">
      <c r="B18" s="296"/>
      <c r="C18" s="56" t="s">
        <v>433</v>
      </c>
      <c r="D18" s="14"/>
      <c r="E18" s="119" t="s">
        <v>202</v>
      </c>
      <c r="F18" s="126" t="s">
        <v>19</v>
      </c>
      <c r="G18" s="119" t="s">
        <v>675</v>
      </c>
      <c r="H18" s="112" t="s">
        <v>568</v>
      </c>
      <c r="I18" s="120" t="s">
        <v>1017</v>
      </c>
      <c r="J18" s="13" t="s">
        <v>1302</v>
      </c>
      <c r="K18" s="19" t="s">
        <v>99</v>
      </c>
      <c r="L18" s="20" t="s">
        <v>20</v>
      </c>
      <c r="M18" s="19" t="s">
        <v>20</v>
      </c>
      <c r="N18" s="120" t="s">
        <v>1143</v>
      </c>
      <c r="O18" s="20" t="s">
        <v>568</v>
      </c>
      <c r="P18" s="145" t="s">
        <v>1377</v>
      </c>
      <c r="Q18" s="24" t="s">
        <v>1377</v>
      </c>
      <c r="R18" s="29" t="s">
        <v>1385</v>
      </c>
      <c r="S18" s="160" t="s">
        <v>1517</v>
      </c>
      <c r="T18" s="164" t="s">
        <v>1530</v>
      </c>
      <c r="U18" s="164" t="s">
        <v>19</v>
      </c>
      <c r="V18" s="164" t="s">
        <v>1997</v>
      </c>
      <c r="W18" s="164" t="s">
        <v>2131</v>
      </c>
      <c r="X18" s="164" t="s">
        <v>2131</v>
      </c>
      <c r="Y18" s="164" t="s">
        <v>2131</v>
      </c>
      <c r="Z18" s="164" t="s">
        <v>2131</v>
      </c>
      <c r="AA18" s="164" t="s">
        <v>2131</v>
      </c>
      <c r="AB18" s="164" t="s">
        <v>2163</v>
      </c>
      <c r="AC18" s="164" t="s">
        <v>2163</v>
      </c>
      <c r="AD18" s="164" t="s">
        <v>2163</v>
      </c>
      <c r="AE18" s="164" t="s">
        <v>2598</v>
      </c>
      <c r="AF18" s="164" t="s">
        <v>3453</v>
      </c>
      <c r="AG18" s="164" t="s">
        <v>3469</v>
      </c>
      <c r="AH18" s="164" t="s">
        <v>3453</v>
      </c>
      <c r="AI18" s="164" t="s">
        <v>3480</v>
      </c>
      <c r="AJ18" s="164" t="s">
        <v>3498</v>
      </c>
      <c r="AK18" s="164" t="s">
        <v>3921</v>
      </c>
      <c r="AL18" s="23" t="s">
        <v>3928</v>
      </c>
      <c r="AM18" s="23" t="s">
        <v>3928</v>
      </c>
      <c r="AN18" s="164" t="s">
        <v>3951</v>
      </c>
      <c r="AO18" s="164" t="s">
        <v>3921</v>
      </c>
      <c r="AP18" s="23" t="s">
        <v>3928</v>
      </c>
      <c r="AQ18" s="164" t="s">
        <v>2163</v>
      </c>
      <c r="AR18" s="164" t="s">
        <v>2163</v>
      </c>
      <c r="AS18" s="164" t="s">
        <v>11</v>
      </c>
      <c r="AT18" s="164" t="s">
        <v>11</v>
      </c>
      <c r="AU18" s="164" t="s">
        <v>3928</v>
      </c>
      <c r="AV18" s="164" t="s">
        <v>3928</v>
      </c>
      <c r="AW18" s="260" t="s">
        <v>3928</v>
      </c>
      <c r="AX18" s="164" t="s">
        <v>3928</v>
      </c>
      <c r="AY18" s="164" t="s">
        <v>3928</v>
      </c>
      <c r="AZ18" s="164" t="s">
        <v>4651</v>
      </c>
      <c r="BA18" s="164" t="s">
        <v>5015</v>
      </c>
    </row>
    <row r="19" spans="2:53" x14ac:dyDescent="0.25">
      <c r="B19" s="296"/>
      <c r="C19" s="56" t="s">
        <v>434</v>
      </c>
      <c r="D19" s="14"/>
      <c r="E19" s="119" t="s">
        <v>203</v>
      </c>
      <c r="F19" s="126" t="s">
        <v>325</v>
      </c>
      <c r="G19" s="119" t="s">
        <v>676</v>
      </c>
      <c r="H19" s="35">
        <v>2010</v>
      </c>
      <c r="I19" s="119" t="s">
        <v>1018</v>
      </c>
      <c r="J19" s="145" t="s">
        <v>86</v>
      </c>
      <c r="K19" s="19" t="s">
        <v>1303</v>
      </c>
      <c r="L19" s="20">
        <v>2008</v>
      </c>
      <c r="M19" s="20" t="s">
        <v>1304</v>
      </c>
      <c r="N19" s="119" t="s">
        <v>1144</v>
      </c>
      <c r="O19" s="20" t="s">
        <v>1277</v>
      </c>
      <c r="P19" s="145" t="s">
        <v>1378</v>
      </c>
      <c r="Q19" s="24" t="s">
        <v>1378</v>
      </c>
      <c r="R19" s="29" t="s">
        <v>1378</v>
      </c>
      <c r="S19" s="160" t="s">
        <v>1518</v>
      </c>
      <c r="T19" s="164" t="s">
        <v>1518</v>
      </c>
      <c r="U19" s="164" t="s">
        <v>1550</v>
      </c>
      <c r="V19" s="164" t="s">
        <v>1998</v>
      </c>
      <c r="W19" s="164" t="s">
        <v>2133</v>
      </c>
      <c r="X19" s="23" t="s">
        <v>2143</v>
      </c>
      <c r="Y19" s="23" t="s">
        <v>1410</v>
      </c>
      <c r="Z19" s="23" t="s">
        <v>2154</v>
      </c>
      <c r="AA19" s="23" t="s">
        <v>2148</v>
      </c>
      <c r="AB19" s="23" t="s">
        <v>2162</v>
      </c>
      <c r="AC19" s="23" t="s">
        <v>2576</v>
      </c>
      <c r="AD19" s="23">
        <v>2015</v>
      </c>
      <c r="AE19" s="23" t="s">
        <v>2599</v>
      </c>
      <c r="AF19" s="23">
        <v>2015</v>
      </c>
      <c r="AG19" s="23">
        <v>2015</v>
      </c>
      <c r="AH19" s="23">
        <v>2015</v>
      </c>
      <c r="AI19" s="23">
        <v>2023</v>
      </c>
      <c r="AJ19" s="23" t="s">
        <v>3494</v>
      </c>
      <c r="AK19" s="23" t="s">
        <v>1891</v>
      </c>
      <c r="AL19" s="23" t="s">
        <v>3043</v>
      </c>
      <c r="AM19" s="23" t="s">
        <v>3043</v>
      </c>
      <c r="AN19" s="23" t="s">
        <v>3507</v>
      </c>
      <c r="AO19" s="23" t="s">
        <v>4464</v>
      </c>
      <c r="AP19" s="23" t="s">
        <v>3043</v>
      </c>
      <c r="AQ19" s="23" t="s">
        <v>2162</v>
      </c>
      <c r="AR19" s="23" t="s">
        <v>2162</v>
      </c>
      <c r="AS19" s="23" t="s">
        <v>11</v>
      </c>
      <c r="AT19" s="23" t="s">
        <v>11</v>
      </c>
      <c r="AU19" s="23" t="s">
        <v>4589</v>
      </c>
      <c r="AV19" s="23" t="s">
        <v>4589</v>
      </c>
      <c r="AW19" s="54" t="s">
        <v>4589</v>
      </c>
      <c r="AX19" s="19" t="s">
        <v>4639</v>
      </c>
      <c r="AY19" s="19" t="s">
        <v>4639</v>
      </c>
      <c r="AZ19" s="19" t="s">
        <v>4652</v>
      </c>
      <c r="BA19" s="19">
        <v>2021</v>
      </c>
    </row>
    <row r="20" spans="2:53" ht="13.8" x14ac:dyDescent="0.25">
      <c r="B20" s="296"/>
      <c r="C20" s="56" t="s">
        <v>435</v>
      </c>
      <c r="D20" s="14"/>
      <c r="E20" s="52" t="s">
        <v>37</v>
      </c>
      <c r="F20" s="126" t="s">
        <v>37</v>
      </c>
      <c r="G20" s="119" t="s">
        <v>343</v>
      </c>
      <c r="H20" s="112" t="s">
        <v>311</v>
      </c>
      <c r="I20" s="120" t="s">
        <v>311</v>
      </c>
      <c r="J20" s="145" t="s">
        <v>1145</v>
      </c>
      <c r="K20" s="145" t="s">
        <v>1145</v>
      </c>
      <c r="L20" s="20" t="s">
        <v>311</v>
      </c>
      <c r="M20" s="20" t="s">
        <v>1145</v>
      </c>
      <c r="N20" s="120" t="s">
        <v>1145</v>
      </c>
      <c r="O20" s="20" t="s">
        <v>1278</v>
      </c>
      <c r="P20" s="145" t="s">
        <v>1278</v>
      </c>
      <c r="Q20" s="24" t="s">
        <v>1278</v>
      </c>
      <c r="R20" s="29" t="s">
        <v>1278</v>
      </c>
      <c r="S20" s="29" t="s">
        <v>1278</v>
      </c>
      <c r="T20" s="164" t="s">
        <v>1278</v>
      </c>
      <c r="U20" s="164" t="s">
        <v>1557</v>
      </c>
      <c r="V20" s="164" t="s">
        <v>1278</v>
      </c>
      <c r="W20" s="164" t="s">
        <v>1278</v>
      </c>
      <c r="X20" s="164" t="s">
        <v>1278</v>
      </c>
      <c r="Y20" s="164" t="s">
        <v>1278</v>
      </c>
      <c r="Z20" s="164" t="s">
        <v>1278</v>
      </c>
      <c r="AA20" s="164" t="s">
        <v>1278</v>
      </c>
      <c r="AB20" s="164" t="s">
        <v>1278</v>
      </c>
      <c r="AC20" s="164" t="s">
        <v>1278</v>
      </c>
      <c r="AD20" s="164" t="s">
        <v>1583</v>
      </c>
      <c r="AE20" s="164" t="s">
        <v>2600</v>
      </c>
      <c r="AF20" s="164" t="s">
        <v>3454</v>
      </c>
      <c r="AG20" s="164" t="s">
        <v>3454</v>
      </c>
      <c r="AH20" s="164" t="s">
        <v>3454</v>
      </c>
      <c r="AI20" s="164" t="s">
        <v>3454</v>
      </c>
      <c r="AJ20" s="164" t="s">
        <v>3495</v>
      </c>
      <c r="AK20" s="164" t="s">
        <v>3923</v>
      </c>
      <c r="AL20" s="23" t="s">
        <v>3928</v>
      </c>
      <c r="AM20" s="23" t="s">
        <v>3928</v>
      </c>
      <c r="AN20" s="164" t="s">
        <v>3952</v>
      </c>
      <c r="AO20" s="23" t="s">
        <v>4465</v>
      </c>
      <c r="AP20" s="23" t="s">
        <v>3928</v>
      </c>
      <c r="AQ20" s="164" t="s">
        <v>1278</v>
      </c>
      <c r="AR20" s="164" t="s">
        <v>1278</v>
      </c>
      <c r="AS20" s="164" t="s">
        <v>11</v>
      </c>
      <c r="AT20" s="164" t="s">
        <v>11</v>
      </c>
      <c r="AU20" s="164" t="s">
        <v>3928</v>
      </c>
      <c r="AV20" s="164" t="s">
        <v>3928</v>
      </c>
      <c r="AW20" s="260" t="s">
        <v>3928</v>
      </c>
      <c r="AX20" s="164" t="s">
        <v>3928</v>
      </c>
      <c r="AY20" s="164" t="s">
        <v>3928</v>
      </c>
      <c r="AZ20" s="164" t="s">
        <v>3928</v>
      </c>
      <c r="BA20" s="164" t="s">
        <v>2676</v>
      </c>
    </row>
    <row r="21" spans="2:53" ht="13.8" x14ac:dyDescent="0.25">
      <c r="B21" s="297" t="s">
        <v>0</v>
      </c>
      <c r="C21" s="56" t="s">
        <v>436</v>
      </c>
      <c r="D21" s="14"/>
      <c r="E21" s="119" t="s">
        <v>204</v>
      </c>
      <c r="F21" s="126" t="s">
        <v>326</v>
      </c>
      <c r="G21" s="119" t="s">
        <v>677</v>
      </c>
      <c r="H21" s="112" t="s">
        <v>813</v>
      </c>
      <c r="I21" s="120" t="s">
        <v>1019</v>
      </c>
      <c r="J21" s="13" t="s">
        <v>1305</v>
      </c>
      <c r="K21" s="19" t="s">
        <v>1306</v>
      </c>
      <c r="L21" s="20" t="s">
        <v>22</v>
      </c>
      <c r="M21" s="19" t="s">
        <v>1307</v>
      </c>
      <c r="N21" s="120" t="s">
        <v>1146</v>
      </c>
      <c r="O21" s="20" t="s">
        <v>1279</v>
      </c>
      <c r="P21" s="145" t="s">
        <v>1379</v>
      </c>
      <c r="Q21" s="24" t="s">
        <v>1379</v>
      </c>
      <c r="R21" s="29" t="s">
        <v>1379</v>
      </c>
      <c r="S21" s="40" t="s">
        <v>1525</v>
      </c>
      <c r="T21" s="164" t="s">
        <v>1537</v>
      </c>
      <c r="U21" s="164" t="s">
        <v>1553</v>
      </c>
      <c r="V21" s="164" t="s">
        <v>1999</v>
      </c>
      <c r="W21" s="164" t="s">
        <v>2134</v>
      </c>
      <c r="X21" s="23" t="s">
        <v>2144</v>
      </c>
      <c r="Y21" s="23" t="s">
        <v>2147</v>
      </c>
      <c r="Z21" s="199" t="s">
        <v>2155</v>
      </c>
      <c r="AA21" s="23" t="s">
        <v>2151</v>
      </c>
      <c r="AB21" s="23" t="s">
        <v>4451</v>
      </c>
      <c r="AC21" s="23" t="s">
        <v>2577</v>
      </c>
      <c r="AD21" s="23" t="s">
        <v>2589</v>
      </c>
      <c r="AE21" s="23" t="s">
        <v>2601</v>
      </c>
      <c r="AF21" s="23" t="s">
        <v>3457</v>
      </c>
      <c r="AG21" s="23" t="s">
        <v>3470</v>
      </c>
      <c r="AH21" s="23" t="s">
        <v>3471</v>
      </c>
      <c r="AI21" s="23" t="s">
        <v>3481</v>
      </c>
      <c r="AJ21" s="23" t="s">
        <v>3496</v>
      </c>
      <c r="AK21" s="23" t="s">
        <v>3902</v>
      </c>
      <c r="AL21" s="23" t="s">
        <v>3932</v>
      </c>
      <c r="AM21" s="23" t="s">
        <v>3933</v>
      </c>
      <c r="AN21" s="23" t="s">
        <v>3941</v>
      </c>
      <c r="AO21" s="23" t="s">
        <v>3955</v>
      </c>
      <c r="AP21" s="23" t="s">
        <v>4201</v>
      </c>
      <c r="AQ21" s="23" t="s">
        <v>4457</v>
      </c>
      <c r="AR21" s="23" t="s">
        <v>4458</v>
      </c>
      <c r="AS21" s="23" t="s">
        <v>4461</v>
      </c>
      <c r="AT21" s="23" t="s">
        <v>4582</v>
      </c>
      <c r="AU21" s="23" t="s">
        <v>4591</v>
      </c>
      <c r="AV21" s="23" t="s">
        <v>4605</v>
      </c>
      <c r="AW21" s="54" t="s">
        <v>4606</v>
      </c>
      <c r="AX21" s="20" t="s">
        <v>3446</v>
      </c>
      <c r="AY21" s="23" t="s">
        <v>3471</v>
      </c>
      <c r="AZ21" s="23" t="s">
        <v>4653</v>
      </c>
      <c r="BA21" s="23" t="s">
        <v>5016</v>
      </c>
    </row>
    <row r="22" spans="2:53" ht="13.8" x14ac:dyDescent="0.25">
      <c r="B22" s="297"/>
      <c r="C22" s="56" t="s">
        <v>437</v>
      </c>
      <c r="D22" s="40" t="s">
        <v>442</v>
      </c>
      <c r="E22" s="119" t="s">
        <v>205</v>
      </c>
      <c r="F22" s="126" t="s">
        <v>327</v>
      </c>
      <c r="G22" s="119" t="s">
        <v>678</v>
      </c>
      <c r="H22" s="112" t="s">
        <v>814</v>
      </c>
      <c r="I22" s="120" t="s">
        <v>1020</v>
      </c>
      <c r="J22" s="13" t="s">
        <v>1308</v>
      </c>
      <c r="K22" s="19" t="s">
        <v>1309</v>
      </c>
      <c r="L22" s="20" t="s">
        <v>23</v>
      </c>
      <c r="M22" s="19" t="s">
        <v>1310</v>
      </c>
      <c r="N22" s="120" t="s">
        <v>1147</v>
      </c>
      <c r="O22" s="20" t="s">
        <v>1280</v>
      </c>
      <c r="P22" s="145" t="s">
        <v>1380</v>
      </c>
      <c r="Q22" s="24" t="s">
        <v>1380</v>
      </c>
      <c r="R22" s="29" t="s">
        <v>1380</v>
      </c>
      <c r="S22" s="40" t="s">
        <v>1526</v>
      </c>
      <c r="T22" s="164" t="s">
        <v>1538</v>
      </c>
      <c r="U22" s="164" t="s">
        <v>1554</v>
      </c>
      <c r="V22" s="164" t="s">
        <v>2000</v>
      </c>
      <c r="W22" s="164" t="s">
        <v>2122</v>
      </c>
      <c r="X22" s="164" t="s">
        <v>2122</v>
      </c>
      <c r="Y22" s="164" t="s">
        <v>2122</v>
      </c>
      <c r="Z22" s="164" t="s">
        <v>2122</v>
      </c>
      <c r="AA22" s="164" t="s">
        <v>2122</v>
      </c>
      <c r="AB22" s="23" t="s">
        <v>4452</v>
      </c>
      <c r="AC22" s="164" t="s">
        <v>2578</v>
      </c>
      <c r="AD22" s="164" t="s">
        <v>2590</v>
      </c>
      <c r="AE22" s="164" t="s">
        <v>2602</v>
      </c>
      <c r="AF22" s="164" t="s">
        <v>3458</v>
      </c>
      <c r="AG22" s="164" t="s">
        <v>3472</v>
      </c>
      <c r="AH22" s="164" t="s">
        <v>3472</v>
      </c>
      <c r="AI22" s="164" t="s">
        <v>3482</v>
      </c>
      <c r="AJ22" s="164" t="s">
        <v>3497</v>
      </c>
      <c r="AK22" s="164" t="s">
        <v>3903</v>
      </c>
      <c r="AL22" s="164" t="s">
        <v>3934</v>
      </c>
      <c r="AM22" s="164" t="s">
        <v>3935</v>
      </c>
      <c r="AN22" s="164" t="s">
        <v>3942</v>
      </c>
      <c r="AO22" s="23" t="s">
        <v>4466</v>
      </c>
      <c r="AP22" s="23" t="s">
        <v>4202</v>
      </c>
      <c r="AQ22" s="164" t="s">
        <v>4452</v>
      </c>
      <c r="AR22" s="164" t="s">
        <v>4452</v>
      </c>
      <c r="AS22" s="164" t="s">
        <v>4462</v>
      </c>
      <c r="AT22" s="164" t="s">
        <v>4583</v>
      </c>
      <c r="AU22" s="164" t="s">
        <v>4590</v>
      </c>
      <c r="AV22" s="164" t="s">
        <v>4595</v>
      </c>
      <c r="AW22" s="260" t="s">
        <v>4607</v>
      </c>
      <c r="AX22" s="19" t="s">
        <v>4640</v>
      </c>
      <c r="AY22" s="164" t="s">
        <v>3472</v>
      </c>
      <c r="AZ22" s="164" t="s">
        <v>4654</v>
      </c>
      <c r="BA22" s="164" t="s">
        <v>5017</v>
      </c>
    </row>
    <row r="23" spans="2:53" x14ac:dyDescent="0.25">
      <c r="B23" s="297"/>
      <c r="C23" s="56" t="s">
        <v>454</v>
      </c>
      <c r="D23" s="29"/>
      <c r="E23" s="118" t="s">
        <v>1129</v>
      </c>
      <c r="F23" s="35" t="s">
        <v>11</v>
      </c>
      <c r="G23" s="119" t="s">
        <v>11</v>
      </c>
      <c r="H23" s="111" t="s">
        <v>11</v>
      </c>
      <c r="I23" s="119" t="s">
        <v>11</v>
      </c>
      <c r="J23" s="13" t="s">
        <v>11</v>
      </c>
      <c r="K23" s="19" t="s">
        <v>1311</v>
      </c>
      <c r="L23" s="118" t="s">
        <v>1312</v>
      </c>
      <c r="M23" s="19" t="s">
        <v>11</v>
      </c>
      <c r="N23" s="119" t="s">
        <v>11</v>
      </c>
      <c r="O23" s="118" t="s">
        <v>1271</v>
      </c>
      <c r="P23" s="145" t="s">
        <v>1501</v>
      </c>
      <c r="Q23" s="37" t="s">
        <v>1502</v>
      </c>
      <c r="R23" s="153" t="s">
        <v>1388</v>
      </c>
      <c r="S23" s="163" t="s">
        <v>11</v>
      </c>
      <c r="T23" s="164" t="s">
        <v>11</v>
      </c>
      <c r="U23" s="164" t="s">
        <v>11</v>
      </c>
      <c r="V23" s="164" t="s">
        <v>2001</v>
      </c>
      <c r="W23" s="164" t="s">
        <v>3439</v>
      </c>
      <c r="X23" s="164" t="s">
        <v>3439</v>
      </c>
      <c r="Y23" s="164" t="s">
        <v>3439</v>
      </c>
      <c r="Z23" s="164" t="s">
        <v>4863</v>
      </c>
      <c r="AA23" s="164" t="s">
        <v>3438</v>
      </c>
      <c r="AB23" s="164" t="s">
        <v>11</v>
      </c>
      <c r="AC23" s="164" t="s">
        <v>11</v>
      </c>
      <c r="AD23" s="164" t="s">
        <v>11</v>
      </c>
      <c r="AE23" s="164" t="s">
        <v>11</v>
      </c>
      <c r="AF23" s="164"/>
      <c r="AG23" s="164"/>
      <c r="AH23" s="164"/>
      <c r="AI23" s="164"/>
      <c r="AJ23" s="164"/>
      <c r="AK23" s="164" t="s">
        <v>3938</v>
      </c>
      <c r="AL23" s="164" t="s">
        <v>3939</v>
      </c>
      <c r="AM23" s="164" t="s">
        <v>3939</v>
      </c>
      <c r="AN23" s="164" t="s">
        <v>3945</v>
      </c>
      <c r="AO23" s="164" t="s">
        <v>3958</v>
      </c>
      <c r="AP23" s="164" t="s">
        <v>3939</v>
      </c>
      <c r="AQ23" s="164" t="s">
        <v>11</v>
      </c>
      <c r="AR23" s="164" t="s">
        <v>11</v>
      </c>
      <c r="AS23" s="164" t="s">
        <v>11</v>
      </c>
      <c r="AT23" s="164" t="s">
        <v>11</v>
      </c>
      <c r="AU23" s="164" t="s">
        <v>11</v>
      </c>
      <c r="AV23" s="164" t="s">
        <v>11</v>
      </c>
      <c r="AW23" s="260" t="s">
        <v>11</v>
      </c>
      <c r="AX23" s="19" t="s">
        <v>11</v>
      </c>
      <c r="AY23" s="23" t="s">
        <v>11</v>
      </c>
      <c r="AZ23" s="23" t="s">
        <v>4646</v>
      </c>
      <c r="BA23" s="23" t="s">
        <v>5018</v>
      </c>
    </row>
    <row r="24" spans="2:53" ht="13.8" x14ac:dyDescent="0.25">
      <c r="B24" s="297"/>
      <c r="C24" s="56" t="s">
        <v>438</v>
      </c>
      <c r="D24" s="14"/>
      <c r="E24" s="52" t="s">
        <v>11</v>
      </c>
      <c r="F24" s="127" t="s">
        <v>11</v>
      </c>
      <c r="G24" s="119" t="s">
        <v>11</v>
      </c>
      <c r="H24" s="112" t="s">
        <v>11</v>
      </c>
      <c r="I24" s="120" t="s">
        <v>11</v>
      </c>
      <c r="J24" s="13" t="s">
        <v>11</v>
      </c>
      <c r="K24" s="19" t="s">
        <v>11</v>
      </c>
      <c r="L24" s="19" t="s">
        <v>11</v>
      </c>
      <c r="M24" s="19" t="s">
        <v>11</v>
      </c>
      <c r="N24" s="120" t="s">
        <v>11</v>
      </c>
      <c r="O24" s="139" t="s">
        <v>11</v>
      </c>
      <c r="P24" s="145" t="s">
        <v>11</v>
      </c>
      <c r="Q24" s="24" t="s">
        <v>11</v>
      </c>
      <c r="R24" s="29" t="s">
        <v>11</v>
      </c>
      <c r="S24" s="160" t="s">
        <v>11</v>
      </c>
      <c r="T24" s="164" t="s">
        <v>11</v>
      </c>
      <c r="U24" s="164" t="s">
        <v>1555</v>
      </c>
      <c r="V24" s="164" t="s">
        <v>2005</v>
      </c>
      <c r="W24" s="164" t="s">
        <v>2135</v>
      </c>
      <c r="X24" s="164" t="s">
        <v>2135</v>
      </c>
      <c r="Y24" s="164" t="s">
        <v>2135</v>
      </c>
      <c r="Z24" s="164" t="s">
        <v>2135</v>
      </c>
      <c r="AA24" s="164" t="s">
        <v>2135</v>
      </c>
      <c r="AB24" s="23" t="s">
        <v>4454</v>
      </c>
      <c r="AC24" s="164"/>
      <c r="AD24" s="164"/>
      <c r="AE24" s="164"/>
      <c r="AF24" s="164"/>
      <c r="AG24" s="164"/>
      <c r="AH24" s="164"/>
      <c r="AI24" s="164" t="s">
        <v>3483</v>
      </c>
      <c r="AJ24" s="164"/>
      <c r="AK24" s="164"/>
      <c r="AL24" s="164" t="s">
        <v>3914</v>
      </c>
      <c r="AM24" s="164" t="s">
        <v>3914</v>
      </c>
      <c r="AN24" s="164"/>
      <c r="AO24" s="164"/>
      <c r="AP24" s="164" t="s">
        <v>3914</v>
      </c>
      <c r="AQ24" s="164" t="s">
        <v>2161</v>
      </c>
      <c r="AR24" s="164" t="s">
        <v>2161</v>
      </c>
      <c r="AS24" s="164" t="s">
        <v>11</v>
      </c>
      <c r="AT24" s="164" t="s">
        <v>11</v>
      </c>
      <c r="AU24" s="23" t="s">
        <v>4592</v>
      </c>
      <c r="AV24" s="164" t="s">
        <v>11</v>
      </c>
      <c r="AW24" s="260" t="s">
        <v>11</v>
      </c>
      <c r="AX24" s="19" t="s">
        <v>4645</v>
      </c>
      <c r="AY24" s="19" t="s">
        <v>4644</v>
      </c>
      <c r="AZ24" s="19" t="s">
        <v>11</v>
      </c>
      <c r="BA24" s="19" t="s">
        <v>11</v>
      </c>
    </row>
    <row r="25" spans="2:53" ht="13.35" customHeight="1" x14ac:dyDescent="0.25">
      <c r="B25" s="298" t="s">
        <v>8</v>
      </c>
      <c r="C25" s="54" t="s">
        <v>439</v>
      </c>
      <c r="D25" s="14"/>
      <c r="E25" s="19" t="s">
        <v>860</v>
      </c>
      <c r="F25" s="25" t="s">
        <v>860</v>
      </c>
      <c r="G25" s="19" t="s">
        <v>860</v>
      </c>
      <c r="H25" s="25" t="s">
        <v>860</v>
      </c>
      <c r="I25" s="19" t="s">
        <v>861</v>
      </c>
      <c r="J25" s="25" t="s">
        <v>860</v>
      </c>
      <c r="K25" s="20" t="s">
        <v>207</v>
      </c>
      <c r="L25" s="20" t="s">
        <v>207</v>
      </c>
      <c r="M25" s="146" t="s">
        <v>206</v>
      </c>
      <c r="N25" s="19" t="s">
        <v>860</v>
      </c>
      <c r="O25" s="19" t="s">
        <v>860</v>
      </c>
      <c r="P25" s="145" t="s">
        <v>860</v>
      </c>
      <c r="Q25" s="24" t="s">
        <v>860</v>
      </c>
      <c r="R25" s="29" t="s">
        <v>860</v>
      </c>
      <c r="S25" s="40" t="s">
        <v>861</v>
      </c>
      <c r="T25" s="23" t="s">
        <v>861</v>
      </c>
      <c r="U25" s="23" t="s">
        <v>860</v>
      </c>
      <c r="V25" s="23" t="s">
        <v>860</v>
      </c>
      <c r="W25" s="23" t="s">
        <v>860</v>
      </c>
      <c r="X25" s="23" t="s">
        <v>860</v>
      </c>
      <c r="Y25" s="23" t="s">
        <v>860</v>
      </c>
      <c r="Z25" s="23" t="s">
        <v>860</v>
      </c>
      <c r="AA25" s="23" t="s">
        <v>860</v>
      </c>
      <c r="AB25" s="23" t="s">
        <v>860</v>
      </c>
      <c r="AC25" s="23" t="s">
        <v>206</v>
      </c>
      <c r="AD25" s="23" t="s">
        <v>206</v>
      </c>
      <c r="AE25" s="23" t="s">
        <v>206</v>
      </c>
      <c r="AF25" s="23" t="s">
        <v>206</v>
      </c>
      <c r="AG25" s="23" t="s">
        <v>206</v>
      </c>
      <c r="AH25" s="23" t="s">
        <v>206</v>
      </c>
      <c r="AI25" s="23" t="s">
        <v>206</v>
      </c>
      <c r="AJ25" s="23" t="s">
        <v>206</v>
      </c>
      <c r="AK25" s="23" t="s">
        <v>861</v>
      </c>
      <c r="AL25" s="23" t="s">
        <v>206</v>
      </c>
      <c r="AM25" s="23" t="s">
        <v>206</v>
      </c>
      <c r="AN25" s="23" t="s">
        <v>861</v>
      </c>
      <c r="AO25" s="23" t="s">
        <v>861</v>
      </c>
      <c r="AP25" s="23" t="s">
        <v>206</v>
      </c>
      <c r="AQ25" s="23" t="s">
        <v>860</v>
      </c>
      <c r="AR25" s="23" t="s">
        <v>860</v>
      </c>
      <c r="AS25" s="23" t="s">
        <v>860</v>
      </c>
      <c r="AT25" s="23" t="s">
        <v>860</v>
      </c>
      <c r="AU25" s="23" t="s">
        <v>860</v>
      </c>
      <c r="AV25" s="23" t="s">
        <v>860</v>
      </c>
      <c r="AW25" s="54" t="s">
        <v>860</v>
      </c>
      <c r="AX25" s="23" t="s">
        <v>860</v>
      </c>
      <c r="AY25" s="23" t="s">
        <v>206</v>
      </c>
      <c r="AZ25" s="23" t="s">
        <v>206</v>
      </c>
      <c r="BA25" s="23" t="s">
        <v>206</v>
      </c>
    </row>
    <row r="26" spans="2:53" x14ac:dyDescent="0.25">
      <c r="B26" s="298"/>
      <c r="C26" s="54" t="s">
        <v>440</v>
      </c>
      <c r="D26" s="14"/>
      <c r="E26" s="23" t="s">
        <v>39</v>
      </c>
      <c r="F26" s="25" t="s">
        <v>728</v>
      </c>
      <c r="G26" s="20" t="s">
        <v>857</v>
      </c>
      <c r="H26" s="12" t="s">
        <v>859</v>
      </c>
      <c r="I26" s="47" t="s">
        <v>1042</v>
      </c>
      <c r="J26" s="13" t="s">
        <v>39</v>
      </c>
      <c r="K26" s="20" t="s">
        <v>858</v>
      </c>
      <c r="L26" s="20" t="s">
        <v>858</v>
      </c>
      <c r="M26" s="19" t="s">
        <v>61</v>
      </c>
      <c r="N26" s="135" t="s">
        <v>61</v>
      </c>
      <c r="O26" s="20" t="s">
        <v>857</v>
      </c>
      <c r="P26" s="145" t="s">
        <v>857</v>
      </c>
      <c r="Q26" s="24" t="s">
        <v>857</v>
      </c>
      <c r="R26" s="29" t="s">
        <v>857</v>
      </c>
      <c r="S26" s="40" t="s">
        <v>39</v>
      </c>
      <c r="T26" s="164" t="s">
        <v>1541</v>
      </c>
      <c r="U26" s="164" t="s">
        <v>1551</v>
      </c>
      <c r="V26" s="164" t="s">
        <v>857</v>
      </c>
      <c r="W26" s="164" t="s">
        <v>857</v>
      </c>
      <c r="X26" s="164" t="s">
        <v>857</v>
      </c>
      <c r="Y26" s="164" t="s">
        <v>857</v>
      </c>
      <c r="Z26" s="164" t="s">
        <v>857</v>
      </c>
      <c r="AA26" s="164" t="s">
        <v>857</v>
      </c>
      <c r="AB26" s="23" t="s">
        <v>2648</v>
      </c>
      <c r="AC26" s="164" t="s">
        <v>858</v>
      </c>
      <c r="AD26" s="164" t="s">
        <v>858</v>
      </c>
      <c r="AE26" s="164" t="s">
        <v>858</v>
      </c>
      <c r="AF26" s="164" t="s">
        <v>61</v>
      </c>
      <c r="AG26" s="164" t="s">
        <v>61</v>
      </c>
      <c r="AH26" s="164" t="s">
        <v>61</v>
      </c>
      <c r="AI26" s="164" t="s">
        <v>3106</v>
      </c>
      <c r="AJ26" s="164" t="s">
        <v>3106</v>
      </c>
      <c r="AK26" s="164" t="s">
        <v>2648</v>
      </c>
      <c r="AL26" s="164" t="s">
        <v>2648</v>
      </c>
      <c r="AM26" s="164" t="s">
        <v>2648</v>
      </c>
      <c r="AN26" s="164" t="s">
        <v>61</v>
      </c>
      <c r="AO26" s="164" t="s">
        <v>61</v>
      </c>
      <c r="AP26" s="164" t="s">
        <v>2648</v>
      </c>
      <c r="AQ26" s="164" t="s">
        <v>857</v>
      </c>
      <c r="AR26" s="164" t="s">
        <v>857</v>
      </c>
      <c r="AS26" s="164" t="s">
        <v>2648</v>
      </c>
      <c r="AT26" s="164" t="s">
        <v>2648</v>
      </c>
      <c r="AU26" s="164" t="s">
        <v>2648</v>
      </c>
      <c r="AV26" s="164" t="s">
        <v>2648</v>
      </c>
      <c r="AW26" s="260" t="s">
        <v>2648</v>
      </c>
      <c r="AX26" s="164" t="s">
        <v>2648</v>
      </c>
      <c r="AY26" s="164" t="s">
        <v>2648</v>
      </c>
      <c r="AZ26" s="164" t="s">
        <v>61</v>
      </c>
      <c r="BA26" s="164" t="s">
        <v>61</v>
      </c>
    </row>
    <row r="27" spans="2:53" x14ac:dyDescent="0.25">
      <c r="B27" s="298"/>
      <c r="C27" s="13" t="s">
        <v>441</v>
      </c>
      <c r="D27" s="29"/>
      <c r="E27" s="52" t="s">
        <v>40</v>
      </c>
      <c r="F27" s="127" t="s">
        <v>81</v>
      </c>
      <c r="G27" s="119" t="s">
        <v>679</v>
      </c>
      <c r="H27" s="35" t="s">
        <v>798</v>
      </c>
      <c r="I27" s="119" t="s">
        <v>1022</v>
      </c>
      <c r="J27" s="13" t="s">
        <v>1313</v>
      </c>
      <c r="K27" s="20" t="s">
        <v>1314</v>
      </c>
      <c r="L27" s="20" t="s">
        <v>287</v>
      </c>
      <c r="M27" s="19" t="s">
        <v>1315</v>
      </c>
      <c r="N27" s="136" t="s">
        <v>1148</v>
      </c>
      <c r="O27" s="118" t="s">
        <v>1270</v>
      </c>
      <c r="P27" s="145" t="s">
        <v>40</v>
      </c>
      <c r="Q27" s="24" t="s">
        <v>40</v>
      </c>
      <c r="R27" s="29" t="s">
        <v>40</v>
      </c>
      <c r="S27" s="40" t="s">
        <v>1527</v>
      </c>
      <c r="T27" s="164" t="s">
        <v>1511</v>
      </c>
      <c r="U27" s="164" t="s">
        <v>1548</v>
      </c>
      <c r="V27" s="164" t="s">
        <v>1315</v>
      </c>
      <c r="W27" s="164" t="s">
        <v>2128</v>
      </c>
      <c r="X27" s="164" t="s">
        <v>2128</v>
      </c>
      <c r="Y27" s="164" t="s">
        <v>2128</v>
      </c>
      <c r="Z27" s="164" t="s">
        <v>2128</v>
      </c>
      <c r="AA27" s="164" t="s">
        <v>2128</v>
      </c>
      <c r="AB27" s="23" t="s">
        <v>4453</v>
      </c>
      <c r="AC27" s="164" t="s">
        <v>2579</v>
      </c>
      <c r="AD27" s="164" t="s">
        <v>2582</v>
      </c>
      <c r="AE27" s="164" t="s">
        <v>2603</v>
      </c>
      <c r="AF27" s="164" t="s">
        <v>2953</v>
      </c>
      <c r="AG27" s="164" t="s">
        <v>3464</v>
      </c>
      <c r="AH27" s="164" t="s">
        <v>3464</v>
      </c>
      <c r="AI27" s="164" t="s">
        <v>3484</v>
      </c>
      <c r="AJ27" s="164" t="s">
        <v>3493</v>
      </c>
      <c r="AK27" s="164" t="s">
        <v>3913</v>
      </c>
      <c r="AL27" s="164" t="s">
        <v>3912</v>
      </c>
      <c r="AM27" s="164" t="s">
        <v>3912</v>
      </c>
      <c r="AN27" s="164" t="s">
        <v>3944</v>
      </c>
      <c r="AO27" s="164" t="s">
        <v>3957</v>
      </c>
      <c r="AP27" s="164" t="s">
        <v>3912</v>
      </c>
      <c r="AQ27" s="164" t="s">
        <v>2160</v>
      </c>
      <c r="AR27" s="164" t="s">
        <v>2160</v>
      </c>
      <c r="AS27" s="164" t="s">
        <v>3912</v>
      </c>
      <c r="AT27" s="164" t="s">
        <v>4584</v>
      </c>
      <c r="AU27" s="164" t="s">
        <v>4585</v>
      </c>
      <c r="AV27" s="164" t="s">
        <v>4585</v>
      </c>
      <c r="AW27" s="260" t="s">
        <v>4585</v>
      </c>
      <c r="AX27" s="164" t="s">
        <v>4585</v>
      </c>
      <c r="AY27" s="164" t="s">
        <v>4585</v>
      </c>
      <c r="AZ27" s="164" t="s">
        <v>4656</v>
      </c>
      <c r="BA27" s="164" t="s">
        <v>5019</v>
      </c>
    </row>
    <row r="28" spans="2:53" x14ac:dyDescent="0.25">
      <c r="B28" s="298"/>
      <c r="C28" s="13" t="s">
        <v>443</v>
      </c>
      <c r="D28" s="29"/>
      <c r="E28" s="52" t="s">
        <v>11</v>
      </c>
      <c r="F28" s="35" t="s">
        <v>11</v>
      </c>
      <c r="G28" s="170" t="s">
        <v>680</v>
      </c>
      <c r="H28" s="35" t="s">
        <v>796</v>
      </c>
      <c r="I28" s="52" t="s">
        <v>1021</v>
      </c>
      <c r="J28" s="13" t="s">
        <v>11</v>
      </c>
      <c r="K28" s="20" t="s">
        <v>11</v>
      </c>
      <c r="L28" s="20" t="s">
        <v>11</v>
      </c>
      <c r="M28" s="19" t="s">
        <v>11</v>
      </c>
      <c r="N28" s="136" t="s">
        <v>1151</v>
      </c>
      <c r="O28" s="20" t="s">
        <v>1269</v>
      </c>
      <c r="P28" s="152" t="s">
        <v>1381</v>
      </c>
      <c r="Q28" s="152" t="s">
        <v>2002</v>
      </c>
      <c r="R28" s="153" t="s">
        <v>1388</v>
      </c>
      <c r="S28" s="156" t="s">
        <v>1529</v>
      </c>
      <c r="T28" s="47" t="s">
        <v>1539</v>
      </c>
      <c r="U28" s="47" t="s">
        <v>1547</v>
      </c>
      <c r="V28" s="179" t="s">
        <v>2004</v>
      </c>
      <c r="W28" s="179" t="s">
        <v>2123</v>
      </c>
      <c r="X28" s="179" t="s">
        <v>2123</v>
      </c>
      <c r="Y28" s="179" t="s">
        <v>2123</v>
      </c>
      <c r="Z28" s="179" t="s">
        <v>2123</v>
      </c>
      <c r="AA28" s="179" t="s">
        <v>2123</v>
      </c>
      <c r="AB28" s="231" t="s">
        <v>3440</v>
      </c>
      <c r="AC28" s="179" t="s">
        <v>2580</v>
      </c>
      <c r="AD28" s="179" t="s">
        <v>2593</v>
      </c>
      <c r="AE28" s="179" t="s">
        <v>2604</v>
      </c>
      <c r="AF28" s="179" t="s">
        <v>3449</v>
      </c>
      <c r="AG28" s="179" t="s">
        <v>3465</v>
      </c>
      <c r="AH28" s="179" t="s">
        <v>3462</v>
      </c>
      <c r="AI28" s="179" t="s">
        <v>3485</v>
      </c>
      <c r="AJ28" s="179" t="s">
        <v>3492</v>
      </c>
      <c r="AK28" s="170" t="s">
        <v>3900</v>
      </c>
      <c r="AL28" s="170" t="s">
        <v>3901</v>
      </c>
      <c r="AM28" s="170" t="s">
        <v>3901</v>
      </c>
      <c r="AN28" s="170" t="s">
        <v>3940</v>
      </c>
      <c r="AO28" s="170" t="s">
        <v>3954</v>
      </c>
      <c r="AP28" s="170" t="s">
        <v>3901</v>
      </c>
      <c r="AQ28" s="231" t="s">
        <v>3440</v>
      </c>
      <c r="AR28" s="231" t="s">
        <v>3440</v>
      </c>
      <c r="AS28" s="231" t="s">
        <v>11</v>
      </c>
      <c r="AT28" s="231" t="s">
        <v>11</v>
      </c>
      <c r="AU28" s="231" t="s">
        <v>11</v>
      </c>
      <c r="AV28" s="231" t="s">
        <v>11</v>
      </c>
      <c r="AW28" s="231" t="s">
        <v>11</v>
      </c>
      <c r="AX28" s="20" t="s">
        <v>3459</v>
      </c>
      <c r="AY28" s="165" t="s">
        <v>11</v>
      </c>
      <c r="AZ28" s="165" t="s">
        <v>4655</v>
      </c>
      <c r="BA28" s="165" t="s">
        <v>5020</v>
      </c>
    </row>
    <row r="29" spans="2:53" ht="13.8" x14ac:dyDescent="0.25">
      <c r="B29" s="298"/>
      <c r="C29" s="13" t="s">
        <v>444</v>
      </c>
      <c r="D29" s="29"/>
      <c r="E29" s="52" t="s">
        <v>42</v>
      </c>
      <c r="F29" s="132" t="s">
        <v>317</v>
      </c>
      <c r="G29" s="120" t="s">
        <v>681</v>
      </c>
      <c r="H29" s="127" t="s">
        <v>11</v>
      </c>
      <c r="I29" s="121" t="s">
        <v>11</v>
      </c>
      <c r="J29" s="13" t="s">
        <v>1316</v>
      </c>
      <c r="K29" s="20" t="s">
        <v>1317</v>
      </c>
      <c r="L29" s="20" t="s">
        <v>28</v>
      </c>
      <c r="M29" s="19" t="s">
        <v>1318</v>
      </c>
      <c r="N29" s="137" t="s">
        <v>1152</v>
      </c>
      <c r="O29" s="20" t="s">
        <v>1269</v>
      </c>
      <c r="P29" s="152" t="s">
        <v>1381</v>
      </c>
      <c r="Q29" s="152" t="s">
        <v>2002</v>
      </c>
      <c r="R29" s="153" t="s">
        <v>1388</v>
      </c>
      <c r="S29" s="156" t="s">
        <v>1529</v>
      </c>
      <c r="T29" s="165" t="s">
        <v>1539</v>
      </c>
      <c r="U29" s="47" t="s">
        <v>1547</v>
      </c>
      <c r="V29" s="179" t="s">
        <v>2003</v>
      </c>
      <c r="W29" s="179" t="s">
        <v>2123</v>
      </c>
      <c r="X29" s="179" t="s">
        <v>2123</v>
      </c>
      <c r="Y29" s="179" t="s">
        <v>2123</v>
      </c>
      <c r="Z29" s="179" t="s">
        <v>2123</v>
      </c>
      <c r="AA29" s="179" t="s">
        <v>2123</v>
      </c>
      <c r="AB29" s="231" t="s">
        <v>3440</v>
      </c>
      <c r="AC29" s="179" t="s">
        <v>2580</v>
      </c>
      <c r="AD29" s="179" t="s">
        <v>2591</v>
      </c>
      <c r="AE29" s="179" t="s">
        <v>2604</v>
      </c>
      <c r="AF29" s="161" t="s">
        <v>3449</v>
      </c>
      <c r="AG29" s="161" t="s">
        <v>3465</v>
      </c>
      <c r="AH29" s="179" t="s">
        <v>3462</v>
      </c>
      <c r="AI29" s="179" t="s">
        <v>3486</v>
      </c>
      <c r="AJ29" s="179" t="s">
        <v>3492</v>
      </c>
      <c r="AK29" s="170" t="s">
        <v>3900</v>
      </c>
      <c r="AL29" s="179" t="s">
        <v>2222</v>
      </c>
      <c r="AM29" s="179" t="s">
        <v>2222</v>
      </c>
      <c r="AN29" s="170" t="s">
        <v>3940</v>
      </c>
      <c r="AO29" s="170" t="s">
        <v>3954</v>
      </c>
      <c r="AP29" s="179" t="s">
        <v>2222</v>
      </c>
      <c r="AQ29" s="231" t="s">
        <v>3440</v>
      </c>
      <c r="AR29" s="231" t="s">
        <v>3440</v>
      </c>
      <c r="AS29" s="231" t="s">
        <v>11</v>
      </c>
      <c r="AT29" s="231" t="s">
        <v>11</v>
      </c>
      <c r="AU29" s="231" t="s">
        <v>11</v>
      </c>
      <c r="AV29" s="231" t="s">
        <v>11</v>
      </c>
      <c r="AW29" s="231" t="s">
        <v>11</v>
      </c>
      <c r="AX29" s="165" t="s">
        <v>11</v>
      </c>
      <c r="AY29" s="165" t="s">
        <v>11</v>
      </c>
      <c r="AZ29" s="165" t="s">
        <v>4655</v>
      </c>
      <c r="BA29" s="165" t="s">
        <v>5020</v>
      </c>
    </row>
    <row r="30" spans="2:53" ht="13.8" x14ac:dyDescent="0.25">
      <c r="B30" s="298"/>
      <c r="C30" s="13" t="s">
        <v>445</v>
      </c>
      <c r="D30" s="29"/>
      <c r="E30" s="52" t="s">
        <v>43</v>
      </c>
      <c r="F30" s="112" t="s">
        <v>82</v>
      </c>
      <c r="G30" s="120" t="s">
        <v>681</v>
      </c>
      <c r="H30" s="112" t="s">
        <v>795</v>
      </c>
      <c r="I30" s="120" t="s">
        <v>1036</v>
      </c>
      <c r="J30" s="147" t="s">
        <v>1316</v>
      </c>
      <c r="K30" s="20" t="s">
        <v>1317</v>
      </c>
      <c r="L30" s="20" t="s">
        <v>29</v>
      </c>
      <c r="M30" s="19" t="s">
        <v>1318</v>
      </c>
      <c r="N30" s="137" t="s">
        <v>1153</v>
      </c>
      <c r="O30" s="20" t="s">
        <v>1269</v>
      </c>
      <c r="P30" s="152" t="s">
        <v>1381</v>
      </c>
      <c r="Q30" s="152" t="s">
        <v>2002</v>
      </c>
      <c r="R30" s="153" t="s">
        <v>1388</v>
      </c>
      <c r="S30" s="163" t="s">
        <v>1528</v>
      </c>
      <c r="T30" s="165" t="s">
        <v>1540</v>
      </c>
      <c r="U30" s="47" t="s">
        <v>1547</v>
      </c>
      <c r="V30" s="179" t="s">
        <v>2003</v>
      </c>
      <c r="W30" s="179" t="s">
        <v>2123</v>
      </c>
      <c r="X30" s="179" t="s">
        <v>2123</v>
      </c>
      <c r="Y30" s="179" t="s">
        <v>2123</v>
      </c>
      <c r="Z30" s="179" t="s">
        <v>2123</v>
      </c>
      <c r="AA30" s="179" t="s">
        <v>2123</v>
      </c>
      <c r="AB30" s="231" t="s">
        <v>3440</v>
      </c>
      <c r="AC30" s="179" t="s">
        <v>2579</v>
      </c>
      <c r="AD30" s="179" t="s">
        <v>2592</v>
      </c>
      <c r="AE30" s="179" t="s">
        <v>2604</v>
      </c>
      <c r="AF30" s="179" t="s">
        <v>3449</v>
      </c>
      <c r="AG30" s="179" t="s">
        <v>3465</v>
      </c>
      <c r="AH30" s="179" t="s">
        <v>3462</v>
      </c>
      <c r="AI30" s="179" t="s">
        <v>3485</v>
      </c>
      <c r="AJ30" s="179" t="s">
        <v>3492</v>
      </c>
      <c r="AK30" s="170" t="s">
        <v>3900</v>
      </c>
      <c r="AL30" s="179" t="s">
        <v>3936</v>
      </c>
      <c r="AM30" s="179" t="s">
        <v>3936</v>
      </c>
      <c r="AN30" s="170" t="s">
        <v>3940</v>
      </c>
      <c r="AO30" s="170" t="s">
        <v>3954</v>
      </c>
      <c r="AP30" s="179" t="s">
        <v>3936</v>
      </c>
      <c r="AQ30" s="231" t="s">
        <v>3440</v>
      </c>
      <c r="AR30" s="231" t="s">
        <v>3440</v>
      </c>
      <c r="AS30" s="231" t="s">
        <v>11</v>
      </c>
      <c r="AT30" s="231" t="s">
        <v>11</v>
      </c>
      <c r="AU30" s="231" t="s">
        <v>11</v>
      </c>
      <c r="AV30" s="231" t="s">
        <v>11</v>
      </c>
      <c r="AW30" s="231" t="s">
        <v>11</v>
      </c>
      <c r="AX30" s="165" t="s">
        <v>11</v>
      </c>
      <c r="AY30" s="165" t="s">
        <v>11</v>
      </c>
      <c r="AZ30" s="165" t="s">
        <v>4655</v>
      </c>
      <c r="BA30" s="165" t="s">
        <v>5020</v>
      </c>
    </row>
    <row r="31" spans="2:53" ht="13.35" customHeight="1" x14ac:dyDescent="0.25">
      <c r="B31" s="299" t="s">
        <v>9</v>
      </c>
      <c r="C31" s="13" t="s">
        <v>446</v>
      </c>
      <c r="D31" s="14" t="s">
        <v>442</v>
      </c>
      <c r="E31" s="122">
        <v>43260</v>
      </c>
      <c r="F31" s="128">
        <v>43268</v>
      </c>
      <c r="G31" s="122">
        <v>43284</v>
      </c>
      <c r="H31" s="128">
        <v>43293</v>
      </c>
      <c r="I31" s="122">
        <v>43348</v>
      </c>
      <c r="J31" s="148">
        <v>43390</v>
      </c>
      <c r="K31" s="141">
        <v>43215</v>
      </c>
      <c r="L31" s="141">
        <v>43221</v>
      </c>
      <c r="M31" s="122">
        <v>43391</v>
      </c>
      <c r="N31" s="138">
        <v>43626</v>
      </c>
      <c r="O31" s="141">
        <v>43779</v>
      </c>
      <c r="P31" s="141">
        <v>44404</v>
      </c>
      <c r="Q31" s="141">
        <v>44871</v>
      </c>
      <c r="R31" s="141">
        <v>44871</v>
      </c>
      <c r="S31" s="161">
        <v>45144</v>
      </c>
      <c r="T31" s="161">
        <v>45164</v>
      </c>
      <c r="U31" s="161">
        <v>45182</v>
      </c>
      <c r="V31" s="161">
        <v>45611</v>
      </c>
      <c r="W31" s="161">
        <v>45704</v>
      </c>
      <c r="X31" s="161">
        <v>45704</v>
      </c>
      <c r="Y31" s="161">
        <v>45704</v>
      </c>
      <c r="Z31" s="161">
        <v>45704</v>
      </c>
      <c r="AA31" s="161">
        <v>45704</v>
      </c>
      <c r="AB31" s="161">
        <v>45705</v>
      </c>
      <c r="AC31" s="161">
        <v>45759</v>
      </c>
      <c r="AD31" s="161">
        <v>45759</v>
      </c>
      <c r="AE31" s="161">
        <v>45772</v>
      </c>
      <c r="AF31" s="161">
        <v>46020</v>
      </c>
      <c r="AG31" s="161">
        <v>46020</v>
      </c>
      <c r="AH31" s="161">
        <v>46020</v>
      </c>
      <c r="AI31" s="161">
        <v>46022</v>
      </c>
      <c r="AJ31" s="161">
        <v>46024</v>
      </c>
      <c r="AK31" s="161">
        <v>46031</v>
      </c>
      <c r="AL31" s="161">
        <v>46031</v>
      </c>
      <c r="AM31" s="161">
        <v>46031</v>
      </c>
      <c r="AN31" s="161">
        <v>46031</v>
      </c>
      <c r="AO31" s="161">
        <v>46031</v>
      </c>
      <c r="AP31" s="161">
        <v>46051</v>
      </c>
      <c r="AQ31" s="161">
        <v>46065</v>
      </c>
      <c r="AR31" s="161">
        <v>46065</v>
      </c>
      <c r="AS31" s="161">
        <v>46066</v>
      </c>
      <c r="AT31" s="161">
        <v>46111</v>
      </c>
      <c r="AU31" s="161">
        <v>46111</v>
      </c>
      <c r="AV31" s="161">
        <v>46113</v>
      </c>
      <c r="AW31" s="261">
        <v>46113</v>
      </c>
      <c r="AX31" s="161">
        <v>46240</v>
      </c>
      <c r="AY31" s="161">
        <v>46240</v>
      </c>
      <c r="AZ31" s="161">
        <v>46240</v>
      </c>
      <c r="BA31" s="161">
        <v>46269</v>
      </c>
    </row>
    <row r="32" spans="2:53" x14ac:dyDescent="0.25">
      <c r="B32" s="302"/>
      <c r="C32" s="86" t="s">
        <v>447</v>
      </c>
      <c r="D32" s="87" t="s">
        <v>442</v>
      </c>
      <c r="E32" s="123" t="s">
        <v>30</v>
      </c>
      <c r="F32" s="133" t="s">
        <v>30</v>
      </c>
      <c r="G32" s="123" t="s">
        <v>30</v>
      </c>
      <c r="H32" s="129" t="s">
        <v>30</v>
      </c>
      <c r="I32" s="124" t="s">
        <v>30</v>
      </c>
      <c r="J32" s="149" t="s">
        <v>30</v>
      </c>
      <c r="K32" s="21" t="s">
        <v>30</v>
      </c>
      <c r="L32" s="21" t="s">
        <v>30</v>
      </c>
      <c r="M32" s="124" t="s">
        <v>30</v>
      </c>
      <c r="N32" s="124" t="s">
        <v>30</v>
      </c>
      <c r="O32" s="124" t="s">
        <v>30</v>
      </c>
      <c r="P32" s="145" t="s">
        <v>30</v>
      </c>
      <c r="Q32" s="24" t="s">
        <v>30</v>
      </c>
      <c r="R32" s="29" t="s">
        <v>30</v>
      </c>
      <c r="S32" s="160" t="s">
        <v>30</v>
      </c>
      <c r="T32" s="164" t="s">
        <v>30</v>
      </c>
      <c r="U32" s="164" t="s">
        <v>30</v>
      </c>
      <c r="V32" s="164" t="s">
        <v>30</v>
      </c>
      <c r="W32" s="164" t="s">
        <v>30</v>
      </c>
      <c r="X32" s="164" t="s">
        <v>30</v>
      </c>
      <c r="Y32" s="164" t="s">
        <v>30</v>
      </c>
      <c r="Z32" s="164" t="s">
        <v>30</v>
      </c>
      <c r="AA32" s="164" t="s">
        <v>30</v>
      </c>
      <c r="AB32" s="164" t="s">
        <v>30</v>
      </c>
      <c r="AC32" s="164" t="s">
        <v>30</v>
      </c>
      <c r="AD32" s="164" t="s">
        <v>30</v>
      </c>
      <c r="AE32" s="164" t="s">
        <v>30</v>
      </c>
      <c r="AF32" s="164" t="s">
        <v>30</v>
      </c>
      <c r="AG32" s="164" t="s">
        <v>30</v>
      </c>
      <c r="AH32" s="164" t="s">
        <v>30</v>
      </c>
      <c r="AI32" s="164" t="s">
        <v>30</v>
      </c>
      <c r="AJ32" s="164" t="s">
        <v>30</v>
      </c>
      <c r="AK32" s="164" t="s">
        <v>30</v>
      </c>
      <c r="AL32" s="164" t="s">
        <v>30</v>
      </c>
      <c r="AM32" s="164" t="s">
        <v>30</v>
      </c>
      <c r="AN32" s="164" t="s">
        <v>30</v>
      </c>
      <c r="AO32" s="164" t="s">
        <v>30</v>
      </c>
      <c r="AP32" s="164" t="s">
        <v>30</v>
      </c>
      <c r="AQ32" s="164" t="s">
        <v>30</v>
      </c>
      <c r="AR32" s="164" t="s">
        <v>30</v>
      </c>
      <c r="AS32" s="164" t="s">
        <v>30</v>
      </c>
      <c r="AT32" s="164" t="s">
        <v>30</v>
      </c>
      <c r="AU32" s="164" t="s">
        <v>30</v>
      </c>
      <c r="AV32" s="164" t="s">
        <v>30</v>
      </c>
      <c r="AW32" s="260" t="s">
        <v>30</v>
      </c>
      <c r="AX32" s="164" t="s">
        <v>30</v>
      </c>
      <c r="AY32" s="164" t="s">
        <v>30</v>
      </c>
      <c r="AZ32" s="164" t="s">
        <v>30</v>
      </c>
      <c r="BA32" s="164" t="s">
        <v>30</v>
      </c>
    </row>
    <row r="33" spans="2:53" x14ac:dyDescent="0.25">
      <c r="B33" s="292" t="s">
        <v>185</v>
      </c>
      <c r="C33" s="83" t="s">
        <v>448</v>
      </c>
      <c r="D33" s="84"/>
      <c r="E33" s="57"/>
      <c r="F33" s="57"/>
      <c r="G33" s="57"/>
      <c r="H33" s="57"/>
      <c r="I33" s="57"/>
      <c r="J33" s="22"/>
      <c r="K33" s="22"/>
      <c r="L33" s="22"/>
      <c r="M33" s="22"/>
      <c r="N33" s="57"/>
      <c r="O33" s="57"/>
      <c r="P33" s="145"/>
      <c r="Q33" s="24"/>
      <c r="R33" s="29"/>
      <c r="S33" s="160"/>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260"/>
      <c r="AX33" s="20"/>
      <c r="AY33" s="164"/>
      <c r="AZ33" s="164"/>
      <c r="BA33" s="164"/>
    </row>
    <row r="34" spans="2:53" x14ac:dyDescent="0.25">
      <c r="B34" s="293"/>
      <c r="C34" s="15" t="s">
        <v>449</v>
      </c>
      <c r="D34" s="29"/>
      <c r="E34" s="52"/>
      <c r="F34" s="52"/>
      <c r="G34" s="52"/>
      <c r="H34" s="52"/>
      <c r="I34" s="52"/>
      <c r="J34" s="20"/>
      <c r="K34" s="20"/>
      <c r="L34" s="20"/>
      <c r="M34" s="20"/>
      <c r="N34" s="52"/>
      <c r="O34" s="52"/>
      <c r="P34" s="145"/>
      <c r="Q34" s="24"/>
      <c r="R34" s="29"/>
      <c r="S34" s="160"/>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260"/>
      <c r="AX34" s="20"/>
      <c r="AY34" s="164"/>
      <c r="AZ34" s="164"/>
      <c r="BA34" s="164"/>
    </row>
    <row r="35" spans="2:53" x14ac:dyDescent="0.25">
      <c r="B35" s="294"/>
      <c r="C35" s="16" t="s">
        <v>450</v>
      </c>
      <c r="D35" s="30"/>
      <c r="E35" s="123"/>
      <c r="F35" s="123"/>
      <c r="G35" s="123"/>
      <c r="H35" s="123"/>
      <c r="I35" s="123"/>
      <c r="J35" s="21"/>
      <c r="K35" s="21"/>
      <c r="L35" s="21"/>
      <c r="M35" s="21"/>
      <c r="N35" s="123"/>
      <c r="O35" s="123"/>
      <c r="P35" s="150"/>
      <c r="Q35" s="151"/>
      <c r="R35" s="30"/>
      <c r="S35" s="162"/>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262"/>
      <c r="AX35" s="21"/>
      <c r="AY35" s="166"/>
      <c r="AZ35" s="166"/>
      <c r="BA35" s="166"/>
    </row>
    <row r="36" spans="2:53" x14ac:dyDescent="0.25">
      <c r="W36" s="105"/>
      <c r="AP36" s="105"/>
    </row>
    <row r="37" spans="2:53" x14ac:dyDescent="0.25">
      <c r="AP37" s="105"/>
    </row>
    <row r="39" spans="2:53" x14ac:dyDescent="0.25">
      <c r="I39" s="12"/>
    </row>
  </sheetData>
  <mergeCells count="6">
    <mergeCell ref="B33:B35"/>
    <mergeCell ref="B4:B5"/>
    <mergeCell ref="B8:B20"/>
    <mergeCell ref="B21:B24"/>
    <mergeCell ref="B25:B30"/>
    <mergeCell ref="B31:B32"/>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Q74"/>
  <sheetViews>
    <sheetView tabSelected="1" zoomScale="70" zoomScaleNormal="70" workbookViewId="0">
      <pane xSplit="4" ySplit="5" topLeftCell="LT6" activePane="bottomRight" state="frozen"/>
      <selection pane="topRight" activeCell="E1" sqref="E1"/>
      <selection pane="bottomLeft" activeCell="A6" sqref="A6"/>
      <selection pane="bottomRight" activeCell="ME2" sqref="ME2:ME3"/>
    </sheetView>
  </sheetViews>
  <sheetFormatPr baseColWidth="10" defaultColWidth="11.5546875" defaultRowHeight="13.2" x14ac:dyDescent="0.25"/>
  <cols>
    <col min="1" max="2" width="11.5546875" style="41"/>
    <col min="3" max="3" width="33.6640625" style="41" bestFit="1" customWidth="1"/>
    <col min="4" max="4" width="8.109375" style="41" bestFit="1" customWidth="1"/>
    <col min="5" max="5" width="16.88671875" style="41" customWidth="1"/>
    <col min="6" max="6" width="15.44140625" style="41" customWidth="1"/>
    <col min="7" max="8" width="13.109375" style="41" customWidth="1"/>
    <col min="9" max="9" width="13.6640625" style="41" customWidth="1"/>
    <col min="10" max="10" width="22.33203125" style="41" customWidth="1"/>
    <col min="11" max="11" width="21.5546875" style="4" customWidth="1"/>
    <col min="12" max="12" width="14.6640625" style="41" customWidth="1"/>
    <col min="13" max="13" width="12.44140625" style="41" customWidth="1"/>
    <col min="14" max="14" width="13.33203125" style="41" customWidth="1"/>
    <col min="15" max="15" width="13.5546875" style="41" customWidth="1"/>
    <col min="16" max="16" width="12.5546875" style="41" customWidth="1"/>
    <col min="17" max="17" width="13.33203125" style="41" customWidth="1"/>
    <col min="18" max="18" width="12.5546875" style="41" customWidth="1"/>
    <col min="19" max="19" width="12.88671875" style="41" customWidth="1"/>
    <col min="20" max="20" width="12.6640625" style="41" customWidth="1"/>
    <col min="21" max="21" width="13.6640625" style="41" customWidth="1"/>
    <col min="22" max="22" width="11.6640625" style="41" customWidth="1"/>
    <col min="23" max="23" width="12.6640625" style="41" customWidth="1"/>
    <col min="24" max="25" width="14" style="41" customWidth="1"/>
    <col min="26" max="26" width="15.6640625" style="41" customWidth="1"/>
    <col min="27" max="27" width="12.33203125" style="41" customWidth="1"/>
    <col min="28" max="28" width="12.6640625" style="48" customWidth="1"/>
    <col min="29" max="29" width="11.5546875" style="41"/>
    <col min="30" max="31" width="11.5546875" style="48"/>
    <col min="32" max="33" width="11.5546875" style="41"/>
    <col min="34" max="34" width="15.33203125" style="41" customWidth="1"/>
    <col min="35" max="35" width="14.5546875" style="41" customWidth="1"/>
    <col min="36" max="36" width="12.88671875" style="41" customWidth="1"/>
    <col min="37" max="37" width="13.33203125" style="41" customWidth="1"/>
    <col min="38" max="38" width="14.33203125" style="41" customWidth="1"/>
    <col min="39" max="39" width="13.33203125" style="41" customWidth="1"/>
    <col min="40" max="40" width="13" style="41" customWidth="1"/>
    <col min="41" max="41" width="13.33203125" style="41" customWidth="1"/>
    <col min="42" max="42" width="13.109375" style="41" customWidth="1"/>
    <col min="43" max="43" width="13.33203125" style="41" customWidth="1"/>
    <col min="44" max="44" width="13.5546875" style="63" customWidth="1"/>
    <col min="45" max="45" width="13.88671875" style="41" customWidth="1"/>
    <col min="46" max="46" width="12.88671875" style="41" customWidth="1"/>
    <col min="47" max="47" width="13.33203125" style="41" customWidth="1"/>
    <col min="48" max="48" width="13.5546875" style="41" customWidth="1"/>
    <col min="49" max="49" width="14.33203125" style="41" customWidth="1"/>
    <col min="50" max="50" width="12.88671875" style="41" customWidth="1"/>
    <col min="51" max="52" width="11.5546875" style="41"/>
    <col min="53" max="54" width="13.109375" style="80" customWidth="1"/>
    <col min="55" max="55" width="11.5546875" style="41"/>
    <col min="56" max="56" width="15.109375" style="41" customWidth="1"/>
    <col min="57" max="57" width="15.33203125" style="41" customWidth="1"/>
    <col min="58" max="62" width="11.5546875" style="41"/>
    <col min="65" max="68" width="11.5546875" style="41"/>
    <col min="69" max="69" width="18.33203125" style="41" customWidth="1"/>
    <col min="70" max="221" width="11.5546875" style="41"/>
    <col min="222" max="222" width="14.6640625" style="41" customWidth="1"/>
    <col min="223" max="223" width="13.88671875" style="41" customWidth="1"/>
    <col min="224" max="224" width="13.33203125" style="41" customWidth="1"/>
    <col min="225" max="225" width="14.6640625" style="41" customWidth="1"/>
    <col min="226" max="237" width="11.5546875" style="41"/>
    <col min="238" max="238" width="11.5546875" style="41" customWidth="1"/>
    <col min="239" max="257" width="11.5546875" style="41"/>
    <col min="258" max="258" width="4.77734375" style="41" customWidth="1"/>
    <col min="259" max="312" width="11.5546875" style="41"/>
    <col min="313" max="313" width="13.33203125" style="41" customWidth="1"/>
    <col min="314" max="314" width="13.88671875" style="41" customWidth="1"/>
    <col min="315" max="315" width="14.44140625" style="41" customWidth="1"/>
    <col min="316" max="316" width="14.21875" style="41" customWidth="1"/>
    <col min="317" max="317" width="14.77734375" style="41" customWidth="1"/>
    <col min="318" max="326" width="11.5546875" style="41"/>
    <col min="327" max="328" width="11.5546875" style="105"/>
    <col min="329" max="329" width="13.5546875" style="105" customWidth="1"/>
    <col min="330" max="16384" width="11.5546875" style="41"/>
  </cols>
  <sheetData>
    <row r="1" spans="1:342" x14ac:dyDescent="0.25">
      <c r="C1" s="73" t="s">
        <v>269</v>
      </c>
      <c r="E1" s="12" t="s">
        <v>693</v>
      </c>
      <c r="F1" s="12" t="s">
        <v>694</v>
      </c>
      <c r="G1" s="12" t="s">
        <v>694</v>
      </c>
      <c r="H1" s="12" t="s">
        <v>693</v>
      </c>
      <c r="I1" s="12" t="s">
        <v>693</v>
      </c>
      <c r="J1" s="74" t="s">
        <v>693</v>
      </c>
      <c r="K1" s="4" t="s">
        <v>693</v>
      </c>
      <c r="L1" s="12" t="s">
        <v>693</v>
      </c>
      <c r="M1" s="12" t="s">
        <v>693</v>
      </c>
      <c r="N1" s="12" t="s">
        <v>693</v>
      </c>
      <c r="O1" s="12" t="s">
        <v>693</v>
      </c>
      <c r="P1" s="12" t="s">
        <v>693</v>
      </c>
      <c r="Q1" s="12" t="s">
        <v>693</v>
      </c>
      <c r="R1" s="12" t="s">
        <v>693</v>
      </c>
      <c r="S1" s="12" t="s">
        <v>693</v>
      </c>
      <c r="T1" s="12" t="s">
        <v>693</v>
      </c>
      <c r="U1" s="12" t="s">
        <v>693</v>
      </c>
      <c r="V1" s="12" t="s">
        <v>693</v>
      </c>
      <c r="W1" s="12" t="s">
        <v>693</v>
      </c>
      <c r="X1" s="12" t="s">
        <v>693</v>
      </c>
      <c r="Y1" s="12" t="s">
        <v>693</v>
      </c>
      <c r="Z1" s="12" t="s">
        <v>693</v>
      </c>
      <c r="AA1" s="12" t="s">
        <v>693</v>
      </c>
      <c r="AB1" s="12" t="s">
        <v>693</v>
      </c>
      <c r="AC1" s="12" t="s">
        <v>693</v>
      </c>
      <c r="AD1" s="12" t="s">
        <v>693</v>
      </c>
      <c r="AE1" s="12" t="s">
        <v>693</v>
      </c>
      <c r="AF1" s="12" t="s">
        <v>693</v>
      </c>
      <c r="AG1" s="12" t="s">
        <v>693</v>
      </c>
      <c r="AH1" s="12" t="s">
        <v>693</v>
      </c>
      <c r="AI1" s="12" t="s">
        <v>693</v>
      </c>
      <c r="AJ1" s="12" t="s">
        <v>693</v>
      </c>
      <c r="AK1" s="12" t="s">
        <v>693</v>
      </c>
      <c r="AL1" s="12" t="s">
        <v>693</v>
      </c>
      <c r="AM1" s="12" t="s">
        <v>693</v>
      </c>
      <c r="AN1" s="12" t="s">
        <v>693</v>
      </c>
      <c r="AO1" s="12" t="s">
        <v>693</v>
      </c>
      <c r="AP1" s="12" t="s">
        <v>693</v>
      </c>
      <c r="AQ1" s="12" t="s">
        <v>693</v>
      </c>
      <c r="AR1" s="12" t="s">
        <v>693</v>
      </c>
      <c r="AS1" s="12" t="s">
        <v>693</v>
      </c>
      <c r="AT1" s="12" t="s">
        <v>693</v>
      </c>
      <c r="AU1" s="12" t="s">
        <v>693</v>
      </c>
      <c r="AV1" s="12" t="s">
        <v>693</v>
      </c>
      <c r="AW1" s="12" t="s">
        <v>693</v>
      </c>
      <c r="AX1" s="12" t="s">
        <v>695</v>
      </c>
      <c r="AY1" s="12" t="s">
        <v>693</v>
      </c>
      <c r="AZ1" s="12" t="s">
        <v>693</v>
      </c>
      <c r="BA1" s="12" t="s">
        <v>693</v>
      </c>
      <c r="BB1" s="12" t="s">
        <v>693</v>
      </c>
      <c r="BC1" s="12" t="s">
        <v>693</v>
      </c>
      <c r="BD1" s="12" t="s">
        <v>693</v>
      </c>
      <c r="BE1" s="12" t="s">
        <v>693</v>
      </c>
      <c r="BF1" s="12" t="s">
        <v>693</v>
      </c>
      <c r="BG1" s="12" t="s">
        <v>693</v>
      </c>
      <c r="BH1" s="12" t="s">
        <v>693</v>
      </c>
      <c r="BI1" s="12" t="s">
        <v>693</v>
      </c>
      <c r="BJ1" s="12" t="s">
        <v>693</v>
      </c>
      <c r="BK1" s="12" t="s">
        <v>694</v>
      </c>
      <c r="BL1" s="12" t="s">
        <v>693</v>
      </c>
      <c r="BM1" s="12" t="s">
        <v>693</v>
      </c>
      <c r="BN1" s="12" t="s">
        <v>693</v>
      </c>
      <c r="BO1" s="12" t="s">
        <v>693</v>
      </c>
      <c r="BP1" s="12" t="s">
        <v>693</v>
      </c>
      <c r="BQ1" s="12" t="s">
        <v>693</v>
      </c>
      <c r="BR1" s="154" t="s">
        <v>1433</v>
      </c>
      <c r="BS1" s="154" t="s">
        <v>1433</v>
      </c>
      <c r="BT1" s="154" t="s">
        <v>1433</v>
      </c>
      <c r="BU1" s="154" t="s">
        <v>1433</v>
      </c>
      <c r="BV1" s="154" t="s">
        <v>1433</v>
      </c>
      <c r="BW1" s="154" t="s">
        <v>1433</v>
      </c>
      <c r="BX1" s="154" t="s">
        <v>1433</v>
      </c>
      <c r="BY1" s="154" t="s">
        <v>1433</v>
      </c>
      <c r="BZ1" s="154" t="s">
        <v>1433</v>
      </c>
      <c r="CA1" s="154" t="s">
        <v>1433</v>
      </c>
      <c r="CB1" s="154" t="s">
        <v>1433</v>
      </c>
      <c r="CC1" s="154" t="s">
        <v>1433</v>
      </c>
      <c r="CD1" s="154" t="s">
        <v>1433</v>
      </c>
      <c r="CE1" s="154" t="s">
        <v>1433</v>
      </c>
      <c r="CF1" s="154" t="s">
        <v>1673</v>
      </c>
      <c r="CG1" s="154" t="s">
        <v>1433</v>
      </c>
      <c r="CH1" s="154" t="s">
        <v>1433</v>
      </c>
      <c r="CI1" s="154" t="s">
        <v>1433</v>
      </c>
      <c r="CJ1" s="174" t="s">
        <v>1833</v>
      </c>
      <c r="CK1" s="174" t="s">
        <v>1833</v>
      </c>
      <c r="CL1" s="174" t="s">
        <v>1833</v>
      </c>
      <c r="CM1" s="154" t="s">
        <v>1433</v>
      </c>
      <c r="CN1" s="154" t="s">
        <v>1433</v>
      </c>
      <c r="CO1" s="154" t="s">
        <v>1433</v>
      </c>
      <c r="CP1" s="154" t="s">
        <v>1433</v>
      </c>
      <c r="CQ1" s="154" t="s">
        <v>1433</v>
      </c>
      <c r="CR1" s="154" t="s">
        <v>1433</v>
      </c>
      <c r="CS1" s="154" t="s">
        <v>1433</v>
      </c>
      <c r="CT1" s="154" t="s">
        <v>1433</v>
      </c>
      <c r="CU1" s="154" t="s">
        <v>1433</v>
      </c>
      <c r="CV1" s="154" t="s">
        <v>1433</v>
      </c>
      <c r="CW1" s="154" t="s">
        <v>1433</v>
      </c>
      <c r="CX1" s="154" t="s">
        <v>1433</v>
      </c>
      <c r="CY1" s="154" t="s">
        <v>1433</v>
      </c>
      <c r="CZ1" s="154" t="s">
        <v>1433</v>
      </c>
      <c r="DA1" s="154" t="s">
        <v>1433</v>
      </c>
      <c r="DB1" s="154" t="s">
        <v>1433</v>
      </c>
      <c r="DC1" s="154" t="s">
        <v>1433</v>
      </c>
      <c r="DD1" s="154" t="s">
        <v>1433</v>
      </c>
      <c r="DE1" s="154" t="s">
        <v>1433</v>
      </c>
      <c r="DF1" s="154" t="s">
        <v>1433</v>
      </c>
      <c r="DG1" s="154" t="s">
        <v>1433</v>
      </c>
      <c r="DH1" s="154" t="s">
        <v>1433</v>
      </c>
      <c r="DI1" s="154" t="s">
        <v>1433</v>
      </c>
      <c r="DJ1" s="154" t="s">
        <v>1433</v>
      </c>
      <c r="DK1" s="154" t="s">
        <v>1433</v>
      </c>
      <c r="DL1" s="154" t="s">
        <v>1433</v>
      </c>
      <c r="DM1" s="154" t="s">
        <v>1433</v>
      </c>
      <c r="DN1" s="154" t="s">
        <v>1433</v>
      </c>
      <c r="DO1" s="154" t="s">
        <v>1433</v>
      </c>
      <c r="DP1" s="154" t="s">
        <v>1433</v>
      </c>
      <c r="DQ1" s="154" t="s">
        <v>1433</v>
      </c>
      <c r="DR1" s="154" t="s">
        <v>1433</v>
      </c>
      <c r="DS1" s="154" t="s">
        <v>1433</v>
      </c>
      <c r="DT1" s="154" t="s">
        <v>1433</v>
      </c>
      <c r="DU1" s="154" t="s">
        <v>1433</v>
      </c>
      <c r="DV1" s="154" t="s">
        <v>2566</v>
      </c>
      <c r="DW1" s="154" t="s">
        <v>2569</v>
      </c>
      <c r="DX1" s="154" t="s">
        <v>2569</v>
      </c>
      <c r="DY1" s="154" t="s">
        <v>2569</v>
      </c>
      <c r="DZ1" s="154" t="s">
        <v>2569</v>
      </c>
      <c r="EA1" s="154" t="s">
        <v>2569</v>
      </c>
      <c r="EB1" s="154" t="s">
        <v>2569</v>
      </c>
      <c r="EC1" s="154" t="s">
        <v>2569</v>
      </c>
      <c r="ED1" s="154" t="s">
        <v>2569</v>
      </c>
      <c r="EE1" s="154" t="s">
        <v>2569</v>
      </c>
      <c r="EF1" s="154" t="s">
        <v>2569</v>
      </c>
      <c r="EG1" s="154" t="s">
        <v>2569</v>
      </c>
      <c r="EH1" s="154" t="s">
        <v>2569</v>
      </c>
      <c r="EI1" s="154" t="s">
        <v>2569</v>
      </c>
      <c r="EJ1" s="154" t="s">
        <v>2569</v>
      </c>
      <c r="EK1" s="154" t="s">
        <v>2569</v>
      </c>
      <c r="EL1" s="154" t="s">
        <v>2569</v>
      </c>
      <c r="EM1" s="154" t="s">
        <v>2569</v>
      </c>
      <c r="EN1" s="154" t="s">
        <v>2569</v>
      </c>
      <c r="EO1" s="154" t="s">
        <v>2569</v>
      </c>
      <c r="EP1" s="154" t="s">
        <v>2569</v>
      </c>
      <c r="EQ1" s="154" t="s">
        <v>2569</v>
      </c>
      <c r="ER1" s="154" t="s">
        <v>2569</v>
      </c>
      <c r="ES1" s="154" t="s">
        <v>2569</v>
      </c>
      <c r="ET1" s="154" t="s">
        <v>2569</v>
      </c>
      <c r="EU1" s="154" t="s">
        <v>2569</v>
      </c>
      <c r="EV1" s="154" t="s">
        <v>2569</v>
      </c>
      <c r="EW1" s="154" t="s">
        <v>2569</v>
      </c>
      <c r="EX1" s="154" t="s">
        <v>2569</v>
      </c>
      <c r="EY1" s="154" t="s">
        <v>2569</v>
      </c>
      <c r="EZ1" s="154" t="s">
        <v>2569</v>
      </c>
      <c r="FA1" s="174"/>
      <c r="FB1" s="174"/>
      <c r="FC1" s="174"/>
      <c r="FD1" s="174"/>
      <c r="FE1" s="174"/>
      <c r="FF1" s="174"/>
      <c r="FG1" s="174"/>
      <c r="FH1" s="174"/>
      <c r="FI1" s="174"/>
      <c r="FJ1" s="174"/>
      <c r="FK1" s="174"/>
      <c r="FL1" s="174"/>
      <c r="FM1" s="174"/>
      <c r="FN1" s="174"/>
      <c r="FO1" s="174"/>
      <c r="FP1" s="174"/>
      <c r="FQ1" s="174"/>
      <c r="FR1" s="174"/>
      <c r="FS1" s="174"/>
      <c r="FT1" s="174"/>
      <c r="FU1" s="174"/>
      <c r="FV1" s="174"/>
      <c r="FW1" s="174"/>
      <c r="FX1" s="174"/>
      <c r="FY1" s="174"/>
      <c r="FZ1" s="174"/>
      <c r="GA1" s="174"/>
      <c r="GB1" s="174"/>
      <c r="GC1" s="174"/>
      <c r="GD1" s="174"/>
      <c r="GE1" s="174"/>
      <c r="GF1" s="174"/>
      <c r="GG1" s="174"/>
      <c r="GH1" s="174"/>
      <c r="GI1" s="174"/>
      <c r="GJ1" s="174"/>
      <c r="GK1" s="174"/>
      <c r="GL1" s="174"/>
      <c r="GM1" s="174"/>
      <c r="GN1" s="174"/>
      <c r="GO1" s="174"/>
      <c r="GP1" s="174"/>
      <c r="GQ1" s="174"/>
      <c r="GR1" s="174"/>
      <c r="GS1" s="174"/>
      <c r="GT1" s="174"/>
      <c r="GU1" s="174"/>
      <c r="GV1" s="174"/>
      <c r="GW1" s="174"/>
      <c r="GX1" s="174"/>
      <c r="GY1" s="174"/>
      <c r="GZ1" s="174"/>
      <c r="HA1" s="174"/>
      <c r="HB1" s="174"/>
      <c r="HC1" s="174"/>
      <c r="HD1" s="174"/>
      <c r="HE1" s="174"/>
      <c r="HF1" s="174"/>
      <c r="HG1" s="174"/>
      <c r="HH1" s="174"/>
      <c r="HI1" s="174"/>
      <c r="HJ1" s="174"/>
      <c r="HK1" s="174"/>
      <c r="HL1" s="174"/>
      <c r="HM1" s="174"/>
      <c r="HN1" s="174"/>
      <c r="HO1" s="174"/>
      <c r="HP1" s="174"/>
      <c r="HQ1" s="174"/>
      <c r="HR1" s="174"/>
      <c r="HS1" s="174"/>
      <c r="HT1" s="174"/>
      <c r="HU1" s="174"/>
      <c r="HV1" s="174"/>
      <c r="HW1" s="174"/>
      <c r="HX1" s="174"/>
      <c r="HY1" s="174"/>
      <c r="HZ1" s="174"/>
      <c r="IA1" s="174"/>
      <c r="IB1" s="174"/>
      <c r="IC1" s="174"/>
      <c r="ID1" s="174"/>
      <c r="IE1" s="174"/>
      <c r="IF1" s="174"/>
      <c r="IG1" s="174"/>
      <c r="IH1" s="174"/>
      <c r="II1" s="174"/>
      <c r="IJ1" s="174"/>
      <c r="IK1" s="174"/>
      <c r="IL1" s="174"/>
      <c r="IM1" s="174"/>
      <c r="IN1" s="174"/>
      <c r="IO1" s="174"/>
      <c r="IP1" s="174"/>
      <c r="IQ1" s="174"/>
      <c r="IR1" s="174"/>
      <c r="IS1" s="174"/>
      <c r="IT1" s="174"/>
      <c r="IU1" s="174"/>
      <c r="IV1" s="174"/>
      <c r="IW1" s="174"/>
      <c r="IX1" s="241"/>
      <c r="IY1" s="174"/>
      <c r="IZ1" s="174"/>
      <c r="JA1" s="174"/>
      <c r="JB1" s="174"/>
      <c r="JC1" s="174"/>
      <c r="JD1" s="174"/>
      <c r="JE1" s="174"/>
      <c r="JF1" s="174"/>
      <c r="JG1" s="174"/>
      <c r="JH1" s="174"/>
      <c r="JI1" s="174"/>
      <c r="JJ1" s="174"/>
      <c r="JK1" s="174"/>
      <c r="JL1" s="174"/>
      <c r="JM1" s="174"/>
      <c r="JN1" s="174"/>
      <c r="JO1" s="174"/>
      <c r="JP1" s="174"/>
      <c r="JQ1" s="174"/>
      <c r="JR1" s="174"/>
      <c r="JS1" s="174"/>
      <c r="JT1" s="174"/>
      <c r="JU1" s="174"/>
      <c r="JV1" s="174"/>
      <c r="JW1" s="174"/>
      <c r="JX1" s="174"/>
      <c r="JY1" s="174"/>
      <c r="JZ1" s="174"/>
      <c r="KA1" s="174"/>
      <c r="KB1" s="174"/>
      <c r="KC1" s="174"/>
      <c r="KD1" s="174"/>
      <c r="KE1" s="174"/>
      <c r="KF1" s="174"/>
      <c r="KG1" s="174"/>
      <c r="KH1" s="174"/>
      <c r="KI1" s="174"/>
      <c r="KJ1" s="174"/>
      <c r="KK1" s="174"/>
      <c r="KL1" s="174"/>
      <c r="KM1" s="174"/>
      <c r="KN1" s="174"/>
      <c r="KO1" s="174"/>
      <c r="KP1" s="174"/>
      <c r="KQ1" s="174"/>
      <c r="KR1" s="174"/>
      <c r="KS1" s="174"/>
      <c r="KT1" s="174"/>
      <c r="KU1" s="174"/>
      <c r="KV1" s="174"/>
      <c r="KW1" s="174"/>
      <c r="KX1" s="174"/>
      <c r="KY1" s="174"/>
      <c r="KZ1" s="174"/>
      <c r="LA1" s="154" t="s">
        <v>3445</v>
      </c>
      <c r="LB1" s="154" t="s">
        <v>4729</v>
      </c>
      <c r="LC1" s="154" t="s">
        <v>4730</v>
      </c>
      <c r="LD1" s="154" t="s">
        <v>4730</v>
      </c>
      <c r="LE1" s="154" t="s">
        <v>4730</v>
      </c>
      <c r="LF1" s="154" t="s">
        <v>4730</v>
      </c>
      <c r="LG1" s="154" t="s">
        <v>4731</v>
      </c>
      <c r="LH1" s="154" t="s">
        <v>4780</v>
      </c>
      <c r="LI1" s="154" t="s">
        <v>4733</v>
      </c>
      <c r="LJ1" s="154" t="s">
        <v>4733</v>
      </c>
      <c r="LK1" s="154" t="s">
        <v>4780</v>
      </c>
      <c r="LL1" s="154" t="s">
        <v>4780</v>
      </c>
      <c r="LM1" s="154" t="s">
        <v>4780</v>
      </c>
      <c r="LN1" s="154" t="s">
        <v>4780</v>
      </c>
      <c r="LO1" s="154" t="s">
        <v>4731</v>
      </c>
      <c r="LP1" s="154" t="s">
        <v>4732</v>
      </c>
      <c r="LQ1" s="154" t="s">
        <v>3445</v>
      </c>
      <c r="LR1" s="154" t="s">
        <v>4731</v>
      </c>
      <c r="LS1" s="174"/>
      <c r="LT1" s="174"/>
      <c r="LU1" s="174"/>
      <c r="LV1" s="174"/>
      <c r="LW1" s="174"/>
      <c r="LX1" s="174"/>
      <c r="LY1" s="174"/>
      <c r="LZ1" s="174"/>
      <c r="MA1" s="174"/>
      <c r="MB1" s="174"/>
      <c r="MC1" s="174"/>
      <c r="MD1" s="174"/>
    </row>
    <row r="2" spans="1:342" ht="13.8" x14ac:dyDescent="0.25">
      <c r="B2" s="34" t="s">
        <v>183</v>
      </c>
      <c r="C2" s="35"/>
      <c r="D2" s="35"/>
      <c r="E2" s="2"/>
      <c r="F2" s="5"/>
      <c r="G2" s="2"/>
      <c r="H2" s="2"/>
      <c r="I2" s="5"/>
      <c r="J2" s="5"/>
      <c r="K2" s="2"/>
      <c r="U2" s="5"/>
      <c r="BA2" s="2"/>
      <c r="BB2" s="2"/>
      <c r="BK2" s="105"/>
      <c r="BL2" s="105"/>
      <c r="BM2" s="105"/>
      <c r="BN2" s="105"/>
      <c r="BO2" s="105"/>
      <c r="BP2" s="105"/>
      <c r="BQ2" s="105"/>
      <c r="BR2" s="198" t="s">
        <v>1432</v>
      </c>
      <c r="BS2" s="198" t="s">
        <v>1432</v>
      </c>
      <c r="BT2" s="198" t="s">
        <v>1432</v>
      </c>
      <c r="BU2" s="198" t="s">
        <v>1432</v>
      </c>
      <c r="BV2" s="198" t="s">
        <v>1432</v>
      </c>
      <c r="BW2" s="198" t="s">
        <v>1432</v>
      </c>
      <c r="BX2" s="198" t="s">
        <v>1432</v>
      </c>
      <c r="BY2" s="198" t="s">
        <v>1432</v>
      </c>
      <c r="BZ2" s="198" t="s">
        <v>1432</v>
      </c>
      <c r="CA2" s="154" t="s">
        <v>1575</v>
      </c>
      <c r="CB2" s="154" t="s">
        <v>1575</v>
      </c>
      <c r="CC2" s="154" t="s">
        <v>1575</v>
      </c>
      <c r="CD2" s="154" t="s">
        <v>1575</v>
      </c>
      <c r="CE2" s="154" t="s">
        <v>1575</v>
      </c>
      <c r="CF2" s="154" t="s">
        <v>1967</v>
      </c>
      <c r="CG2" s="154" t="s">
        <v>1575</v>
      </c>
      <c r="CH2" s="154" t="s">
        <v>1575</v>
      </c>
      <c r="CI2" s="154" t="s">
        <v>1575</v>
      </c>
      <c r="CJ2" s="154" t="s">
        <v>1967</v>
      </c>
      <c r="CK2" s="154" t="s">
        <v>1967</v>
      </c>
      <c r="CL2" s="154" t="s">
        <v>1967</v>
      </c>
      <c r="CM2" s="154" t="s">
        <v>1575</v>
      </c>
      <c r="CN2" s="154" t="s">
        <v>1575</v>
      </c>
      <c r="CO2" s="154" t="s">
        <v>1575</v>
      </c>
      <c r="CP2" s="154" t="s">
        <v>1575</v>
      </c>
      <c r="CQ2" s="154" t="s">
        <v>1575</v>
      </c>
      <c r="CR2" s="154" t="s">
        <v>1575</v>
      </c>
      <c r="CS2" s="154" t="s">
        <v>1575</v>
      </c>
      <c r="CT2" s="154" t="s">
        <v>1575</v>
      </c>
      <c r="CU2" s="154" t="s">
        <v>1575</v>
      </c>
      <c r="CV2" s="154" t="s">
        <v>1575</v>
      </c>
      <c r="CW2" s="154" t="s">
        <v>1575</v>
      </c>
      <c r="CX2" s="154" t="s">
        <v>1966</v>
      </c>
      <c r="CY2" s="154" t="s">
        <v>1966</v>
      </c>
      <c r="CZ2" s="154" t="s">
        <v>1966</v>
      </c>
      <c r="DA2" s="154" t="s">
        <v>1966</v>
      </c>
      <c r="DB2" s="154" t="s">
        <v>1966</v>
      </c>
      <c r="DC2" s="154" t="s">
        <v>1966</v>
      </c>
      <c r="DD2" s="154" t="s">
        <v>1966</v>
      </c>
      <c r="DE2" s="154" t="s">
        <v>1966</v>
      </c>
      <c r="DF2" s="154" t="s">
        <v>1966</v>
      </c>
      <c r="DG2" s="154" t="s">
        <v>1966</v>
      </c>
      <c r="DH2" s="154" t="s">
        <v>1966</v>
      </c>
      <c r="DI2" s="154" t="s">
        <v>1966</v>
      </c>
      <c r="DJ2" s="154" t="s">
        <v>1966</v>
      </c>
      <c r="DK2" s="154" t="s">
        <v>1966</v>
      </c>
      <c r="DL2" s="154" t="s">
        <v>2565</v>
      </c>
      <c r="DM2" s="154" t="s">
        <v>2565</v>
      </c>
      <c r="DN2" s="154" t="s">
        <v>2565</v>
      </c>
      <c r="DO2" s="154" t="s">
        <v>2565</v>
      </c>
      <c r="DP2" s="154" t="s">
        <v>2565</v>
      </c>
      <c r="DQ2" s="154" t="s">
        <v>2565</v>
      </c>
      <c r="DR2" s="154" t="s">
        <v>2565</v>
      </c>
      <c r="DS2" s="154" t="s">
        <v>2565</v>
      </c>
      <c r="DT2" s="154" t="s">
        <v>2565</v>
      </c>
      <c r="DU2" s="154" t="s">
        <v>2565</v>
      </c>
      <c r="DV2" s="154" t="s">
        <v>2567</v>
      </c>
      <c r="DW2" s="154" t="s">
        <v>2567</v>
      </c>
      <c r="DX2" s="154" t="s">
        <v>2567</v>
      </c>
      <c r="DY2" s="154" t="s">
        <v>2567</v>
      </c>
      <c r="DZ2" s="154" t="s">
        <v>2567</v>
      </c>
      <c r="EA2" s="154" t="s">
        <v>2567</v>
      </c>
      <c r="EB2" s="154" t="s">
        <v>2567</v>
      </c>
      <c r="EC2" s="154" t="s">
        <v>2567</v>
      </c>
      <c r="ED2" s="154" t="s">
        <v>2567</v>
      </c>
      <c r="EE2" s="154" t="s">
        <v>2567</v>
      </c>
      <c r="EF2" s="154" t="s">
        <v>2567</v>
      </c>
      <c r="EG2" s="154" t="s">
        <v>2567</v>
      </c>
      <c r="EH2" s="154" t="s">
        <v>2567</v>
      </c>
      <c r="EI2" s="154" t="s">
        <v>2567</v>
      </c>
      <c r="EJ2" s="154" t="s">
        <v>2567</v>
      </c>
      <c r="EK2" s="154" t="s">
        <v>2567</v>
      </c>
      <c r="EL2" s="154" t="s">
        <v>2567</v>
      </c>
      <c r="EM2" s="154" t="s">
        <v>2567</v>
      </c>
      <c r="EN2" s="154" t="s">
        <v>2567</v>
      </c>
      <c r="EO2" s="154" t="s">
        <v>2567</v>
      </c>
      <c r="EP2" s="154" t="s">
        <v>2567</v>
      </c>
      <c r="EQ2" s="154" t="s">
        <v>2567</v>
      </c>
      <c r="ER2" s="154" t="s">
        <v>2567</v>
      </c>
      <c r="ES2" s="154" t="s">
        <v>2567</v>
      </c>
      <c r="ET2" s="154" t="s">
        <v>2567</v>
      </c>
      <c r="EU2" s="154" t="s">
        <v>2567</v>
      </c>
      <c r="EV2" s="154" t="s">
        <v>2567</v>
      </c>
      <c r="EW2" s="154" t="s">
        <v>2567</v>
      </c>
      <c r="EX2" s="154" t="s">
        <v>2567</v>
      </c>
      <c r="EY2" s="154" t="s">
        <v>2567</v>
      </c>
      <c r="EZ2" s="154" t="s">
        <v>2567</v>
      </c>
      <c r="FA2" s="154" t="s">
        <v>2726</v>
      </c>
      <c r="FB2" s="154" t="s">
        <v>2726</v>
      </c>
      <c r="FC2" s="154" t="s">
        <v>2726</v>
      </c>
      <c r="FD2" s="154" t="s">
        <v>2726</v>
      </c>
      <c r="FE2" s="154" t="s">
        <v>2726</v>
      </c>
      <c r="FF2" s="154" t="s">
        <v>2726</v>
      </c>
      <c r="FG2" s="154" t="s">
        <v>2726</v>
      </c>
      <c r="FH2" s="154" t="s">
        <v>2726</v>
      </c>
      <c r="FI2" s="154" t="s">
        <v>2726</v>
      </c>
      <c r="FJ2" s="154" t="s">
        <v>2726</v>
      </c>
      <c r="FK2" s="154" t="s">
        <v>2726</v>
      </c>
      <c r="FL2" s="154" t="s">
        <v>2726</v>
      </c>
      <c r="FM2" s="154" t="s">
        <v>2793</v>
      </c>
      <c r="FN2" s="154" t="s">
        <v>2793</v>
      </c>
      <c r="FO2" s="154" t="s">
        <v>2793</v>
      </c>
      <c r="FP2" s="154" t="s">
        <v>2793</v>
      </c>
      <c r="FQ2" s="154" t="s">
        <v>2793</v>
      </c>
      <c r="FR2" s="154" t="s">
        <v>2807</v>
      </c>
      <c r="FS2" s="154" t="s">
        <v>2843</v>
      </c>
      <c r="FT2" s="154" t="s">
        <v>2843</v>
      </c>
      <c r="FU2" s="154" t="s">
        <v>2843</v>
      </c>
      <c r="FV2" s="154" t="s">
        <v>2899</v>
      </c>
      <c r="FW2" s="154" t="s">
        <v>2899</v>
      </c>
      <c r="FX2" s="154" t="s">
        <v>2899</v>
      </c>
      <c r="FY2" s="154" t="s">
        <v>2899</v>
      </c>
      <c r="FZ2" s="154" t="s">
        <v>2899</v>
      </c>
      <c r="GA2" s="154" t="s">
        <v>2899</v>
      </c>
      <c r="GB2" s="154" t="s">
        <v>2899</v>
      </c>
      <c r="GC2" s="154" t="s">
        <v>2930</v>
      </c>
      <c r="GD2" s="154" t="s">
        <v>2930</v>
      </c>
      <c r="GE2" s="154" t="s">
        <v>2957</v>
      </c>
      <c r="GF2" s="154" t="s">
        <v>2984</v>
      </c>
      <c r="GG2" s="154" t="s">
        <v>2984</v>
      </c>
      <c r="GH2" s="154" t="s">
        <v>2984</v>
      </c>
      <c r="GI2" s="154" t="s">
        <v>2984</v>
      </c>
      <c r="GJ2" s="154" t="s">
        <v>3026</v>
      </c>
      <c r="GK2" s="154" t="s">
        <v>3049</v>
      </c>
      <c r="GL2" s="154" t="s">
        <v>3049</v>
      </c>
      <c r="GM2" s="154" t="s">
        <v>3049</v>
      </c>
      <c r="GN2" s="154" t="s">
        <v>3049</v>
      </c>
      <c r="GO2" s="154" t="s">
        <v>3095</v>
      </c>
      <c r="GP2" s="154" t="s">
        <v>3112</v>
      </c>
      <c r="GQ2" s="154" t="s">
        <v>3178</v>
      </c>
      <c r="GR2" s="154" t="s">
        <v>3178</v>
      </c>
      <c r="GS2" s="154" t="s">
        <v>3178</v>
      </c>
      <c r="GT2" s="154" t="s">
        <v>3178</v>
      </c>
      <c r="GU2" s="154" t="s">
        <v>3252</v>
      </c>
      <c r="GV2" s="154" t="s">
        <v>3252</v>
      </c>
      <c r="GW2" s="154" t="s">
        <v>3252</v>
      </c>
      <c r="GX2" s="154" t="s">
        <v>3252</v>
      </c>
      <c r="GY2" s="154" t="s">
        <v>3252</v>
      </c>
      <c r="GZ2" s="154" t="s">
        <v>3373</v>
      </c>
      <c r="HA2" s="154" t="s">
        <v>3373</v>
      </c>
      <c r="HB2" s="154" t="s">
        <v>3373</v>
      </c>
      <c r="HC2" s="154" t="s">
        <v>3373</v>
      </c>
      <c r="HD2" s="154" t="s">
        <v>3373</v>
      </c>
      <c r="HE2" s="154" t="s">
        <v>3373</v>
      </c>
      <c r="HF2" s="154" t="s">
        <v>3373</v>
      </c>
      <c r="HG2" s="154" t="s">
        <v>3373</v>
      </c>
      <c r="HH2" s="154" t="s">
        <v>3373</v>
      </c>
      <c r="HI2" s="154" t="s">
        <v>3373</v>
      </c>
      <c r="HJ2" s="154" t="s">
        <v>3405</v>
      </c>
      <c r="HK2" s="154" t="s">
        <v>3405</v>
      </c>
      <c r="HL2" s="154" t="s">
        <v>3405</v>
      </c>
      <c r="HM2" s="154" t="s">
        <v>3405</v>
      </c>
      <c r="HN2" s="154" t="s">
        <v>3405</v>
      </c>
      <c r="HO2" s="154" t="s">
        <v>3840</v>
      </c>
      <c r="HP2" s="154" t="s">
        <v>3840</v>
      </c>
      <c r="HQ2" s="154" t="s">
        <v>3840</v>
      </c>
      <c r="HR2" s="154" t="s">
        <v>3840</v>
      </c>
      <c r="HS2" s="154" t="s">
        <v>3840</v>
      </c>
      <c r="HT2" s="154" t="s">
        <v>3840</v>
      </c>
      <c r="HU2" s="154" t="s">
        <v>3840</v>
      </c>
      <c r="HV2" s="154" t="s">
        <v>3840</v>
      </c>
      <c r="HW2" s="154" t="s">
        <v>3840</v>
      </c>
      <c r="HX2" s="154" t="s">
        <v>3840</v>
      </c>
      <c r="HY2" s="154" t="s">
        <v>3840</v>
      </c>
      <c r="HZ2" s="154" t="s">
        <v>3840</v>
      </c>
      <c r="IA2" s="154" t="s">
        <v>3840</v>
      </c>
      <c r="IB2" s="154" t="s">
        <v>3840</v>
      </c>
      <c r="IC2" s="154" t="s">
        <v>3840</v>
      </c>
      <c r="ID2" s="154" t="s">
        <v>3840</v>
      </c>
      <c r="IE2" s="154" t="s">
        <v>3840</v>
      </c>
      <c r="IF2" s="154" t="s">
        <v>3840</v>
      </c>
      <c r="IG2" s="154" t="s">
        <v>3840</v>
      </c>
      <c r="IH2" s="154" t="s">
        <v>3840</v>
      </c>
      <c r="II2" s="154" t="s">
        <v>3840</v>
      </c>
      <c r="IJ2" s="154" t="s">
        <v>3840</v>
      </c>
      <c r="IK2" s="154" t="s">
        <v>3840</v>
      </c>
      <c r="IL2" s="154" t="s">
        <v>3840</v>
      </c>
      <c r="IM2" s="154" t="s">
        <v>3840</v>
      </c>
      <c r="IN2" s="154" t="s">
        <v>3840</v>
      </c>
      <c r="IO2" s="154" t="s">
        <v>3840</v>
      </c>
      <c r="IP2" s="154" t="s">
        <v>3840</v>
      </c>
      <c r="IQ2" s="154" t="s">
        <v>3840</v>
      </c>
      <c r="IR2" s="154" t="s">
        <v>3840</v>
      </c>
      <c r="IS2" s="154" t="s">
        <v>3840</v>
      </c>
      <c r="IT2" s="154" t="s">
        <v>3840</v>
      </c>
      <c r="IU2" s="154" t="s">
        <v>3840</v>
      </c>
      <c r="IV2" s="154" t="s">
        <v>3840</v>
      </c>
      <c r="IW2" s="154" t="s">
        <v>3840</v>
      </c>
      <c r="IX2" s="242"/>
      <c r="IY2" s="154" t="s">
        <v>3840</v>
      </c>
      <c r="IZ2" s="154" t="s">
        <v>3840</v>
      </c>
      <c r="JA2" s="154" t="s">
        <v>3840</v>
      </c>
      <c r="JB2" s="154" t="s">
        <v>3840</v>
      </c>
      <c r="JC2" s="154" t="s">
        <v>3840</v>
      </c>
      <c r="JD2" s="154" t="s">
        <v>3840</v>
      </c>
      <c r="JE2" s="154" t="s">
        <v>3840</v>
      </c>
      <c r="JF2" s="154" t="s">
        <v>3840</v>
      </c>
      <c r="JG2" s="154" t="s">
        <v>3840</v>
      </c>
      <c r="JH2" s="154" t="s">
        <v>3840</v>
      </c>
      <c r="JI2" s="154" t="s">
        <v>3840</v>
      </c>
      <c r="JJ2" s="154" t="s">
        <v>3840</v>
      </c>
      <c r="JK2" s="154" t="s">
        <v>3840</v>
      </c>
      <c r="JL2" s="154" t="s">
        <v>3840</v>
      </c>
      <c r="JM2" s="154" t="s">
        <v>3840</v>
      </c>
      <c r="JN2" s="154" t="s">
        <v>3840</v>
      </c>
      <c r="JO2" s="154" t="s">
        <v>3840</v>
      </c>
      <c r="JP2" s="154" t="s">
        <v>3840</v>
      </c>
      <c r="JQ2" s="154" t="s">
        <v>3840</v>
      </c>
      <c r="JR2" s="154" t="s">
        <v>3840</v>
      </c>
      <c r="JS2" s="154" t="s">
        <v>3840</v>
      </c>
      <c r="JT2" s="154" t="s">
        <v>3840</v>
      </c>
      <c r="JU2" s="154" t="s">
        <v>3840</v>
      </c>
      <c r="JV2" s="154" t="s">
        <v>3840</v>
      </c>
      <c r="JW2" s="154" t="s">
        <v>3840</v>
      </c>
      <c r="JX2" s="154" t="s">
        <v>3840</v>
      </c>
      <c r="JY2" s="154" t="s">
        <v>3840</v>
      </c>
      <c r="JZ2" s="154" t="s">
        <v>3840</v>
      </c>
      <c r="KA2" s="154" t="s">
        <v>3840</v>
      </c>
      <c r="KB2" s="154" t="s">
        <v>3840</v>
      </c>
      <c r="KC2" s="154" t="s">
        <v>3840</v>
      </c>
      <c r="KD2" s="154" t="s">
        <v>4379</v>
      </c>
      <c r="KE2" s="154" t="s">
        <v>4379</v>
      </c>
      <c r="KF2" s="154" t="s">
        <v>4379</v>
      </c>
      <c r="KG2" s="154" t="s">
        <v>4379</v>
      </c>
      <c r="KH2" s="154" t="s">
        <v>4379</v>
      </c>
      <c r="KI2" s="154" t="s">
        <v>4379</v>
      </c>
      <c r="KJ2" s="154" t="s">
        <v>4379</v>
      </c>
      <c r="KK2" s="154" t="s">
        <v>4379</v>
      </c>
      <c r="KL2" s="154" t="s">
        <v>4379</v>
      </c>
      <c r="KM2" s="154" t="s">
        <v>4379</v>
      </c>
      <c r="KN2" s="154" t="s">
        <v>4379</v>
      </c>
      <c r="KO2" s="154" t="s">
        <v>4379</v>
      </c>
      <c r="KP2" s="154" t="s">
        <v>4379</v>
      </c>
      <c r="KQ2" s="154" t="s">
        <v>4379</v>
      </c>
      <c r="KR2" s="154" t="s">
        <v>4379</v>
      </c>
      <c r="KS2" s="154" t="s">
        <v>4379</v>
      </c>
      <c r="KT2" s="154" t="s">
        <v>4379</v>
      </c>
      <c r="KU2" s="154" t="s">
        <v>4379</v>
      </c>
      <c r="KV2" s="154" t="s">
        <v>4379</v>
      </c>
      <c r="KW2" s="154" t="s">
        <v>4379</v>
      </c>
      <c r="KX2" s="154" t="s">
        <v>4379</v>
      </c>
      <c r="KY2" s="154" t="s">
        <v>4636</v>
      </c>
      <c r="KZ2" s="154" t="s">
        <v>4636</v>
      </c>
      <c r="LA2" s="154" t="s">
        <v>4673</v>
      </c>
      <c r="LB2" s="154" t="s">
        <v>4673</v>
      </c>
      <c r="LC2" s="154" t="s">
        <v>4673</v>
      </c>
      <c r="LD2" s="154" t="s">
        <v>4673</v>
      </c>
      <c r="LE2" s="154" t="s">
        <v>4673</v>
      </c>
      <c r="LF2" s="154" t="s">
        <v>4673</v>
      </c>
      <c r="LG2" s="154" t="s">
        <v>4673</v>
      </c>
      <c r="LH2" s="154" t="s">
        <v>4673</v>
      </c>
      <c r="LI2" s="154" t="s">
        <v>4673</v>
      </c>
      <c r="LJ2" s="154" t="s">
        <v>4673</v>
      </c>
      <c r="LK2" s="154" t="s">
        <v>4673</v>
      </c>
      <c r="LL2" s="154" t="s">
        <v>4673</v>
      </c>
      <c r="LM2" s="154" t="s">
        <v>4673</v>
      </c>
      <c r="LN2" s="154" t="s">
        <v>4673</v>
      </c>
      <c r="LO2" s="154" t="s">
        <v>4673</v>
      </c>
      <c r="LP2" s="154" t="s">
        <v>4673</v>
      </c>
      <c r="LQ2" s="154" t="s">
        <v>4673</v>
      </c>
      <c r="LR2" s="154" t="s">
        <v>4673</v>
      </c>
      <c r="LS2" s="154" t="s">
        <v>4673</v>
      </c>
      <c r="LT2" s="154" t="s">
        <v>4673</v>
      </c>
      <c r="LU2" s="154" t="s">
        <v>4673</v>
      </c>
      <c r="LV2" s="154" t="s">
        <v>4673</v>
      </c>
      <c r="LW2" s="154" t="s">
        <v>4673</v>
      </c>
      <c r="LX2" s="154" t="s">
        <v>4673</v>
      </c>
      <c r="LY2" s="154" t="s">
        <v>4673</v>
      </c>
      <c r="LZ2" s="154" t="s">
        <v>4673</v>
      </c>
      <c r="MA2" s="154" t="s">
        <v>4673</v>
      </c>
      <c r="MB2" s="154" t="s">
        <v>4673</v>
      </c>
      <c r="MC2" s="154" t="s">
        <v>4673</v>
      </c>
      <c r="MD2" s="154" t="s">
        <v>4673</v>
      </c>
    </row>
    <row r="3" spans="1:342" x14ac:dyDescent="0.25">
      <c r="B3" s="58"/>
      <c r="C3" s="17" t="s">
        <v>181</v>
      </c>
      <c r="D3" s="18" t="s">
        <v>182</v>
      </c>
      <c r="E3" s="36" t="s">
        <v>241</v>
      </c>
      <c r="F3" s="36" t="s">
        <v>242</v>
      </c>
      <c r="G3" s="36" t="s">
        <v>243</v>
      </c>
      <c r="H3" s="36" t="s">
        <v>244</v>
      </c>
      <c r="I3" s="36" t="s">
        <v>245</v>
      </c>
      <c r="J3" s="36" t="s">
        <v>246</v>
      </c>
      <c r="K3" s="36" t="s">
        <v>247</v>
      </c>
      <c r="L3" s="36" t="s">
        <v>248</v>
      </c>
      <c r="M3" s="36" t="s">
        <v>249</v>
      </c>
      <c r="N3" s="36" t="s">
        <v>250</v>
      </c>
      <c r="O3" s="36" t="s">
        <v>251</v>
      </c>
      <c r="P3" s="36" t="s">
        <v>252</v>
      </c>
      <c r="Q3" s="36" t="s">
        <v>253</v>
      </c>
      <c r="R3" s="36" t="s">
        <v>254</v>
      </c>
      <c r="S3" s="36" t="s">
        <v>255</v>
      </c>
      <c r="T3" s="36" t="s">
        <v>256</v>
      </c>
      <c r="U3" s="36" t="s">
        <v>257</v>
      </c>
      <c r="V3" s="36" t="s">
        <v>258</v>
      </c>
      <c r="W3" s="36" t="s">
        <v>270</v>
      </c>
      <c r="X3" s="36" t="s">
        <v>292</v>
      </c>
      <c r="Y3" s="36" t="s">
        <v>298</v>
      </c>
      <c r="Z3" s="36" t="s">
        <v>303</v>
      </c>
      <c r="AA3" s="36" t="s">
        <v>328</v>
      </c>
      <c r="AB3" s="36" t="s">
        <v>344</v>
      </c>
      <c r="AC3" s="36" t="s">
        <v>358</v>
      </c>
      <c r="AD3" s="36" t="s">
        <v>366</v>
      </c>
      <c r="AE3" s="36" t="s">
        <v>367</v>
      </c>
      <c r="AF3" s="36" t="s">
        <v>387</v>
      </c>
      <c r="AG3" s="36" t="s">
        <v>397</v>
      </c>
      <c r="AH3" s="36" t="s">
        <v>410</v>
      </c>
      <c r="AI3" s="36" t="s">
        <v>501</v>
      </c>
      <c r="AJ3" s="36" t="s">
        <v>502</v>
      </c>
      <c r="AK3" s="36" t="s">
        <v>503</v>
      </c>
      <c r="AL3" s="36" t="s">
        <v>504</v>
      </c>
      <c r="AM3" s="36" t="s">
        <v>505</v>
      </c>
      <c r="AN3" s="36" t="s">
        <v>556</v>
      </c>
      <c r="AO3" s="36" t="s">
        <v>557</v>
      </c>
      <c r="AP3" s="36" t="s">
        <v>558</v>
      </c>
      <c r="AQ3" s="36" t="s">
        <v>559</v>
      </c>
      <c r="AR3" s="36" t="s">
        <v>560</v>
      </c>
      <c r="AS3" s="36" t="s">
        <v>561</v>
      </c>
      <c r="AT3" s="36" t="s">
        <v>625</v>
      </c>
      <c r="AU3" s="36" t="s">
        <v>641</v>
      </c>
      <c r="AV3" s="36" t="s">
        <v>642</v>
      </c>
      <c r="AW3" s="36" t="s">
        <v>643</v>
      </c>
      <c r="AX3" s="36" t="s">
        <v>682</v>
      </c>
      <c r="AY3" s="36" t="s">
        <v>724</v>
      </c>
      <c r="AZ3" s="36" t="s">
        <v>732</v>
      </c>
      <c r="BA3" s="36" t="s">
        <v>737</v>
      </c>
      <c r="BB3" s="36" t="s">
        <v>754</v>
      </c>
      <c r="BC3" s="36" t="s">
        <v>765</v>
      </c>
      <c r="BD3" s="36" t="s">
        <v>766</v>
      </c>
      <c r="BE3" s="36" t="s">
        <v>767</v>
      </c>
      <c r="BF3" s="36" t="s">
        <v>768</v>
      </c>
      <c r="BG3" s="36" t="s">
        <v>769</v>
      </c>
      <c r="BH3" s="36" t="s">
        <v>770</v>
      </c>
      <c r="BI3" s="36" t="s">
        <v>771</v>
      </c>
      <c r="BJ3" s="36" t="s">
        <v>772</v>
      </c>
      <c r="BK3" s="36" t="s">
        <v>1107</v>
      </c>
      <c r="BL3" s="36" t="s">
        <v>1108</v>
      </c>
      <c r="BM3" s="36" t="s">
        <v>1109</v>
      </c>
      <c r="BN3" s="36" t="s">
        <v>1110</v>
      </c>
      <c r="BO3" s="36" t="s">
        <v>1111</v>
      </c>
      <c r="BP3" s="36" t="s">
        <v>1112</v>
      </c>
      <c r="BQ3" s="36" t="s">
        <v>1113</v>
      </c>
      <c r="BR3" s="117">
        <v>300</v>
      </c>
      <c r="BS3" s="117">
        <v>301</v>
      </c>
      <c r="BT3" s="105">
        <v>302</v>
      </c>
      <c r="BU3" s="117">
        <v>303</v>
      </c>
      <c r="BV3" s="105">
        <v>304</v>
      </c>
      <c r="BW3" s="117">
        <v>305</v>
      </c>
      <c r="BX3" s="105">
        <v>306</v>
      </c>
      <c r="BY3" s="117">
        <v>307</v>
      </c>
      <c r="BZ3" s="105">
        <v>308</v>
      </c>
      <c r="CA3" s="117">
        <v>309</v>
      </c>
      <c r="CB3" s="105">
        <v>310</v>
      </c>
      <c r="CC3" s="117">
        <v>311</v>
      </c>
      <c r="CD3" s="105">
        <v>312</v>
      </c>
      <c r="CE3" s="117">
        <v>313</v>
      </c>
      <c r="CF3" s="105"/>
      <c r="CG3" s="117"/>
      <c r="CH3" s="105"/>
      <c r="DQ3" s="105"/>
      <c r="DR3" s="105"/>
      <c r="DS3" s="105"/>
      <c r="DT3" s="105"/>
      <c r="HN3" s="105"/>
      <c r="HO3" s="105"/>
      <c r="HT3" s="105"/>
      <c r="IK3" s="105"/>
      <c r="IT3" s="105"/>
      <c r="IU3" s="105"/>
      <c r="IV3" s="105"/>
      <c r="IW3" s="240" t="s">
        <v>3986</v>
      </c>
      <c r="IX3" s="171"/>
    </row>
    <row r="4" spans="1:342" x14ac:dyDescent="0.25">
      <c r="A4" s="41">
        <v>1</v>
      </c>
      <c r="B4" s="305" t="s">
        <v>2</v>
      </c>
      <c r="C4" s="55" t="s">
        <v>455</v>
      </c>
      <c r="D4" s="40" t="s">
        <v>442</v>
      </c>
      <c r="E4" s="12" t="s">
        <v>500</v>
      </c>
      <c r="F4" s="12" t="s">
        <v>500</v>
      </c>
      <c r="G4" s="12" t="s">
        <v>500</v>
      </c>
      <c r="H4" s="12" t="s">
        <v>500</v>
      </c>
      <c r="I4" s="12" t="s">
        <v>500</v>
      </c>
      <c r="J4" s="12" t="s">
        <v>500</v>
      </c>
      <c r="K4" s="4" t="s">
        <v>500</v>
      </c>
      <c r="L4" s="12" t="s">
        <v>500</v>
      </c>
      <c r="M4" s="12" t="s">
        <v>500</v>
      </c>
      <c r="N4" s="12" t="s">
        <v>500</v>
      </c>
      <c r="O4" s="12" t="s">
        <v>500</v>
      </c>
      <c r="P4" s="12" t="s">
        <v>500</v>
      </c>
      <c r="Q4" s="12" t="s">
        <v>500</v>
      </c>
      <c r="R4" s="12" t="s">
        <v>500</v>
      </c>
      <c r="S4" s="12" t="s">
        <v>500</v>
      </c>
      <c r="T4" s="12" t="s">
        <v>500</v>
      </c>
      <c r="U4" s="12" t="s">
        <v>500</v>
      </c>
      <c r="V4" s="12" t="s">
        <v>500</v>
      </c>
      <c r="W4" s="12" t="s">
        <v>500</v>
      </c>
      <c r="X4" s="12" t="s">
        <v>500</v>
      </c>
      <c r="Y4" s="12" t="s">
        <v>500</v>
      </c>
      <c r="Z4" s="12" t="s">
        <v>500</v>
      </c>
      <c r="AA4" s="12" t="s">
        <v>500</v>
      </c>
      <c r="AB4" s="12" t="s">
        <v>500</v>
      </c>
      <c r="AC4" s="12" t="s">
        <v>500</v>
      </c>
      <c r="AD4" s="12" t="s">
        <v>500</v>
      </c>
      <c r="AE4" s="12" t="s">
        <v>500</v>
      </c>
      <c r="AF4" s="12" t="s">
        <v>500</v>
      </c>
      <c r="AG4" s="12" t="s">
        <v>500</v>
      </c>
      <c r="AH4" s="12" t="s">
        <v>500</v>
      </c>
      <c r="AI4" s="12" t="s">
        <v>500</v>
      </c>
      <c r="AJ4" s="12" t="s">
        <v>500</v>
      </c>
      <c r="AK4" s="12" t="s">
        <v>500</v>
      </c>
      <c r="AL4" s="12" t="s">
        <v>500</v>
      </c>
      <c r="AM4" s="12" t="s">
        <v>500</v>
      </c>
      <c r="AN4" s="12" t="s">
        <v>500</v>
      </c>
      <c r="AO4" s="12" t="s">
        <v>500</v>
      </c>
      <c r="AP4" s="12" t="s">
        <v>500</v>
      </c>
      <c r="AQ4" s="12" t="s">
        <v>500</v>
      </c>
      <c r="AR4" s="12" t="s">
        <v>500</v>
      </c>
      <c r="AS4" s="12" t="s">
        <v>500</v>
      </c>
      <c r="AT4" s="12" t="s">
        <v>500</v>
      </c>
      <c r="AU4" s="12" t="s">
        <v>500</v>
      </c>
      <c r="AV4" s="12" t="s">
        <v>500</v>
      </c>
      <c r="AW4" s="12" t="s">
        <v>500</v>
      </c>
      <c r="AX4" s="12" t="s">
        <v>500</v>
      </c>
      <c r="AY4" s="12" t="s">
        <v>500</v>
      </c>
      <c r="AZ4" s="12" t="s">
        <v>500</v>
      </c>
      <c r="BA4" s="12" t="s">
        <v>500</v>
      </c>
      <c r="BB4" s="12" t="s">
        <v>500</v>
      </c>
      <c r="BC4" s="12" t="s">
        <v>500</v>
      </c>
      <c r="BD4" s="12" t="s">
        <v>500</v>
      </c>
      <c r="BE4" s="12" t="s">
        <v>500</v>
      </c>
      <c r="BF4" s="12" t="s">
        <v>500</v>
      </c>
      <c r="BG4" s="12" t="s">
        <v>500</v>
      </c>
      <c r="BH4" s="12" t="s">
        <v>500</v>
      </c>
      <c r="BI4" s="12" t="s">
        <v>500</v>
      </c>
      <c r="BJ4" s="12" t="s">
        <v>500</v>
      </c>
      <c r="BK4" s="12" t="s">
        <v>500</v>
      </c>
      <c r="BL4" s="12" t="s">
        <v>500</v>
      </c>
      <c r="BM4" s="12" t="s">
        <v>500</v>
      </c>
      <c r="BN4" s="12" t="s">
        <v>500</v>
      </c>
      <c r="BO4" s="12" t="s">
        <v>500</v>
      </c>
      <c r="BP4" s="12" t="s">
        <v>500</v>
      </c>
      <c r="BQ4" s="12" t="s">
        <v>500</v>
      </c>
      <c r="BR4" s="117">
        <v>300</v>
      </c>
      <c r="BS4" s="117">
        <v>301</v>
      </c>
      <c r="BT4" s="105">
        <v>302</v>
      </c>
      <c r="BU4" s="117">
        <v>303</v>
      </c>
      <c r="BV4" s="105">
        <v>304</v>
      </c>
      <c r="BW4" s="117">
        <v>305</v>
      </c>
      <c r="BX4" s="105">
        <v>306</v>
      </c>
      <c r="BY4" s="117">
        <v>307</v>
      </c>
      <c r="BZ4" s="105">
        <v>308</v>
      </c>
      <c r="CA4" s="117">
        <v>309</v>
      </c>
      <c r="CB4" s="105">
        <v>310</v>
      </c>
      <c r="CC4" s="117">
        <v>311</v>
      </c>
      <c r="CD4" s="105">
        <v>312</v>
      </c>
      <c r="CE4" s="117">
        <v>313</v>
      </c>
      <c r="CF4" s="105"/>
      <c r="CG4" s="117"/>
      <c r="CH4" s="105"/>
      <c r="DQ4" s="105"/>
      <c r="DR4" s="105"/>
      <c r="DS4" s="105"/>
      <c r="DT4" s="105"/>
      <c r="IX4" s="171"/>
    </row>
    <row r="5" spans="1:342" ht="14.4" x14ac:dyDescent="0.3">
      <c r="A5" s="41">
        <v>2</v>
      </c>
      <c r="B5" s="306"/>
      <c r="C5" s="54" t="s">
        <v>456</v>
      </c>
      <c r="D5" s="40" t="s">
        <v>442</v>
      </c>
      <c r="E5" s="2" t="s">
        <v>10</v>
      </c>
      <c r="F5" s="1" t="s">
        <v>259</v>
      </c>
      <c r="G5" s="2" t="s">
        <v>45</v>
      </c>
      <c r="H5" s="5" t="s">
        <v>56</v>
      </c>
      <c r="I5" s="1" t="s">
        <v>93</v>
      </c>
      <c r="J5" s="2" t="s">
        <v>118</v>
      </c>
      <c r="K5" s="2" t="s">
        <v>721</v>
      </c>
      <c r="L5" s="2" t="s">
        <v>74</v>
      </c>
      <c r="M5" s="5" t="s">
        <v>83</v>
      </c>
      <c r="N5" s="5" t="s">
        <v>92</v>
      </c>
      <c r="O5" s="5" t="s">
        <v>113</v>
      </c>
      <c r="P5" s="5" t="s">
        <v>127</v>
      </c>
      <c r="Q5" s="2" t="s">
        <v>142</v>
      </c>
      <c r="R5" s="5" t="s">
        <v>150</v>
      </c>
      <c r="S5" s="2" t="s">
        <v>1126</v>
      </c>
      <c r="T5" s="2" t="s">
        <v>173</v>
      </c>
      <c r="U5" s="1" t="s">
        <v>271</v>
      </c>
      <c r="V5" s="1" t="s">
        <v>281</v>
      </c>
      <c r="W5" s="1" t="s">
        <v>282</v>
      </c>
      <c r="X5" s="1" t="s">
        <v>293</v>
      </c>
      <c r="Y5" s="1" t="s">
        <v>299</v>
      </c>
      <c r="Z5" s="1" t="s">
        <v>304</v>
      </c>
      <c r="AA5" s="1" t="s">
        <v>396</v>
      </c>
      <c r="AB5" s="2" t="s">
        <v>345</v>
      </c>
      <c r="AC5" s="2" t="s">
        <v>359</v>
      </c>
      <c r="AD5" s="2" t="s">
        <v>368</v>
      </c>
      <c r="AE5" s="2" t="s">
        <v>369</v>
      </c>
      <c r="AF5" s="2" t="s">
        <v>389</v>
      </c>
      <c r="AG5" s="2" t="s">
        <v>398</v>
      </c>
      <c r="AH5" s="2" t="s">
        <v>413</v>
      </c>
      <c r="AI5" s="2" t="s">
        <v>506</v>
      </c>
      <c r="AJ5" s="2" t="s">
        <v>517</v>
      </c>
      <c r="AK5" s="2" t="s">
        <v>518</v>
      </c>
      <c r="AL5" s="2" t="s">
        <v>519</v>
      </c>
      <c r="AM5" s="2" t="s">
        <v>520</v>
      </c>
      <c r="AN5" s="2" t="s">
        <v>562</v>
      </c>
      <c r="AO5" s="2" t="s">
        <v>578</v>
      </c>
      <c r="AP5" s="2" t="s">
        <v>587</v>
      </c>
      <c r="AQ5" s="2" t="s">
        <v>596</v>
      </c>
      <c r="AR5" s="2" t="s">
        <v>613</v>
      </c>
      <c r="AS5" s="2" t="s">
        <v>621</v>
      </c>
      <c r="AT5" s="2" t="s">
        <v>631</v>
      </c>
      <c r="AU5" s="2" t="s">
        <v>644</v>
      </c>
      <c r="AV5" s="2" t="s">
        <v>645</v>
      </c>
      <c r="AW5" s="2" t="s">
        <v>646</v>
      </c>
      <c r="AX5" s="2" t="s">
        <v>683</v>
      </c>
      <c r="AY5" s="2" t="s">
        <v>726</v>
      </c>
      <c r="AZ5" s="2" t="s">
        <v>733</v>
      </c>
      <c r="BA5" s="2" t="s">
        <v>738</v>
      </c>
      <c r="BB5" s="2" t="s">
        <v>755</v>
      </c>
      <c r="BC5" s="2" t="s">
        <v>773</v>
      </c>
      <c r="BD5" s="2" t="s">
        <v>774</v>
      </c>
      <c r="BE5" s="2" t="s">
        <v>775</v>
      </c>
      <c r="BF5" s="2" t="s">
        <v>776</v>
      </c>
      <c r="BG5" s="2" t="s">
        <v>777</v>
      </c>
      <c r="BH5" s="2" t="s">
        <v>778</v>
      </c>
      <c r="BI5" s="2" t="s">
        <v>823</v>
      </c>
      <c r="BJ5" s="2" t="s">
        <v>842</v>
      </c>
      <c r="BK5" s="1" t="s">
        <v>1089</v>
      </c>
      <c r="BL5" s="2" t="s">
        <v>843</v>
      </c>
      <c r="BM5" s="2" t="s">
        <v>1046</v>
      </c>
      <c r="BN5" s="2" t="s">
        <v>1058</v>
      </c>
      <c r="BO5" s="2" t="s">
        <v>1059</v>
      </c>
      <c r="BP5" s="2" t="s">
        <v>1070</v>
      </c>
      <c r="BQ5" s="2" t="s">
        <v>1078</v>
      </c>
      <c r="BR5" s="117" t="s">
        <v>1389</v>
      </c>
      <c r="BS5" s="105" t="s">
        <v>1404</v>
      </c>
      <c r="BT5" s="105" t="s">
        <v>1420</v>
      </c>
      <c r="BU5" s="115" t="s">
        <v>1434</v>
      </c>
      <c r="BV5" s="115" t="s">
        <v>1448</v>
      </c>
      <c r="BW5" s="115" t="s">
        <v>1459</v>
      </c>
      <c r="BX5" s="115" t="s">
        <v>1473</v>
      </c>
      <c r="BY5" s="115" t="s">
        <v>1484</v>
      </c>
      <c r="BZ5" s="115" t="s">
        <v>1494</v>
      </c>
      <c r="CA5" s="41" t="s">
        <v>1558</v>
      </c>
      <c r="CB5" s="41" t="s">
        <v>1577</v>
      </c>
      <c r="CC5" s="41" t="s">
        <v>1597</v>
      </c>
      <c r="CD5" s="41" t="s">
        <v>1611</v>
      </c>
      <c r="CE5" s="41" t="s">
        <v>1629</v>
      </c>
      <c r="CF5" s="12" t="s">
        <v>1987</v>
      </c>
      <c r="CG5" s="41" t="s">
        <v>1653</v>
      </c>
      <c r="CH5" s="41" t="s">
        <v>1661</v>
      </c>
      <c r="CI5" s="41" t="s">
        <v>1674</v>
      </c>
      <c r="CJ5" s="41" t="s">
        <v>1692</v>
      </c>
      <c r="CK5" s="41" t="s">
        <v>1703</v>
      </c>
      <c r="CL5" s="41" t="s">
        <v>1707</v>
      </c>
      <c r="CM5" s="41" t="s">
        <v>1713</v>
      </c>
      <c r="CN5" s="41" t="s">
        <v>1726</v>
      </c>
      <c r="CO5" s="41" t="s">
        <v>1738</v>
      </c>
      <c r="CP5" s="41" t="s">
        <v>1748</v>
      </c>
      <c r="CQ5" s="41" t="s">
        <v>1762</v>
      </c>
      <c r="CR5" s="41" t="s">
        <v>1778</v>
      </c>
      <c r="CS5" s="12" t="s">
        <v>1786</v>
      </c>
      <c r="CT5" s="41" t="s">
        <v>1799</v>
      </c>
      <c r="CU5" s="12" t="s">
        <v>1810</v>
      </c>
      <c r="CV5" s="12" t="s">
        <v>1817</v>
      </c>
      <c r="CW5" s="12" t="s">
        <v>1824</v>
      </c>
      <c r="CX5" s="41" t="s">
        <v>1834</v>
      </c>
      <c r="CY5" s="41" t="s">
        <v>1844</v>
      </c>
      <c r="CZ5" s="41" t="s">
        <v>1851</v>
      </c>
      <c r="DA5" s="41" t="s">
        <v>1860</v>
      </c>
      <c r="DB5" s="41" t="s">
        <v>1866</v>
      </c>
      <c r="DC5" s="41" t="s">
        <v>1877</v>
      </c>
      <c r="DD5" s="41" t="s">
        <v>1888</v>
      </c>
      <c r="DE5" s="41" t="s">
        <v>1898</v>
      </c>
      <c r="DF5" s="41" t="s">
        <v>1904</v>
      </c>
      <c r="DG5" s="41" t="s">
        <v>1910</v>
      </c>
      <c r="DH5" s="41" t="s">
        <v>1922</v>
      </c>
      <c r="DI5" s="41" t="s">
        <v>1928</v>
      </c>
      <c r="DJ5" s="41" t="s">
        <v>1936</v>
      </c>
      <c r="DK5" s="41" t="s">
        <v>1951</v>
      </c>
      <c r="DL5" s="41" t="s">
        <v>1968</v>
      </c>
      <c r="DM5" s="105" t="s">
        <v>1990</v>
      </c>
      <c r="DN5" s="105" t="s">
        <v>1989</v>
      </c>
      <c r="DO5" s="105" t="s">
        <v>1988</v>
      </c>
      <c r="DP5" s="41" t="s">
        <v>2006</v>
      </c>
      <c r="DQ5" s="105" t="s">
        <v>2020</v>
      </c>
      <c r="DR5" s="105" t="s">
        <v>2031</v>
      </c>
      <c r="DS5" s="105" t="s">
        <v>2038</v>
      </c>
      <c r="DT5" s="105" t="s">
        <v>2039</v>
      </c>
      <c r="DU5" s="41" t="s">
        <v>2089</v>
      </c>
      <c r="DV5" s="105" t="s">
        <v>2105</v>
      </c>
      <c r="DW5" s="115" t="s">
        <v>2170</v>
      </c>
      <c r="DX5" s="115" t="s">
        <v>2184</v>
      </c>
      <c r="DY5" s="115" t="s">
        <v>2200</v>
      </c>
      <c r="DZ5" s="115" t="s">
        <v>2218</v>
      </c>
      <c r="EA5" s="115" t="s">
        <v>2230</v>
      </c>
      <c r="EB5" s="115" t="s">
        <v>2243</v>
      </c>
      <c r="EC5" s="115" t="s">
        <v>2254</v>
      </c>
      <c r="ED5" s="115" t="s">
        <v>2270</v>
      </c>
      <c r="EE5" s="115" t="s">
        <v>2286</v>
      </c>
      <c r="EF5" s="115" t="s">
        <v>2290</v>
      </c>
      <c r="EG5" s="115" t="s">
        <v>2568</v>
      </c>
      <c r="EH5" s="115" t="s">
        <v>2303</v>
      </c>
      <c r="EI5" s="187" t="s">
        <v>2314</v>
      </c>
      <c r="EJ5" s="115" t="s">
        <v>2330</v>
      </c>
      <c r="EK5" s="187" t="s">
        <v>2338</v>
      </c>
      <c r="EL5" s="115" t="s">
        <v>2357</v>
      </c>
      <c r="EM5" s="187" t="s">
        <v>2369</v>
      </c>
      <c r="EN5" s="115" t="s">
        <v>2384</v>
      </c>
      <c r="EO5" s="115" t="s">
        <v>2399</v>
      </c>
      <c r="EP5" s="115" t="s">
        <v>2415</v>
      </c>
      <c r="EQ5" s="115" t="s">
        <v>2429</v>
      </c>
      <c r="ER5" s="115" t="s">
        <v>2445</v>
      </c>
      <c r="ES5" s="115" t="s">
        <v>2460</v>
      </c>
      <c r="ET5" s="115" t="s">
        <v>2472</v>
      </c>
      <c r="EU5" s="115" t="s">
        <v>2486</v>
      </c>
      <c r="EV5" s="115" t="s">
        <v>2504</v>
      </c>
      <c r="EW5" s="115" t="s">
        <v>2520</v>
      </c>
      <c r="EX5" s="115" t="s">
        <v>2536</v>
      </c>
      <c r="EY5" s="115" t="s">
        <v>2547</v>
      </c>
      <c r="EZ5" s="115" t="s">
        <v>2559</v>
      </c>
      <c r="FA5" s="41" t="s">
        <v>2605</v>
      </c>
      <c r="FB5" s="41" t="s">
        <v>2619</v>
      </c>
      <c r="FC5" s="41" t="s">
        <v>2626</v>
      </c>
      <c r="FD5" s="41" t="s">
        <v>2632</v>
      </c>
      <c r="FE5" s="41" t="s">
        <v>2635</v>
      </c>
      <c r="FF5" s="41" t="s">
        <v>2651</v>
      </c>
      <c r="FG5" s="41" t="s">
        <v>2667</v>
      </c>
      <c r="FH5" s="41" t="s">
        <v>2673</v>
      </c>
      <c r="FI5" s="41" t="s">
        <v>2683</v>
      </c>
      <c r="FJ5" s="41" t="s">
        <v>2696</v>
      </c>
      <c r="FK5" s="41" t="s">
        <v>2704</v>
      </c>
      <c r="FL5" s="41" t="s">
        <v>2719</v>
      </c>
      <c r="FM5" s="200" t="s">
        <v>2728</v>
      </c>
      <c r="FN5" s="187" t="s">
        <v>2739</v>
      </c>
      <c r="FO5" s="187" t="s">
        <v>2754</v>
      </c>
      <c r="FP5" s="187" t="s">
        <v>2766</v>
      </c>
      <c r="FQ5" s="187" t="s">
        <v>2781</v>
      </c>
      <c r="FR5" s="115" t="s">
        <v>2794</v>
      </c>
      <c r="FS5" s="187" t="s">
        <v>2808</v>
      </c>
      <c r="FT5" s="187" t="s">
        <v>2818</v>
      </c>
      <c r="FU5" s="187" t="s">
        <v>2829</v>
      </c>
      <c r="FV5" s="115" t="s">
        <v>2844</v>
      </c>
      <c r="FW5" s="115" t="s">
        <v>2859</v>
      </c>
      <c r="FX5" s="115" t="s">
        <v>2869</v>
      </c>
      <c r="FY5" s="115" t="s">
        <v>2879</v>
      </c>
      <c r="FZ5" s="115" t="s">
        <v>2892</v>
      </c>
      <c r="GA5" s="115" t="s">
        <v>2900</v>
      </c>
      <c r="GB5" s="115" t="s">
        <v>2913</v>
      </c>
      <c r="GC5" s="115" t="s">
        <v>2922</v>
      </c>
      <c r="GD5" s="187" t="s">
        <v>2931</v>
      </c>
      <c r="GE5" s="115" t="s">
        <v>2942</v>
      </c>
      <c r="GF5" s="159" t="s">
        <v>2958</v>
      </c>
      <c r="GG5" s="208" t="s">
        <v>2971</v>
      </c>
      <c r="GH5" s="159" t="s">
        <v>2985</v>
      </c>
      <c r="GI5" s="159" t="s">
        <v>3003</v>
      </c>
      <c r="GJ5" s="159" t="s">
        <v>3177</v>
      </c>
      <c r="GK5" s="159" t="s">
        <v>3027</v>
      </c>
      <c r="GL5" s="115" t="s">
        <v>3040</v>
      </c>
      <c r="GM5" s="115" t="s">
        <v>3050</v>
      </c>
      <c r="GN5" s="115" t="s">
        <v>3065</v>
      </c>
      <c r="GO5" s="115" t="s">
        <v>3076</v>
      </c>
      <c r="GP5" s="115" t="s">
        <v>3096</v>
      </c>
      <c r="GQ5" s="208" t="s">
        <v>3113</v>
      </c>
      <c r="GR5" s="115" t="s">
        <v>3133</v>
      </c>
      <c r="GS5" s="115" t="s">
        <v>3146</v>
      </c>
      <c r="GT5" s="115" t="s">
        <v>3163</v>
      </c>
      <c r="GU5" s="115" t="s">
        <v>3179</v>
      </c>
      <c r="GV5" s="115" t="s">
        <v>3193</v>
      </c>
      <c r="GW5" s="115" t="s">
        <v>3212</v>
      </c>
      <c r="GX5" s="115" t="s">
        <v>3228</v>
      </c>
      <c r="GY5" s="115" t="s">
        <v>3244</v>
      </c>
      <c r="GZ5" s="187" t="s">
        <v>3253</v>
      </c>
      <c r="HA5" s="159" t="s">
        <v>3267</v>
      </c>
      <c r="HB5" s="159" t="s">
        <v>3281</v>
      </c>
      <c r="HC5" s="159" t="s">
        <v>3296</v>
      </c>
      <c r="HD5" s="115" t="s">
        <v>3302</v>
      </c>
      <c r="HE5" s="115" t="s">
        <v>3312</v>
      </c>
      <c r="HF5" s="115" t="s">
        <v>3331</v>
      </c>
      <c r="HG5" s="187" t="s">
        <v>3341</v>
      </c>
      <c r="HH5" s="115" t="s">
        <v>3354</v>
      </c>
      <c r="HI5" s="200" t="s">
        <v>3362</v>
      </c>
      <c r="HJ5" s="115" t="s">
        <v>3374</v>
      </c>
      <c r="HK5" s="115" t="s">
        <v>3387</v>
      </c>
      <c r="HL5" s="159" t="s">
        <v>3406</v>
      </c>
      <c r="HM5" s="115" t="s">
        <v>3419</v>
      </c>
      <c r="HN5" s="115" t="s">
        <v>3501</v>
      </c>
      <c r="HO5" s="115" t="s">
        <v>3519</v>
      </c>
      <c r="HP5" s="115" t="s">
        <v>3529</v>
      </c>
      <c r="HQ5" s="115" t="s">
        <v>3538</v>
      </c>
      <c r="HR5" s="115" t="s">
        <v>3547</v>
      </c>
      <c r="HS5" s="115" t="s">
        <v>3562</v>
      </c>
      <c r="HT5" s="115" t="s">
        <v>3576</v>
      </c>
      <c r="HU5" s="115" t="s">
        <v>3594</v>
      </c>
      <c r="HV5" s="115" t="s">
        <v>3602</v>
      </c>
      <c r="HW5" s="115" t="s">
        <v>3607</v>
      </c>
      <c r="HX5" s="115" t="s">
        <v>3615</v>
      </c>
      <c r="HY5" s="115" t="s">
        <v>3622</v>
      </c>
      <c r="HZ5" s="115" t="s">
        <v>3636</v>
      </c>
      <c r="IA5" s="115" t="s">
        <v>3649</v>
      </c>
      <c r="IB5" s="115" t="s">
        <v>3655</v>
      </c>
      <c r="IC5" s="115" t="s">
        <v>3668</v>
      </c>
      <c r="ID5" s="115" t="s">
        <v>3679</v>
      </c>
      <c r="IE5" s="115" t="s">
        <v>3695</v>
      </c>
      <c r="IF5" s="185" t="s">
        <v>3710</v>
      </c>
      <c r="IG5" s="185" t="s">
        <v>3722</v>
      </c>
      <c r="IH5" s="185" t="s">
        <v>3730</v>
      </c>
      <c r="II5" s="185" t="s">
        <v>3741</v>
      </c>
      <c r="IJ5" s="185" t="s">
        <v>3754</v>
      </c>
      <c r="IK5" s="185" t="s">
        <v>3769</v>
      </c>
      <c r="IL5" s="185" t="s">
        <v>3774</v>
      </c>
      <c r="IM5" s="115" t="s">
        <v>3780</v>
      </c>
      <c r="IN5" s="115" t="s">
        <v>3791</v>
      </c>
      <c r="IO5" s="159" t="s">
        <v>3799</v>
      </c>
      <c r="IP5" s="159" t="s">
        <v>3814</v>
      </c>
      <c r="IQ5" s="115" t="s">
        <v>3824</v>
      </c>
      <c r="IR5" s="115" t="s">
        <v>3835</v>
      </c>
      <c r="IS5" s="115" t="s">
        <v>3841</v>
      </c>
      <c r="IT5" s="115" t="s">
        <v>3856</v>
      </c>
      <c r="IU5" s="115" t="s">
        <v>3871</v>
      </c>
      <c r="IV5" s="115" t="s">
        <v>3884</v>
      </c>
      <c r="IW5" s="115" t="s">
        <v>3883</v>
      </c>
      <c r="IX5" s="159"/>
      <c r="IY5" s="115" t="s">
        <v>3962</v>
      </c>
      <c r="IZ5" s="115" t="s">
        <v>3975</v>
      </c>
      <c r="JA5" s="115" t="s">
        <v>4010</v>
      </c>
      <c r="JB5" s="115" t="s">
        <v>4025</v>
      </c>
      <c r="JC5" s="115" t="s">
        <v>4038</v>
      </c>
      <c r="JD5" s="115" t="s">
        <v>4047</v>
      </c>
      <c r="JE5" s="115" t="s">
        <v>4057</v>
      </c>
      <c r="JF5" s="115" t="s">
        <v>4066</v>
      </c>
      <c r="JG5" s="115" t="s">
        <v>4082</v>
      </c>
      <c r="JH5" s="115" t="s">
        <v>4097</v>
      </c>
      <c r="JI5" s="115" t="s">
        <v>4113</v>
      </c>
      <c r="JJ5" s="243" t="s">
        <v>4125</v>
      </c>
      <c r="JK5" s="243" t="s">
        <v>4137</v>
      </c>
      <c r="JL5" s="243" t="s">
        <v>4148</v>
      </c>
      <c r="JM5" s="243" t="s">
        <v>4161</v>
      </c>
      <c r="JN5" s="115" t="s">
        <v>4168</v>
      </c>
      <c r="JO5" s="115" t="s">
        <v>4182</v>
      </c>
      <c r="JP5" s="115" t="s">
        <v>4216</v>
      </c>
      <c r="JQ5" s="159" t="s">
        <v>4230</v>
      </c>
      <c r="JR5" s="115" t="s">
        <v>4243</v>
      </c>
      <c r="JS5" s="115" t="s">
        <v>4249</v>
      </c>
      <c r="JT5" s="115" t="s">
        <v>4263</v>
      </c>
      <c r="JU5" s="115" t="s">
        <v>4270</v>
      </c>
      <c r="JV5" s="115" t="s">
        <v>4273</v>
      </c>
      <c r="JW5" s="115" t="s">
        <v>4276</v>
      </c>
      <c r="JX5" s="115" t="s">
        <v>4283</v>
      </c>
      <c r="JY5" s="115" t="s">
        <v>4305</v>
      </c>
      <c r="JZ5" s="115" t="s">
        <v>4314</v>
      </c>
      <c r="KA5" s="115" t="s">
        <v>4299</v>
      </c>
      <c r="KB5" s="115" t="s">
        <v>4310</v>
      </c>
      <c r="KC5" s="115" t="s">
        <v>4295</v>
      </c>
      <c r="KD5" s="115" t="s">
        <v>4318</v>
      </c>
      <c r="KE5" s="115" t="s">
        <v>4330</v>
      </c>
      <c r="KF5" s="115" t="s">
        <v>4339</v>
      </c>
      <c r="KG5" s="115" t="s">
        <v>4345</v>
      </c>
      <c r="KH5" s="115" t="s">
        <v>4362</v>
      </c>
      <c r="KI5" s="115" t="s">
        <v>4380</v>
      </c>
      <c r="KJ5" s="115" t="s">
        <v>4395</v>
      </c>
      <c r="KK5" s="115" t="s">
        <v>4412</v>
      </c>
      <c r="KL5" s="115" t="s">
        <v>4421</v>
      </c>
      <c r="KM5" s="115" t="s">
        <v>4438</v>
      </c>
      <c r="KN5" s="187" t="s">
        <v>4467</v>
      </c>
      <c r="KO5" s="115" t="s">
        <v>4480</v>
      </c>
      <c r="KP5" s="115" t="s">
        <v>4499</v>
      </c>
      <c r="KQ5" s="115" t="s">
        <v>4505</v>
      </c>
      <c r="KR5" s="115" t="s">
        <v>4512</v>
      </c>
      <c r="KS5" s="115" t="s">
        <v>4528</v>
      </c>
      <c r="KT5" s="115" t="s">
        <v>4537</v>
      </c>
      <c r="KU5" s="115" t="s">
        <v>4547</v>
      </c>
      <c r="KV5" s="115" t="s">
        <v>4552</v>
      </c>
      <c r="KW5" s="115" t="s">
        <v>4561</v>
      </c>
      <c r="KX5" s="115" t="s">
        <v>4575</v>
      </c>
      <c r="KY5" s="243" t="s">
        <v>4608</v>
      </c>
      <c r="KZ5" s="243" t="s">
        <v>4626</v>
      </c>
      <c r="LA5" s="187" t="s">
        <v>4660</v>
      </c>
      <c r="LB5" s="115" t="s">
        <v>4684</v>
      </c>
      <c r="LC5" s="115" t="s">
        <v>4698</v>
      </c>
      <c r="LD5" s="115" t="s">
        <v>4712</v>
      </c>
      <c r="LE5" s="115" t="s">
        <v>4723</v>
      </c>
      <c r="LF5" s="115" t="s">
        <v>4734</v>
      </c>
      <c r="LG5" s="115" t="s">
        <v>4816</v>
      </c>
      <c r="LH5" s="115" t="s">
        <v>4748</v>
      </c>
      <c r="LI5" s="115" t="s">
        <v>4760</v>
      </c>
      <c r="LJ5" s="115" t="s">
        <v>4771</v>
      </c>
      <c r="LK5" s="115" t="s">
        <v>4781</v>
      </c>
      <c r="LL5" s="187" t="s">
        <v>4792</v>
      </c>
      <c r="LM5" s="120" t="s">
        <v>4802</v>
      </c>
      <c r="LN5" s="263" t="s">
        <v>4808</v>
      </c>
      <c r="LO5" s="115" t="s">
        <v>4831</v>
      </c>
      <c r="LP5" s="115" t="s">
        <v>4846</v>
      </c>
      <c r="LQ5" s="263" t="s">
        <v>4674</v>
      </c>
      <c r="LR5" s="115" t="s">
        <v>4843</v>
      </c>
      <c r="LS5" s="115" t="s">
        <v>4870</v>
      </c>
      <c r="LT5" s="115" t="s">
        <v>4883</v>
      </c>
      <c r="LU5" s="115" t="s">
        <v>4897</v>
      </c>
      <c r="LV5" s="286" t="s">
        <v>4907</v>
      </c>
      <c r="LW5" s="115" t="s">
        <v>4918</v>
      </c>
      <c r="LX5" s="115" t="s">
        <v>4926</v>
      </c>
      <c r="LY5" s="115" t="s">
        <v>4936</v>
      </c>
      <c r="LZ5" s="115" t="s">
        <v>4953</v>
      </c>
      <c r="MA5" s="115" t="s">
        <v>4965</v>
      </c>
      <c r="MB5" s="115" t="s">
        <v>4975</v>
      </c>
      <c r="MC5" s="115" t="s">
        <v>4992</v>
      </c>
      <c r="MD5" s="115" t="s">
        <v>5021</v>
      </c>
    </row>
    <row r="6" spans="1:342" ht="14.4" x14ac:dyDescent="0.3">
      <c r="A6" s="92">
        <v>3</v>
      </c>
      <c r="B6" s="59"/>
      <c r="C6" s="54" t="s">
        <v>457</v>
      </c>
      <c r="D6" s="29"/>
      <c r="E6" s="6" t="s">
        <v>845</v>
      </c>
      <c r="F6" s="6" t="s">
        <v>845</v>
      </c>
      <c r="G6" s="6" t="s">
        <v>845</v>
      </c>
      <c r="H6" s="6" t="s">
        <v>845</v>
      </c>
      <c r="I6" s="6" t="s">
        <v>845</v>
      </c>
      <c r="J6" s="6" t="s">
        <v>845</v>
      </c>
      <c r="K6" s="6" t="s">
        <v>845</v>
      </c>
      <c r="L6" s="6" t="s">
        <v>845</v>
      </c>
      <c r="M6" s="6" t="s">
        <v>845</v>
      </c>
      <c r="N6" s="6" t="s">
        <v>845</v>
      </c>
      <c r="O6" s="6" t="s">
        <v>845</v>
      </c>
      <c r="P6" s="6" t="s">
        <v>845</v>
      </c>
      <c r="Q6" s="6" t="s">
        <v>845</v>
      </c>
      <c r="R6" s="6" t="s">
        <v>845</v>
      </c>
      <c r="S6" s="6" t="s">
        <v>845</v>
      </c>
      <c r="T6" s="6" t="s">
        <v>845</v>
      </c>
      <c r="U6" s="6" t="s">
        <v>845</v>
      </c>
      <c r="V6" s="6" t="s">
        <v>845</v>
      </c>
      <c r="W6" s="6" t="s">
        <v>845</v>
      </c>
      <c r="X6" s="6" t="s">
        <v>845</v>
      </c>
      <c r="Y6" s="6" t="s">
        <v>845</v>
      </c>
      <c r="Z6" s="6" t="s">
        <v>845</v>
      </c>
      <c r="AA6" s="6" t="s">
        <v>845</v>
      </c>
      <c r="AB6" s="6" t="s">
        <v>845</v>
      </c>
      <c r="AC6" s="6" t="s">
        <v>845</v>
      </c>
      <c r="AD6" s="6" t="s">
        <v>845</v>
      </c>
      <c r="AE6" s="6" t="s">
        <v>845</v>
      </c>
      <c r="AF6" s="6" t="s">
        <v>845</v>
      </c>
      <c r="AG6" s="6" t="s">
        <v>845</v>
      </c>
      <c r="AH6" s="6" t="s">
        <v>845</v>
      </c>
      <c r="AI6" s="6" t="s">
        <v>845</v>
      </c>
      <c r="AJ6" s="6" t="s">
        <v>845</v>
      </c>
      <c r="AK6" s="6" t="s">
        <v>845</v>
      </c>
      <c r="AL6" s="6" t="s">
        <v>845</v>
      </c>
      <c r="AM6" s="6" t="s">
        <v>845</v>
      </c>
      <c r="AN6" s="6" t="s">
        <v>845</v>
      </c>
      <c r="AO6" s="6" t="s">
        <v>845</v>
      </c>
      <c r="AP6" s="6" t="s">
        <v>845</v>
      </c>
      <c r="AQ6" s="6" t="s">
        <v>845</v>
      </c>
      <c r="AR6" s="6" t="s">
        <v>845</v>
      </c>
      <c r="AS6" s="6" t="s">
        <v>845</v>
      </c>
      <c r="AT6" s="6" t="s">
        <v>845</v>
      </c>
      <c r="AU6" s="6" t="s">
        <v>845</v>
      </c>
      <c r="AV6" s="6" t="s">
        <v>845</v>
      </c>
      <c r="AW6" s="6" t="s">
        <v>845</v>
      </c>
      <c r="AX6" s="41">
        <v>3.4</v>
      </c>
      <c r="AY6" s="77" t="s">
        <v>725</v>
      </c>
      <c r="AZ6" s="77" t="s">
        <v>725</v>
      </c>
      <c r="BA6" s="6" t="s">
        <v>845</v>
      </c>
      <c r="BB6" s="6" t="s">
        <v>845</v>
      </c>
      <c r="BC6" s="6" t="s">
        <v>845</v>
      </c>
      <c r="BD6" s="6" t="s">
        <v>845</v>
      </c>
      <c r="BE6" s="6" t="s">
        <v>845</v>
      </c>
      <c r="BF6" s="6" t="s">
        <v>845</v>
      </c>
      <c r="BG6" s="6" t="s">
        <v>845</v>
      </c>
      <c r="BH6" s="6" t="s">
        <v>845</v>
      </c>
      <c r="BI6" s="6" t="s">
        <v>845</v>
      </c>
      <c r="BJ6" s="6" t="s">
        <v>845</v>
      </c>
      <c r="BK6" s="6">
        <v>2</v>
      </c>
      <c r="BL6" s="6" t="s">
        <v>845</v>
      </c>
      <c r="BM6" s="6" t="s">
        <v>1023</v>
      </c>
      <c r="BN6" s="6" t="s">
        <v>1023</v>
      </c>
      <c r="BO6" s="6" t="s">
        <v>1023</v>
      </c>
      <c r="BP6" s="6" t="s">
        <v>1023</v>
      </c>
      <c r="BQ6" s="6" t="s">
        <v>1023</v>
      </c>
      <c r="BR6" s="117" t="s">
        <v>1150</v>
      </c>
      <c r="BS6" s="105" t="s">
        <v>1405</v>
      </c>
      <c r="BT6" s="105" t="s">
        <v>1421</v>
      </c>
      <c r="BU6" s="115" t="s">
        <v>1435</v>
      </c>
      <c r="BV6" s="115" t="s">
        <v>1435</v>
      </c>
      <c r="BW6" s="105" t="s">
        <v>1405</v>
      </c>
      <c r="BX6" s="115" t="s">
        <v>1435</v>
      </c>
      <c r="BY6" s="115" t="s">
        <v>1435</v>
      </c>
      <c r="BZ6" s="115" t="s">
        <v>1435</v>
      </c>
      <c r="CA6" s="41" t="s">
        <v>11</v>
      </c>
      <c r="CB6" s="41" t="s">
        <v>11</v>
      </c>
      <c r="CC6" s="41" t="s">
        <v>11</v>
      </c>
      <c r="CD6" s="105" t="s">
        <v>11</v>
      </c>
      <c r="CE6" s="41" t="s">
        <v>1405</v>
      </c>
      <c r="CF6" s="105" t="s">
        <v>11</v>
      </c>
      <c r="CG6" s="105" t="s">
        <v>11</v>
      </c>
      <c r="CH6" s="105" t="s">
        <v>11</v>
      </c>
      <c r="CI6" s="41" t="s">
        <v>1675</v>
      </c>
      <c r="CJ6" s="41" t="s">
        <v>1150</v>
      </c>
      <c r="CK6" s="41" t="s">
        <v>1150</v>
      </c>
      <c r="CL6" s="41" t="s">
        <v>1150</v>
      </c>
      <c r="CM6" s="41" t="s">
        <v>1675</v>
      </c>
      <c r="CN6" s="41" t="s">
        <v>11</v>
      </c>
      <c r="CO6" s="41" t="s">
        <v>1739</v>
      </c>
      <c r="CP6" s="41" t="s">
        <v>1749</v>
      </c>
      <c r="CQ6" s="41" t="s">
        <v>1763</v>
      </c>
      <c r="CR6" s="41" t="s">
        <v>11</v>
      </c>
      <c r="CS6" s="41" t="s">
        <v>11</v>
      </c>
      <c r="CT6" s="41" t="s">
        <v>11</v>
      </c>
      <c r="CU6" s="41" t="s">
        <v>11</v>
      </c>
      <c r="CV6" s="41" t="s">
        <v>11</v>
      </c>
      <c r="CW6" s="41" t="s">
        <v>11</v>
      </c>
      <c r="CX6" s="105" t="s">
        <v>11</v>
      </c>
      <c r="CY6" s="105" t="s">
        <v>11</v>
      </c>
      <c r="CZ6" s="105" t="s">
        <v>11</v>
      </c>
      <c r="DA6" s="105" t="s">
        <v>11</v>
      </c>
      <c r="DB6" s="105" t="s">
        <v>11</v>
      </c>
      <c r="DC6" s="105" t="s">
        <v>11</v>
      </c>
      <c r="DD6" s="105" t="s">
        <v>11</v>
      </c>
      <c r="DE6" s="105" t="s">
        <v>11</v>
      </c>
      <c r="DF6" s="105" t="s">
        <v>11</v>
      </c>
      <c r="DG6" s="105" t="s">
        <v>11</v>
      </c>
      <c r="DH6" s="41" t="s">
        <v>11</v>
      </c>
      <c r="DI6" s="41" t="s">
        <v>11</v>
      </c>
      <c r="DJ6" s="41" t="s">
        <v>11</v>
      </c>
      <c r="DK6" s="41" t="s">
        <v>1952</v>
      </c>
      <c r="DL6" s="41" t="s">
        <v>1969</v>
      </c>
      <c r="DM6" s="41" t="s">
        <v>11</v>
      </c>
      <c r="DN6" s="41" t="s">
        <v>11</v>
      </c>
      <c r="DO6" s="41" t="s">
        <v>11</v>
      </c>
      <c r="DP6" s="105" t="s">
        <v>2015</v>
      </c>
      <c r="DQ6" s="105" t="s">
        <v>2015</v>
      </c>
      <c r="DR6" s="105" t="s">
        <v>2015</v>
      </c>
      <c r="DS6" s="105" t="s">
        <v>2015</v>
      </c>
      <c r="DT6" s="105" t="s">
        <v>2015</v>
      </c>
      <c r="DU6" s="41" t="s">
        <v>2090</v>
      </c>
      <c r="DV6" s="105" t="s">
        <v>2106</v>
      </c>
      <c r="DW6" s="115">
        <v>2023</v>
      </c>
      <c r="DX6" s="115" t="s">
        <v>1405</v>
      </c>
      <c r="DY6" s="115" t="s">
        <v>1405</v>
      </c>
      <c r="DZ6" s="115" t="s">
        <v>1405</v>
      </c>
      <c r="EA6" s="115" t="s">
        <v>1405</v>
      </c>
      <c r="EB6" s="115" t="s">
        <v>1405</v>
      </c>
      <c r="EC6" s="115" t="s">
        <v>1405</v>
      </c>
      <c r="ED6" s="115" t="s">
        <v>11</v>
      </c>
      <c r="EE6" s="115" t="s">
        <v>11</v>
      </c>
      <c r="EF6" s="115" t="s">
        <v>11</v>
      </c>
      <c r="EG6" s="115" t="s">
        <v>11</v>
      </c>
      <c r="EH6" s="115" t="s">
        <v>2015</v>
      </c>
      <c r="EI6" s="187" t="s">
        <v>2315</v>
      </c>
      <c r="EJ6" s="187" t="s">
        <v>1150</v>
      </c>
      <c r="EK6" s="187" t="s">
        <v>1150</v>
      </c>
      <c r="EL6" s="115" t="s">
        <v>1150</v>
      </c>
      <c r="EM6" s="187" t="s">
        <v>1150</v>
      </c>
      <c r="EN6" s="115" t="s">
        <v>1405</v>
      </c>
      <c r="EO6" s="115" t="s">
        <v>11</v>
      </c>
      <c r="EP6" s="115" t="s">
        <v>11</v>
      </c>
      <c r="EQ6" s="115" t="s">
        <v>11</v>
      </c>
      <c r="ER6" s="115" t="s">
        <v>11</v>
      </c>
      <c r="ES6" s="115" t="s">
        <v>11</v>
      </c>
      <c r="ET6" s="115" t="s">
        <v>11</v>
      </c>
      <c r="EU6" s="115" t="s">
        <v>2487</v>
      </c>
      <c r="EV6" s="115" t="s">
        <v>2487</v>
      </c>
      <c r="EW6" s="115" t="s">
        <v>2521</v>
      </c>
      <c r="EX6" s="115" t="s">
        <v>11</v>
      </c>
      <c r="EY6" s="115" t="s">
        <v>11</v>
      </c>
      <c r="EZ6" s="115" t="s">
        <v>11</v>
      </c>
      <c r="FA6" s="41" t="s">
        <v>2606</v>
      </c>
      <c r="FB6" s="41" t="s">
        <v>2606</v>
      </c>
      <c r="FC6" s="41" t="s">
        <v>2606</v>
      </c>
      <c r="FD6" s="41" t="s">
        <v>2606</v>
      </c>
      <c r="FE6" s="41" t="s">
        <v>2315</v>
      </c>
      <c r="FF6" s="41" t="s">
        <v>1150</v>
      </c>
      <c r="FG6" s="41" t="s">
        <v>1150</v>
      </c>
      <c r="FH6" s="41" t="s">
        <v>1150</v>
      </c>
      <c r="FI6" s="41" t="s">
        <v>11</v>
      </c>
      <c r="FJ6" s="41" t="s">
        <v>2315</v>
      </c>
      <c r="FK6" s="41" t="s">
        <v>11</v>
      </c>
      <c r="FL6" s="41" t="s">
        <v>11</v>
      </c>
      <c r="FM6" s="200" t="s">
        <v>1150</v>
      </c>
      <c r="FN6" s="187" t="s">
        <v>1150</v>
      </c>
      <c r="FO6" s="187" t="s">
        <v>1150</v>
      </c>
      <c r="FP6" s="187" t="s">
        <v>1150</v>
      </c>
      <c r="FQ6" s="187" t="s">
        <v>1150</v>
      </c>
      <c r="FR6" s="187" t="s">
        <v>1150</v>
      </c>
      <c r="FS6" s="187" t="s">
        <v>1150</v>
      </c>
      <c r="FT6" s="187" t="s">
        <v>1150</v>
      </c>
      <c r="FU6" s="187" t="s">
        <v>1150</v>
      </c>
      <c r="FV6" s="115" t="s">
        <v>11</v>
      </c>
      <c r="FW6" s="115" t="s">
        <v>2487</v>
      </c>
      <c r="FX6" s="115" t="s">
        <v>11</v>
      </c>
      <c r="FY6" s="115" t="s">
        <v>11</v>
      </c>
      <c r="FZ6" s="115" t="s">
        <v>2015</v>
      </c>
      <c r="GA6" s="115" t="s">
        <v>1150</v>
      </c>
      <c r="GB6" s="115" t="s">
        <v>1150</v>
      </c>
      <c r="GC6" s="115" t="s">
        <v>1150</v>
      </c>
      <c r="GD6" s="187" t="s">
        <v>1150</v>
      </c>
      <c r="GE6" s="115" t="s">
        <v>11</v>
      </c>
      <c r="GF6" s="159" t="s">
        <v>1150</v>
      </c>
      <c r="GG6" s="208" t="s">
        <v>1150</v>
      </c>
      <c r="GH6" s="159" t="s">
        <v>1150</v>
      </c>
      <c r="GI6" s="159" t="s">
        <v>1150</v>
      </c>
      <c r="GJ6" s="159" t="s">
        <v>1150</v>
      </c>
      <c r="GK6" s="187" t="s">
        <v>1150</v>
      </c>
      <c r="GL6" s="115" t="s">
        <v>1150</v>
      </c>
      <c r="GM6" s="115" t="s">
        <v>1150</v>
      </c>
      <c r="GN6" s="115" t="s">
        <v>1150</v>
      </c>
      <c r="GO6" s="115" t="s">
        <v>11</v>
      </c>
      <c r="GP6" s="115" t="s">
        <v>2487</v>
      </c>
      <c r="GQ6" s="208" t="s">
        <v>11</v>
      </c>
      <c r="GR6" s="115" t="s">
        <v>11</v>
      </c>
      <c r="GS6" s="115" t="s">
        <v>11</v>
      </c>
      <c r="GT6" s="115" t="s">
        <v>11</v>
      </c>
      <c r="GU6" s="115" t="s">
        <v>11</v>
      </c>
      <c r="GV6" s="115" t="s">
        <v>11</v>
      </c>
      <c r="GW6" s="115" t="s">
        <v>11</v>
      </c>
      <c r="GX6" s="115" t="s">
        <v>11</v>
      </c>
      <c r="GY6" s="115" t="s">
        <v>11</v>
      </c>
      <c r="GZ6" s="187" t="s">
        <v>11</v>
      </c>
      <c r="HA6" s="159" t="s">
        <v>2106</v>
      </c>
      <c r="HB6" s="159" t="s">
        <v>1150</v>
      </c>
      <c r="HC6" s="159" t="s">
        <v>2106</v>
      </c>
      <c r="HD6" s="115" t="s">
        <v>11</v>
      </c>
      <c r="HE6" s="115" t="s">
        <v>11</v>
      </c>
      <c r="HF6" s="115" t="s">
        <v>11</v>
      </c>
      <c r="HG6" s="187" t="s">
        <v>1150</v>
      </c>
      <c r="HH6" s="115" t="s">
        <v>11</v>
      </c>
      <c r="HI6" s="200" t="s">
        <v>1150</v>
      </c>
      <c r="HJ6" s="115" t="s">
        <v>11</v>
      </c>
      <c r="HK6" s="115" t="s">
        <v>11</v>
      </c>
      <c r="HL6" s="115" t="s">
        <v>11</v>
      </c>
      <c r="HM6" s="115" t="s">
        <v>11</v>
      </c>
      <c r="HN6" s="115" t="s">
        <v>11</v>
      </c>
      <c r="HO6" s="115" t="s">
        <v>11</v>
      </c>
      <c r="HP6" s="115" t="s">
        <v>11</v>
      </c>
      <c r="HQ6" s="115" t="s">
        <v>11</v>
      </c>
      <c r="HR6" s="115" t="s">
        <v>11</v>
      </c>
      <c r="HS6" s="115" t="s">
        <v>11</v>
      </c>
      <c r="HT6" s="115" t="s">
        <v>11</v>
      </c>
      <c r="HU6" s="115" t="s">
        <v>11</v>
      </c>
      <c r="HV6" s="115" t="s">
        <v>11</v>
      </c>
      <c r="HW6" s="115" t="s">
        <v>11</v>
      </c>
      <c r="HX6" s="115" t="s">
        <v>11</v>
      </c>
      <c r="HY6" s="115" t="s">
        <v>11</v>
      </c>
      <c r="HZ6" s="115" t="s">
        <v>11</v>
      </c>
      <c r="IA6" s="115" t="s">
        <v>11</v>
      </c>
      <c r="IB6" s="115" t="s">
        <v>11</v>
      </c>
      <c r="IC6" s="115" t="s">
        <v>11</v>
      </c>
      <c r="ID6" s="115" t="s">
        <v>11</v>
      </c>
      <c r="IE6" s="115" t="s">
        <v>11</v>
      </c>
      <c r="IF6" s="185" t="s">
        <v>11</v>
      </c>
      <c r="IG6" s="185" t="s">
        <v>11</v>
      </c>
      <c r="IH6" s="185" t="s">
        <v>11</v>
      </c>
      <c r="II6" s="185" t="s">
        <v>1150</v>
      </c>
      <c r="IJ6" s="185" t="s">
        <v>11</v>
      </c>
      <c r="IK6" s="185" t="s">
        <v>11</v>
      </c>
      <c r="IL6" s="185" t="s">
        <v>11</v>
      </c>
      <c r="IM6" s="115" t="s">
        <v>11</v>
      </c>
      <c r="IN6" s="115" t="s">
        <v>11</v>
      </c>
      <c r="IO6" s="115" t="s">
        <v>11</v>
      </c>
      <c r="IP6" s="115" t="s">
        <v>11</v>
      </c>
      <c r="IQ6" s="115" t="s">
        <v>11</v>
      </c>
      <c r="IR6" s="115" t="s">
        <v>11</v>
      </c>
      <c r="IS6" s="115" t="s">
        <v>11</v>
      </c>
      <c r="IT6" s="115" t="s">
        <v>11</v>
      </c>
      <c r="IU6" s="115" t="s">
        <v>11</v>
      </c>
      <c r="IV6" s="115" t="s">
        <v>11</v>
      </c>
      <c r="IW6" s="115" t="s">
        <v>3987</v>
      </c>
      <c r="IX6" s="159"/>
      <c r="IY6" s="115" t="s">
        <v>11</v>
      </c>
      <c r="IZ6" s="115" t="s">
        <v>11</v>
      </c>
      <c r="JA6" s="115" t="s">
        <v>11</v>
      </c>
      <c r="JB6" s="115" t="s">
        <v>11</v>
      </c>
      <c r="JC6" s="115" t="s">
        <v>11</v>
      </c>
      <c r="JD6" s="115" t="s">
        <v>11</v>
      </c>
      <c r="JE6" s="115" t="s">
        <v>11</v>
      </c>
      <c r="JF6" s="115" t="s">
        <v>11</v>
      </c>
      <c r="JG6" s="115" t="s">
        <v>11</v>
      </c>
      <c r="JH6" s="115" t="s">
        <v>11</v>
      </c>
      <c r="JI6" s="115" t="s">
        <v>11</v>
      </c>
      <c r="JJ6" s="244" t="s">
        <v>1150</v>
      </c>
      <c r="JK6" s="244" t="s">
        <v>1150</v>
      </c>
      <c r="JL6" s="244" t="s">
        <v>1150</v>
      </c>
      <c r="JM6" s="244" t="s">
        <v>1150</v>
      </c>
      <c r="JN6" s="115" t="s">
        <v>11</v>
      </c>
      <c r="JO6" s="115" t="s">
        <v>11</v>
      </c>
      <c r="JP6" s="115" t="s">
        <v>11</v>
      </c>
      <c r="JQ6" s="159" t="s">
        <v>11</v>
      </c>
      <c r="JR6" s="115" t="s">
        <v>11</v>
      </c>
      <c r="JS6" s="115" t="s">
        <v>11</v>
      </c>
      <c r="JT6" s="115" t="s">
        <v>11</v>
      </c>
      <c r="JU6" s="115" t="s">
        <v>11</v>
      </c>
      <c r="JV6" s="115" t="s">
        <v>11</v>
      </c>
      <c r="JW6" s="115" t="s">
        <v>11</v>
      </c>
      <c r="JX6" s="159" t="s">
        <v>4284</v>
      </c>
      <c r="JY6" s="159" t="s">
        <v>4284</v>
      </c>
      <c r="JZ6" s="159" t="s">
        <v>4284</v>
      </c>
      <c r="KA6" s="159" t="s">
        <v>4284</v>
      </c>
      <c r="KB6" s="159" t="s">
        <v>4284</v>
      </c>
      <c r="KC6" s="159" t="s">
        <v>4284</v>
      </c>
      <c r="KD6" s="115" t="s">
        <v>11</v>
      </c>
      <c r="KE6" s="115" t="s">
        <v>11</v>
      </c>
      <c r="KF6" s="115" t="s">
        <v>11</v>
      </c>
      <c r="KG6" s="115" t="s">
        <v>11</v>
      </c>
      <c r="KH6" s="115" t="s">
        <v>11</v>
      </c>
      <c r="KI6" s="115" t="s">
        <v>11</v>
      </c>
      <c r="KJ6" s="115" t="s">
        <v>11</v>
      </c>
      <c r="KK6" s="115" t="s">
        <v>11</v>
      </c>
      <c r="KL6" s="115" t="s">
        <v>11</v>
      </c>
      <c r="KM6" s="115" t="s">
        <v>11</v>
      </c>
      <c r="KN6" s="187" t="s">
        <v>11</v>
      </c>
      <c r="KO6" s="115" t="s">
        <v>4481</v>
      </c>
      <c r="KP6" s="115" t="s">
        <v>4481</v>
      </c>
      <c r="KQ6" s="115" t="s">
        <v>4481</v>
      </c>
      <c r="KR6" s="115" t="s">
        <v>4513</v>
      </c>
      <c r="KS6" s="115" t="s">
        <v>4513</v>
      </c>
      <c r="KT6" s="115" t="s">
        <v>4513</v>
      </c>
      <c r="KU6" s="115" t="s">
        <v>4513</v>
      </c>
      <c r="KV6" s="115" t="s">
        <v>4513</v>
      </c>
      <c r="KW6" s="115" t="s">
        <v>11</v>
      </c>
      <c r="KX6" s="115" t="s">
        <v>11</v>
      </c>
      <c r="KY6" s="244" t="s">
        <v>4609</v>
      </c>
      <c r="KZ6" s="244" t="s">
        <v>4609</v>
      </c>
      <c r="LA6" s="187" t="s">
        <v>11</v>
      </c>
      <c r="LB6" s="115" t="s">
        <v>11</v>
      </c>
      <c r="LC6" s="115" t="s">
        <v>11</v>
      </c>
      <c r="LD6" s="115" t="s">
        <v>11</v>
      </c>
      <c r="LE6" s="115" t="s">
        <v>11</v>
      </c>
      <c r="LF6" s="115" t="s">
        <v>11</v>
      </c>
      <c r="LG6" s="115" t="s">
        <v>11</v>
      </c>
      <c r="LH6" s="115" t="s">
        <v>11</v>
      </c>
      <c r="LI6" s="115" t="s">
        <v>11</v>
      </c>
      <c r="LJ6" s="115" t="s">
        <v>11</v>
      </c>
      <c r="LK6" s="115" t="s">
        <v>11</v>
      </c>
      <c r="LL6" s="187" t="s">
        <v>11</v>
      </c>
      <c r="LM6" s="120" t="s">
        <v>11</v>
      </c>
      <c r="LN6" s="264" t="s">
        <v>11</v>
      </c>
      <c r="LO6" s="115" t="s">
        <v>11</v>
      </c>
      <c r="LP6" s="115" t="s">
        <v>11</v>
      </c>
      <c r="LQ6" s="264" t="s">
        <v>11</v>
      </c>
      <c r="LR6" s="115" t="s">
        <v>11</v>
      </c>
      <c r="LS6" s="115" t="s">
        <v>11</v>
      </c>
      <c r="LT6" s="115" t="s">
        <v>11</v>
      </c>
      <c r="LU6" s="115" t="s">
        <v>11</v>
      </c>
      <c r="LV6" s="286" t="s">
        <v>11</v>
      </c>
      <c r="LW6" s="115" t="s">
        <v>11</v>
      </c>
      <c r="LX6" s="115" t="s">
        <v>11</v>
      </c>
      <c r="LY6" s="115" t="s">
        <v>11</v>
      </c>
      <c r="LZ6" s="115" t="s">
        <v>11</v>
      </c>
      <c r="MA6" s="115" t="s">
        <v>11</v>
      </c>
      <c r="MB6" s="115" t="s">
        <v>11</v>
      </c>
      <c r="MC6" s="115" t="s">
        <v>11</v>
      </c>
      <c r="MD6" s="115" t="s">
        <v>11</v>
      </c>
    </row>
    <row r="7" spans="1:342" ht="14.4" x14ac:dyDescent="0.3">
      <c r="A7" s="92">
        <v>4</v>
      </c>
      <c r="B7" s="307" t="s">
        <v>3</v>
      </c>
      <c r="C7" s="54" t="s">
        <v>451</v>
      </c>
      <c r="D7" s="29"/>
      <c r="E7" s="6" t="s">
        <v>845</v>
      </c>
      <c r="F7" s="105">
        <v>1</v>
      </c>
      <c r="G7" s="6" t="s">
        <v>845</v>
      </c>
      <c r="H7" s="6" t="s">
        <v>845</v>
      </c>
      <c r="I7" s="6" t="s">
        <v>845</v>
      </c>
      <c r="J7" s="6" t="s">
        <v>845</v>
      </c>
      <c r="K7" s="6" t="s">
        <v>845</v>
      </c>
      <c r="L7" s="41">
        <v>2</v>
      </c>
      <c r="M7" s="6" t="s">
        <v>845</v>
      </c>
      <c r="N7" s="6" t="s">
        <v>845</v>
      </c>
      <c r="O7" s="6" t="s">
        <v>845</v>
      </c>
      <c r="P7" s="6" t="s">
        <v>845</v>
      </c>
      <c r="Q7" s="6" t="s">
        <v>845</v>
      </c>
      <c r="R7" s="6" t="s">
        <v>845</v>
      </c>
      <c r="S7" s="6" t="s">
        <v>845</v>
      </c>
      <c r="T7" s="6" t="s">
        <v>845</v>
      </c>
      <c r="U7" s="6" t="s">
        <v>845</v>
      </c>
      <c r="V7" s="6" t="s">
        <v>845</v>
      </c>
      <c r="W7" s="6" t="s">
        <v>845</v>
      </c>
      <c r="X7" s="41">
        <v>2</v>
      </c>
      <c r="Y7" s="105">
        <v>2</v>
      </c>
      <c r="Z7" s="105">
        <v>2</v>
      </c>
      <c r="AA7" s="6" t="s">
        <v>845</v>
      </c>
      <c r="AB7" s="6" t="s">
        <v>845</v>
      </c>
      <c r="AC7" s="6" t="s">
        <v>845</v>
      </c>
      <c r="AD7" s="6" t="s">
        <v>845</v>
      </c>
      <c r="AE7" s="6" t="s">
        <v>845</v>
      </c>
      <c r="AF7" s="6" t="s">
        <v>845</v>
      </c>
      <c r="AG7" s="6" t="s">
        <v>845</v>
      </c>
      <c r="AH7" s="6" t="s">
        <v>845</v>
      </c>
      <c r="AI7" s="6" t="s">
        <v>845</v>
      </c>
      <c r="AJ7" s="6" t="s">
        <v>845</v>
      </c>
      <c r="AK7" s="6" t="s">
        <v>845</v>
      </c>
      <c r="AL7" s="6" t="s">
        <v>845</v>
      </c>
      <c r="AM7" s="6" t="s">
        <v>845</v>
      </c>
      <c r="AN7" s="6" t="s">
        <v>845</v>
      </c>
      <c r="AO7" s="6" t="s">
        <v>845</v>
      </c>
      <c r="AP7" s="6" t="s">
        <v>845</v>
      </c>
      <c r="AQ7" s="6" t="s">
        <v>845</v>
      </c>
      <c r="AR7" s="6" t="s">
        <v>845</v>
      </c>
      <c r="AS7" s="6" t="s">
        <v>845</v>
      </c>
      <c r="AT7" s="6" t="s">
        <v>845</v>
      </c>
      <c r="AU7" s="6" t="s">
        <v>845</v>
      </c>
      <c r="AV7" s="6" t="s">
        <v>845</v>
      </c>
      <c r="AW7" s="6" t="s">
        <v>845</v>
      </c>
      <c r="AX7" s="6">
        <v>3</v>
      </c>
      <c r="AY7" s="6" t="s">
        <v>845</v>
      </c>
      <c r="AZ7" s="6" t="s">
        <v>845</v>
      </c>
      <c r="BA7" s="6" t="s">
        <v>845</v>
      </c>
      <c r="BB7" s="6" t="s">
        <v>845</v>
      </c>
      <c r="BC7" s="6">
        <v>4</v>
      </c>
      <c r="BD7" s="6">
        <v>4</v>
      </c>
      <c r="BE7" s="6">
        <v>4</v>
      </c>
      <c r="BF7" s="6">
        <v>4</v>
      </c>
      <c r="BG7" s="6">
        <v>4</v>
      </c>
      <c r="BH7" s="6">
        <v>4</v>
      </c>
      <c r="BI7" s="6" t="s">
        <v>845</v>
      </c>
      <c r="BJ7" s="6" t="s">
        <v>845</v>
      </c>
      <c r="BK7" s="105">
        <v>1</v>
      </c>
      <c r="BL7" s="6" t="s">
        <v>845</v>
      </c>
      <c r="BM7" s="37">
        <v>5</v>
      </c>
      <c r="BN7" s="37">
        <v>5</v>
      </c>
      <c r="BO7" s="37">
        <v>5</v>
      </c>
      <c r="BP7" s="37">
        <v>5</v>
      </c>
      <c r="BQ7" s="37">
        <v>5</v>
      </c>
      <c r="BR7" s="117" t="s">
        <v>845</v>
      </c>
      <c r="BS7" s="105" t="s">
        <v>845</v>
      </c>
      <c r="BT7" s="105">
        <v>12</v>
      </c>
      <c r="BU7" s="115">
        <v>12</v>
      </c>
      <c r="BV7" s="115">
        <v>12</v>
      </c>
      <c r="BW7" s="115" t="s">
        <v>845</v>
      </c>
      <c r="BX7" s="115">
        <v>12</v>
      </c>
      <c r="BY7" s="115">
        <v>12</v>
      </c>
      <c r="BZ7" s="115">
        <v>12</v>
      </c>
      <c r="CA7" s="41" t="s">
        <v>845</v>
      </c>
      <c r="CB7" s="41" t="s">
        <v>845</v>
      </c>
      <c r="CC7" s="41" t="s">
        <v>845</v>
      </c>
      <c r="CD7" s="41">
        <v>15</v>
      </c>
      <c r="CE7" s="41" t="s">
        <v>845</v>
      </c>
      <c r="CF7" s="41" t="s">
        <v>845</v>
      </c>
      <c r="CG7" s="41" t="s">
        <v>845</v>
      </c>
      <c r="CH7" s="41" t="s">
        <v>845</v>
      </c>
      <c r="CI7" s="41">
        <v>16</v>
      </c>
      <c r="CJ7" s="41">
        <v>17</v>
      </c>
      <c r="CK7" s="41">
        <v>17</v>
      </c>
      <c r="CL7" s="41">
        <v>17</v>
      </c>
      <c r="CM7" s="41">
        <v>16</v>
      </c>
      <c r="CN7" s="41">
        <v>15</v>
      </c>
      <c r="CO7" s="41">
        <v>16</v>
      </c>
      <c r="CP7" s="41">
        <v>16</v>
      </c>
      <c r="CQ7" s="41">
        <v>16</v>
      </c>
      <c r="CR7" s="41">
        <v>15</v>
      </c>
      <c r="CS7" s="41" t="s">
        <v>845</v>
      </c>
      <c r="CT7" s="41" t="s">
        <v>845</v>
      </c>
      <c r="CU7" s="41" t="s">
        <v>845</v>
      </c>
      <c r="CV7" s="41">
        <v>15</v>
      </c>
      <c r="CW7" s="41" t="s">
        <v>845</v>
      </c>
      <c r="CX7" s="41" t="s">
        <v>845</v>
      </c>
      <c r="CY7" s="41" t="s">
        <v>845</v>
      </c>
      <c r="CZ7" s="41" t="s">
        <v>845</v>
      </c>
      <c r="DA7" s="41" t="s">
        <v>845</v>
      </c>
      <c r="DB7" s="41" t="s">
        <v>845</v>
      </c>
      <c r="DC7" s="41" t="s">
        <v>845</v>
      </c>
      <c r="DD7" s="41" t="s">
        <v>845</v>
      </c>
      <c r="DE7" s="41" t="s">
        <v>845</v>
      </c>
      <c r="DF7" s="41" t="s">
        <v>845</v>
      </c>
      <c r="DG7" s="41" t="s">
        <v>845</v>
      </c>
      <c r="DH7" s="41" t="s">
        <v>845</v>
      </c>
      <c r="DI7" s="41" t="s">
        <v>845</v>
      </c>
      <c r="DJ7" s="41" t="s">
        <v>845</v>
      </c>
      <c r="DK7" s="41" t="s">
        <v>845</v>
      </c>
      <c r="DL7" s="41" t="s">
        <v>845</v>
      </c>
      <c r="DM7" s="41" t="s">
        <v>845</v>
      </c>
      <c r="DN7" s="41" t="s">
        <v>845</v>
      </c>
      <c r="DO7" s="41" t="s">
        <v>845</v>
      </c>
      <c r="DP7" s="41">
        <v>18</v>
      </c>
      <c r="DQ7" s="105">
        <v>18</v>
      </c>
      <c r="DR7" s="105">
        <v>18</v>
      </c>
      <c r="DS7" s="105">
        <v>18</v>
      </c>
      <c r="DT7" s="105">
        <v>18</v>
      </c>
      <c r="DU7" s="41" t="s">
        <v>845</v>
      </c>
      <c r="DV7" s="105" t="s">
        <v>845</v>
      </c>
      <c r="DW7" s="115" t="s">
        <v>845</v>
      </c>
      <c r="DX7" s="115" t="s">
        <v>845</v>
      </c>
      <c r="DY7" s="115" t="s">
        <v>845</v>
      </c>
      <c r="DZ7" s="115" t="s">
        <v>845</v>
      </c>
      <c r="EA7" s="115" t="s">
        <v>845</v>
      </c>
      <c r="EB7" s="115" t="s">
        <v>845</v>
      </c>
      <c r="EC7" s="115" t="s">
        <v>845</v>
      </c>
      <c r="ED7" s="115" t="s">
        <v>845</v>
      </c>
      <c r="EE7" s="115" t="s">
        <v>845</v>
      </c>
      <c r="EF7" s="115" t="s">
        <v>845</v>
      </c>
      <c r="EG7" s="115" t="s">
        <v>845</v>
      </c>
      <c r="EH7" s="115">
        <v>18</v>
      </c>
      <c r="EI7" s="187">
        <v>20</v>
      </c>
      <c r="EJ7" s="187">
        <v>20</v>
      </c>
      <c r="EK7" s="187">
        <v>20</v>
      </c>
      <c r="EL7" s="115">
        <v>21</v>
      </c>
      <c r="EM7" s="187">
        <v>20</v>
      </c>
      <c r="EN7" s="115" t="s">
        <v>845</v>
      </c>
      <c r="EO7" s="115" t="s">
        <v>845</v>
      </c>
      <c r="EP7" s="115" t="s">
        <v>845</v>
      </c>
      <c r="EQ7" s="115" t="s">
        <v>845</v>
      </c>
      <c r="ER7" s="115" t="s">
        <v>845</v>
      </c>
      <c r="ES7" s="115" t="s">
        <v>845</v>
      </c>
      <c r="ET7" s="115" t="s">
        <v>845</v>
      </c>
      <c r="EU7" s="115" t="s">
        <v>845</v>
      </c>
      <c r="EV7" s="115" t="s">
        <v>845</v>
      </c>
      <c r="EW7" s="115" t="s">
        <v>845</v>
      </c>
      <c r="EX7" s="115" t="s">
        <v>845</v>
      </c>
      <c r="EY7" s="115" t="s">
        <v>845</v>
      </c>
      <c r="EZ7" s="115" t="s">
        <v>845</v>
      </c>
      <c r="FA7" s="41">
        <v>26</v>
      </c>
      <c r="FB7" s="41">
        <v>26</v>
      </c>
      <c r="FC7" s="41">
        <v>26</v>
      </c>
      <c r="FD7" s="41">
        <v>26</v>
      </c>
      <c r="FE7" s="41">
        <v>20</v>
      </c>
      <c r="FF7" s="41">
        <v>25</v>
      </c>
      <c r="FG7" s="41">
        <v>25</v>
      </c>
      <c r="FH7" s="41">
        <v>25</v>
      </c>
      <c r="FI7" s="41" t="s">
        <v>845</v>
      </c>
      <c r="FJ7" s="41">
        <v>20</v>
      </c>
      <c r="FK7" s="41">
        <v>27</v>
      </c>
      <c r="FL7" s="41">
        <v>27</v>
      </c>
      <c r="FM7" s="200">
        <v>21</v>
      </c>
      <c r="FN7" s="187">
        <v>20</v>
      </c>
      <c r="FO7" s="187">
        <v>20</v>
      </c>
      <c r="FP7" s="187">
        <v>20</v>
      </c>
      <c r="FQ7" s="187">
        <v>20</v>
      </c>
      <c r="FR7" s="187">
        <v>20</v>
      </c>
      <c r="FS7" s="187">
        <v>20</v>
      </c>
      <c r="FT7" s="187">
        <v>20</v>
      </c>
      <c r="FU7" s="187">
        <v>20</v>
      </c>
      <c r="FV7" s="115" t="s">
        <v>845</v>
      </c>
      <c r="FW7" s="115" t="s">
        <v>845</v>
      </c>
      <c r="FX7" s="115" t="s">
        <v>845</v>
      </c>
      <c r="FY7" s="115">
        <v>27</v>
      </c>
      <c r="FZ7" s="115">
        <v>18</v>
      </c>
      <c r="GA7" s="115">
        <v>24</v>
      </c>
      <c r="GB7" s="115">
        <v>24</v>
      </c>
      <c r="GC7" s="115">
        <v>24</v>
      </c>
      <c r="GD7" s="187">
        <v>20</v>
      </c>
      <c r="GE7" s="115" t="s">
        <v>845</v>
      </c>
      <c r="GF7" s="159" t="s">
        <v>845</v>
      </c>
      <c r="GG7" s="208">
        <v>20</v>
      </c>
      <c r="GH7" s="208">
        <v>20</v>
      </c>
      <c r="GI7" s="208">
        <v>20</v>
      </c>
      <c r="GJ7" s="159" t="s">
        <v>845</v>
      </c>
      <c r="GK7" s="187">
        <v>20</v>
      </c>
      <c r="GL7" s="115">
        <v>20</v>
      </c>
      <c r="GM7" s="115" t="s">
        <v>845</v>
      </c>
      <c r="GN7" s="115">
        <v>24</v>
      </c>
      <c r="GO7" s="115" t="s">
        <v>845</v>
      </c>
      <c r="GP7" s="115" t="s">
        <v>845</v>
      </c>
      <c r="GQ7" s="208" t="s">
        <v>845</v>
      </c>
      <c r="GR7" s="115" t="s">
        <v>845</v>
      </c>
      <c r="GS7" s="115" t="s">
        <v>845</v>
      </c>
      <c r="GT7" s="115" t="s">
        <v>845</v>
      </c>
      <c r="GU7" s="115" t="s">
        <v>845</v>
      </c>
      <c r="GV7" s="115" t="s">
        <v>845</v>
      </c>
      <c r="GW7" s="115" t="s">
        <v>845</v>
      </c>
      <c r="GX7" s="115" t="s">
        <v>845</v>
      </c>
      <c r="GY7" s="115" t="s">
        <v>845</v>
      </c>
      <c r="GZ7" s="187" t="s">
        <v>845</v>
      </c>
      <c r="HA7" s="159" t="s">
        <v>845</v>
      </c>
      <c r="HB7" s="159">
        <v>21</v>
      </c>
      <c r="HC7" s="159" t="s">
        <v>845</v>
      </c>
      <c r="HD7" s="115" t="s">
        <v>845</v>
      </c>
      <c r="HE7" s="115" t="s">
        <v>845</v>
      </c>
      <c r="HF7" s="115" t="s">
        <v>845</v>
      </c>
      <c r="HG7" s="187">
        <v>21</v>
      </c>
      <c r="HH7" s="115" t="s">
        <v>845</v>
      </c>
      <c r="HI7" s="200">
        <v>21</v>
      </c>
      <c r="HJ7" s="115" t="s">
        <v>845</v>
      </c>
      <c r="HK7" s="115" t="s">
        <v>845</v>
      </c>
      <c r="HL7" s="115">
        <v>24</v>
      </c>
      <c r="HM7" s="115">
        <v>24</v>
      </c>
      <c r="HN7" s="115" t="s">
        <v>845</v>
      </c>
      <c r="HO7" s="115">
        <v>30</v>
      </c>
      <c r="HP7" s="115">
        <v>29</v>
      </c>
      <c r="HQ7" s="115">
        <v>29</v>
      </c>
      <c r="HR7" s="115" t="s">
        <v>845</v>
      </c>
      <c r="HS7" s="115" t="s">
        <v>845</v>
      </c>
      <c r="HT7" s="115" t="s">
        <v>845</v>
      </c>
      <c r="HU7" s="115">
        <v>29</v>
      </c>
      <c r="HV7" s="115">
        <v>28</v>
      </c>
      <c r="HW7" s="115" t="s">
        <v>845</v>
      </c>
      <c r="HX7" s="115">
        <v>30</v>
      </c>
      <c r="HY7" s="115" t="s">
        <v>845</v>
      </c>
      <c r="HZ7" s="115" t="s">
        <v>845</v>
      </c>
      <c r="IA7" s="115">
        <v>30</v>
      </c>
      <c r="IB7" s="115">
        <v>32</v>
      </c>
      <c r="IC7" s="115" t="s">
        <v>845</v>
      </c>
      <c r="ID7" s="115" t="s">
        <v>845</v>
      </c>
      <c r="IE7" s="115" t="s">
        <v>845</v>
      </c>
      <c r="IF7" s="185">
        <v>31</v>
      </c>
      <c r="IG7" s="183">
        <v>20</v>
      </c>
      <c r="IH7" s="183">
        <v>20</v>
      </c>
      <c r="II7" s="185">
        <v>24</v>
      </c>
      <c r="IJ7" s="185">
        <v>24</v>
      </c>
      <c r="IK7" s="185">
        <v>32</v>
      </c>
      <c r="IL7" s="185">
        <v>31</v>
      </c>
      <c r="IM7" s="115" t="s">
        <v>845</v>
      </c>
      <c r="IN7" s="115">
        <v>31</v>
      </c>
      <c r="IO7" s="159">
        <v>20</v>
      </c>
      <c r="IP7" s="159">
        <v>20</v>
      </c>
      <c r="IQ7" s="115">
        <v>32</v>
      </c>
      <c r="IR7" s="115">
        <v>31</v>
      </c>
      <c r="IS7" s="115" t="s">
        <v>845</v>
      </c>
      <c r="IT7" s="115" t="s">
        <v>845</v>
      </c>
      <c r="IU7" s="115" t="s">
        <v>845</v>
      </c>
      <c r="IV7" s="115" t="s">
        <v>845</v>
      </c>
      <c r="IW7" s="115" t="s">
        <v>845</v>
      </c>
      <c r="IX7" s="159"/>
      <c r="IY7" s="115">
        <v>34</v>
      </c>
      <c r="IZ7" s="115">
        <v>34</v>
      </c>
      <c r="JA7" s="115">
        <v>35</v>
      </c>
      <c r="JB7" s="115">
        <v>34</v>
      </c>
      <c r="JC7" s="115">
        <v>35</v>
      </c>
      <c r="JD7" s="115">
        <v>35</v>
      </c>
      <c r="JE7" s="115">
        <v>34</v>
      </c>
      <c r="JF7" s="115">
        <v>35</v>
      </c>
      <c r="JG7" s="115">
        <v>34</v>
      </c>
      <c r="JH7" s="115">
        <v>35</v>
      </c>
      <c r="JI7" s="115">
        <v>35</v>
      </c>
      <c r="JJ7" s="245">
        <v>24</v>
      </c>
      <c r="JK7" s="245">
        <v>24</v>
      </c>
      <c r="JL7" s="245">
        <v>24</v>
      </c>
      <c r="JM7" s="245">
        <v>24</v>
      </c>
      <c r="JN7" s="115" t="s">
        <v>845</v>
      </c>
      <c r="JO7" s="115" t="s">
        <v>845</v>
      </c>
      <c r="JP7" s="115">
        <v>35</v>
      </c>
      <c r="JQ7" s="159" t="s">
        <v>845</v>
      </c>
      <c r="JR7" s="115" t="s">
        <v>845</v>
      </c>
      <c r="JS7" s="115">
        <v>35</v>
      </c>
      <c r="JT7" s="115">
        <v>34</v>
      </c>
      <c r="JU7" s="115">
        <v>35</v>
      </c>
      <c r="JV7" s="115">
        <v>35</v>
      </c>
      <c r="JW7" s="115">
        <v>38</v>
      </c>
      <c r="JX7" s="115">
        <v>35</v>
      </c>
      <c r="JY7" s="115">
        <v>35</v>
      </c>
      <c r="JZ7" s="115">
        <v>35</v>
      </c>
      <c r="KA7" s="115">
        <v>35</v>
      </c>
      <c r="KB7" s="115">
        <v>35</v>
      </c>
      <c r="KC7" s="115">
        <v>35</v>
      </c>
      <c r="KD7" s="115">
        <v>34</v>
      </c>
      <c r="KE7" s="115">
        <v>38</v>
      </c>
      <c r="KF7" s="115">
        <v>38</v>
      </c>
      <c r="KG7" s="115" t="s">
        <v>845</v>
      </c>
      <c r="KH7" s="115" t="s">
        <v>845</v>
      </c>
      <c r="KI7" s="115">
        <v>33</v>
      </c>
      <c r="KJ7" s="115" t="s">
        <v>845</v>
      </c>
      <c r="KK7" s="115" t="s">
        <v>845</v>
      </c>
      <c r="KL7" s="115" t="s">
        <v>845</v>
      </c>
      <c r="KM7" s="115">
        <v>30</v>
      </c>
      <c r="KN7" s="187">
        <v>41</v>
      </c>
      <c r="KO7" s="115">
        <v>36</v>
      </c>
      <c r="KP7" s="115">
        <v>36</v>
      </c>
      <c r="KQ7" s="115">
        <v>36</v>
      </c>
      <c r="KR7" s="115">
        <v>37</v>
      </c>
      <c r="KS7" s="115">
        <v>37</v>
      </c>
      <c r="KT7" s="115">
        <v>37</v>
      </c>
      <c r="KU7" s="115">
        <v>37</v>
      </c>
      <c r="KV7" s="115">
        <v>37</v>
      </c>
      <c r="KW7" s="115">
        <v>35</v>
      </c>
      <c r="KX7" s="115">
        <v>35</v>
      </c>
      <c r="KY7" s="245">
        <v>24</v>
      </c>
      <c r="KZ7" s="245">
        <v>24</v>
      </c>
      <c r="LA7" s="187">
        <v>46</v>
      </c>
      <c r="LB7" s="115">
        <v>41</v>
      </c>
      <c r="LC7" s="115">
        <v>19</v>
      </c>
      <c r="LD7" s="115">
        <v>19</v>
      </c>
      <c r="LE7" s="115">
        <v>19</v>
      </c>
      <c r="LF7" s="115">
        <v>19</v>
      </c>
      <c r="LG7" s="115">
        <v>47</v>
      </c>
      <c r="LH7" s="115">
        <v>18</v>
      </c>
      <c r="LI7" s="115">
        <v>20</v>
      </c>
      <c r="LJ7" s="115">
        <v>20</v>
      </c>
      <c r="LK7" s="115">
        <v>18</v>
      </c>
      <c r="LL7" s="187">
        <v>18</v>
      </c>
      <c r="LM7" s="120">
        <v>18</v>
      </c>
      <c r="LN7" s="265">
        <v>18</v>
      </c>
      <c r="LO7" s="115">
        <v>30</v>
      </c>
      <c r="LP7" s="115">
        <v>48</v>
      </c>
      <c r="LQ7" s="265">
        <v>46</v>
      </c>
      <c r="LR7" s="115">
        <v>47</v>
      </c>
      <c r="LS7" s="115" t="s">
        <v>845</v>
      </c>
      <c r="LT7" s="115">
        <v>41</v>
      </c>
      <c r="LU7" s="115">
        <v>41</v>
      </c>
      <c r="LV7" s="286">
        <v>41</v>
      </c>
      <c r="LW7" s="115">
        <v>41</v>
      </c>
      <c r="LX7" s="115">
        <v>41</v>
      </c>
      <c r="LY7" s="115" t="s">
        <v>845</v>
      </c>
      <c r="LZ7" s="115" t="s">
        <v>845</v>
      </c>
      <c r="MA7" s="115" t="s">
        <v>845</v>
      </c>
      <c r="MB7" s="115" t="s">
        <v>845</v>
      </c>
      <c r="MC7" s="115" t="s">
        <v>845</v>
      </c>
      <c r="MD7" s="115">
        <v>49</v>
      </c>
    </row>
    <row r="8" spans="1:342" ht="14.4" x14ac:dyDescent="0.3">
      <c r="A8" s="92">
        <v>5</v>
      </c>
      <c r="B8" s="307"/>
      <c r="C8" s="54" t="s">
        <v>458</v>
      </c>
      <c r="D8" s="40" t="s">
        <v>442</v>
      </c>
      <c r="E8" s="5">
        <v>1</v>
      </c>
      <c r="F8" s="1">
        <v>2</v>
      </c>
      <c r="G8" s="2">
        <v>3</v>
      </c>
      <c r="H8" s="2">
        <v>3</v>
      </c>
      <c r="I8" s="1">
        <v>4</v>
      </c>
      <c r="J8" s="2">
        <v>4</v>
      </c>
      <c r="K8" s="2">
        <v>5</v>
      </c>
      <c r="L8" s="2">
        <v>3</v>
      </c>
      <c r="M8" s="2">
        <v>3</v>
      </c>
      <c r="N8" s="2">
        <v>3</v>
      </c>
      <c r="O8" s="2">
        <v>3</v>
      </c>
      <c r="P8" s="2">
        <v>3</v>
      </c>
      <c r="Q8" s="2">
        <v>3</v>
      </c>
      <c r="R8" s="2">
        <v>3</v>
      </c>
      <c r="S8" s="2">
        <v>3</v>
      </c>
      <c r="T8" s="2">
        <v>3</v>
      </c>
      <c r="U8" s="1">
        <v>4</v>
      </c>
      <c r="V8" s="1">
        <v>4</v>
      </c>
      <c r="W8" s="1">
        <v>4</v>
      </c>
      <c r="X8" s="1">
        <v>4</v>
      </c>
      <c r="Y8" s="2">
        <v>3</v>
      </c>
      <c r="Z8" s="1">
        <v>4</v>
      </c>
      <c r="AA8" s="2">
        <v>3</v>
      </c>
      <c r="AB8" s="2">
        <v>3</v>
      </c>
      <c r="AC8" s="2">
        <v>6</v>
      </c>
      <c r="AD8" s="2">
        <v>6</v>
      </c>
      <c r="AE8" s="2">
        <v>6</v>
      </c>
      <c r="AF8" s="2">
        <v>6</v>
      </c>
      <c r="AG8" s="2">
        <v>6</v>
      </c>
      <c r="AH8" s="2">
        <v>3</v>
      </c>
      <c r="AI8" s="2">
        <v>3</v>
      </c>
      <c r="AJ8" s="2">
        <v>3</v>
      </c>
      <c r="AK8" s="2">
        <v>3</v>
      </c>
      <c r="AL8" s="2">
        <v>3</v>
      </c>
      <c r="AM8" s="2">
        <v>3</v>
      </c>
      <c r="AN8" s="1">
        <v>2</v>
      </c>
      <c r="AO8" s="2">
        <v>6</v>
      </c>
      <c r="AP8" s="2">
        <v>6</v>
      </c>
      <c r="AQ8" s="1">
        <v>2</v>
      </c>
      <c r="AR8" s="2">
        <v>6</v>
      </c>
      <c r="AS8" s="1">
        <v>2</v>
      </c>
      <c r="AT8" s="5">
        <v>1</v>
      </c>
      <c r="AU8" s="2">
        <v>3</v>
      </c>
      <c r="AV8" s="2">
        <v>3</v>
      </c>
      <c r="AW8" s="2">
        <v>3</v>
      </c>
      <c r="AX8" s="5">
        <v>1</v>
      </c>
      <c r="AY8" s="1">
        <v>2</v>
      </c>
      <c r="AZ8" s="1">
        <v>2</v>
      </c>
      <c r="BA8" s="2">
        <v>3</v>
      </c>
      <c r="BB8" s="2">
        <v>3</v>
      </c>
      <c r="BC8" s="5">
        <v>1</v>
      </c>
      <c r="BD8" s="5">
        <v>1</v>
      </c>
      <c r="BE8" s="5">
        <v>1</v>
      </c>
      <c r="BF8" s="5">
        <v>1</v>
      </c>
      <c r="BG8" s="5">
        <v>1</v>
      </c>
      <c r="BH8" s="5">
        <v>1</v>
      </c>
      <c r="BI8" s="2">
        <v>3</v>
      </c>
      <c r="BJ8" s="2">
        <v>3</v>
      </c>
      <c r="BK8" s="1">
        <v>2</v>
      </c>
      <c r="BL8" s="26">
        <v>1</v>
      </c>
      <c r="BM8" s="110">
        <v>1</v>
      </c>
      <c r="BN8" s="110">
        <v>1</v>
      </c>
      <c r="BO8" s="110">
        <v>1</v>
      </c>
      <c r="BP8" s="110">
        <v>1</v>
      </c>
      <c r="BQ8" s="110">
        <v>1</v>
      </c>
      <c r="BR8" s="117">
        <v>7</v>
      </c>
      <c r="BS8" s="105">
        <v>3</v>
      </c>
      <c r="BT8" s="105">
        <v>2</v>
      </c>
      <c r="BU8" s="115">
        <v>2</v>
      </c>
      <c r="BV8" s="115">
        <v>1</v>
      </c>
      <c r="BW8" s="115">
        <v>1</v>
      </c>
      <c r="BX8" s="115">
        <v>1</v>
      </c>
      <c r="BY8" s="115">
        <v>1</v>
      </c>
      <c r="BZ8" s="115">
        <v>1</v>
      </c>
      <c r="CA8" s="41">
        <v>4</v>
      </c>
      <c r="CB8" s="41">
        <v>1</v>
      </c>
      <c r="CC8" s="41">
        <v>2</v>
      </c>
      <c r="CD8" s="41">
        <v>1</v>
      </c>
      <c r="CE8" s="41">
        <v>3</v>
      </c>
      <c r="CF8" s="41">
        <v>3</v>
      </c>
      <c r="CG8" s="41">
        <v>6</v>
      </c>
      <c r="CH8" s="41">
        <v>6</v>
      </c>
      <c r="CI8" s="41">
        <v>6</v>
      </c>
      <c r="CJ8" s="41">
        <v>5</v>
      </c>
      <c r="CK8" s="41">
        <v>4</v>
      </c>
      <c r="CL8" s="41">
        <v>4</v>
      </c>
      <c r="CM8" s="41">
        <v>4</v>
      </c>
      <c r="CN8" s="41">
        <v>3</v>
      </c>
      <c r="CO8" s="41">
        <v>6</v>
      </c>
      <c r="CP8" s="41">
        <v>1</v>
      </c>
      <c r="CQ8" s="41">
        <v>6</v>
      </c>
      <c r="CR8" s="41">
        <v>5</v>
      </c>
      <c r="CS8" s="41">
        <v>6</v>
      </c>
      <c r="CT8" s="41">
        <v>3</v>
      </c>
      <c r="CU8" s="41">
        <v>3</v>
      </c>
      <c r="CV8" s="41">
        <v>6</v>
      </c>
      <c r="CW8" s="41">
        <v>6</v>
      </c>
      <c r="CX8" s="41">
        <v>3</v>
      </c>
      <c r="CY8" s="41">
        <v>3</v>
      </c>
      <c r="CZ8" s="41">
        <v>3</v>
      </c>
      <c r="DA8" s="41">
        <v>3</v>
      </c>
      <c r="DB8" s="41">
        <v>3</v>
      </c>
      <c r="DC8" s="41">
        <v>3</v>
      </c>
      <c r="DD8" s="41">
        <v>3</v>
      </c>
      <c r="DE8" s="41">
        <v>3</v>
      </c>
      <c r="DF8" s="41">
        <v>3</v>
      </c>
      <c r="DG8" s="41">
        <v>3</v>
      </c>
      <c r="DH8" s="41">
        <v>3</v>
      </c>
      <c r="DI8" s="41">
        <v>3</v>
      </c>
      <c r="DJ8" s="41">
        <v>3</v>
      </c>
      <c r="DK8" s="41">
        <v>3</v>
      </c>
      <c r="DL8" s="41">
        <v>3</v>
      </c>
      <c r="DM8" s="41">
        <v>3</v>
      </c>
      <c r="DN8" s="41">
        <v>3</v>
      </c>
      <c r="DO8" s="41">
        <v>3</v>
      </c>
      <c r="DP8" s="41">
        <v>1</v>
      </c>
      <c r="DQ8" s="105">
        <v>1</v>
      </c>
      <c r="DR8" s="105">
        <v>2</v>
      </c>
      <c r="DS8" s="105">
        <v>2</v>
      </c>
      <c r="DT8" s="105">
        <v>2</v>
      </c>
      <c r="DU8" s="41">
        <v>3</v>
      </c>
      <c r="DV8" s="105">
        <v>1</v>
      </c>
      <c r="DW8" s="115">
        <v>3</v>
      </c>
      <c r="DX8" s="115">
        <v>3</v>
      </c>
      <c r="DY8" s="115">
        <v>3</v>
      </c>
      <c r="DZ8" s="115">
        <v>3</v>
      </c>
      <c r="EA8" s="115">
        <v>3</v>
      </c>
      <c r="EB8" s="115">
        <v>3</v>
      </c>
      <c r="EC8" s="115">
        <v>3</v>
      </c>
      <c r="ED8" s="115">
        <v>3</v>
      </c>
      <c r="EE8" s="115">
        <v>3</v>
      </c>
      <c r="EF8" s="115">
        <v>3</v>
      </c>
      <c r="EG8" s="115">
        <v>3</v>
      </c>
      <c r="EH8" s="115">
        <v>1</v>
      </c>
      <c r="EI8" s="187">
        <v>3</v>
      </c>
      <c r="EJ8" s="115">
        <v>3</v>
      </c>
      <c r="EK8" s="187">
        <v>3</v>
      </c>
      <c r="EL8" s="115">
        <v>6</v>
      </c>
      <c r="EM8" s="187">
        <v>3</v>
      </c>
      <c r="EN8" s="115">
        <v>3</v>
      </c>
      <c r="EO8" s="115">
        <v>3</v>
      </c>
      <c r="EP8" s="115">
        <v>3</v>
      </c>
      <c r="EQ8" s="115">
        <v>3</v>
      </c>
      <c r="ER8" s="115">
        <v>3</v>
      </c>
      <c r="ES8" s="115">
        <v>3</v>
      </c>
      <c r="ET8" s="115">
        <v>3</v>
      </c>
      <c r="EU8" s="115">
        <v>6</v>
      </c>
      <c r="EV8" s="115">
        <v>6</v>
      </c>
      <c r="EW8" s="115">
        <v>6</v>
      </c>
      <c r="EX8" s="115">
        <v>3</v>
      </c>
      <c r="EY8" s="115">
        <v>3</v>
      </c>
      <c r="EZ8" s="115">
        <v>3</v>
      </c>
      <c r="FA8" s="41">
        <v>3</v>
      </c>
      <c r="FB8" s="41">
        <v>2</v>
      </c>
      <c r="FC8" s="41">
        <v>3</v>
      </c>
      <c r="FD8" s="41">
        <v>2</v>
      </c>
      <c r="FE8" s="41">
        <v>4</v>
      </c>
      <c r="FF8" s="41">
        <v>1</v>
      </c>
      <c r="FG8" s="41">
        <v>1</v>
      </c>
      <c r="FH8" s="41">
        <v>2</v>
      </c>
      <c r="FI8" s="41">
        <v>3</v>
      </c>
      <c r="FJ8" s="41">
        <v>3</v>
      </c>
      <c r="FK8" s="41">
        <v>6</v>
      </c>
      <c r="FL8" s="41">
        <v>6</v>
      </c>
      <c r="FM8" s="200">
        <v>2</v>
      </c>
      <c r="FN8" s="187">
        <v>3</v>
      </c>
      <c r="FO8" s="187">
        <v>4</v>
      </c>
      <c r="FP8" s="187">
        <v>4</v>
      </c>
      <c r="FQ8" s="187">
        <v>4</v>
      </c>
      <c r="FR8" s="115">
        <v>3</v>
      </c>
      <c r="FS8" s="187">
        <v>3</v>
      </c>
      <c r="FT8" s="187">
        <v>3</v>
      </c>
      <c r="FU8" s="187">
        <v>3</v>
      </c>
      <c r="FV8" s="115">
        <v>6</v>
      </c>
      <c r="FW8" s="115">
        <v>6</v>
      </c>
      <c r="FX8" s="115">
        <v>3</v>
      </c>
      <c r="FY8" s="115">
        <v>6</v>
      </c>
      <c r="FZ8" s="115">
        <v>3</v>
      </c>
      <c r="GA8" s="115">
        <v>4</v>
      </c>
      <c r="GB8" s="115">
        <v>2</v>
      </c>
      <c r="GC8" s="115">
        <v>5</v>
      </c>
      <c r="GD8" s="187">
        <v>3</v>
      </c>
      <c r="GE8" s="115">
        <v>3</v>
      </c>
      <c r="GF8" s="159">
        <v>3</v>
      </c>
      <c r="GG8" s="208">
        <v>4</v>
      </c>
      <c r="GH8" s="159">
        <v>4</v>
      </c>
      <c r="GI8" s="159">
        <v>4</v>
      </c>
      <c r="GJ8" s="159">
        <v>3</v>
      </c>
      <c r="GK8" s="115">
        <v>3</v>
      </c>
      <c r="GL8" s="115">
        <v>3</v>
      </c>
      <c r="GM8" s="115">
        <v>6</v>
      </c>
      <c r="GN8" s="115">
        <v>1</v>
      </c>
      <c r="GO8" s="115">
        <v>6</v>
      </c>
      <c r="GP8" s="115">
        <v>3</v>
      </c>
      <c r="GQ8" s="208">
        <v>4</v>
      </c>
      <c r="GR8" s="115">
        <v>3</v>
      </c>
      <c r="GS8" s="115">
        <v>3</v>
      </c>
      <c r="GT8" s="115">
        <v>3</v>
      </c>
      <c r="GU8" s="115">
        <v>3</v>
      </c>
      <c r="GV8" s="115">
        <v>4</v>
      </c>
      <c r="GW8" s="115">
        <v>4</v>
      </c>
      <c r="GX8" s="115">
        <v>1</v>
      </c>
      <c r="GY8" s="115">
        <v>3</v>
      </c>
      <c r="GZ8" s="187">
        <v>3</v>
      </c>
      <c r="HA8" s="159">
        <v>1</v>
      </c>
      <c r="HB8" s="159">
        <v>3</v>
      </c>
      <c r="HC8" s="159">
        <v>1</v>
      </c>
      <c r="HD8" s="187">
        <v>3</v>
      </c>
      <c r="HE8" s="115">
        <v>3</v>
      </c>
      <c r="HF8" s="115">
        <v>3</v>
      </c>
      <c r="HG8" s="187">
        <v>4</v>
      </c>
      <c r="HH8" s="115">
        <v>3</v>
      </c>
      <c r="HI8" s="200">
        <v>4</v>
      </c>
      <c r="HJ8" s="115">
        <v>5</v>
      </c>
      <c r="HK8" s="115">
        <v>4</v>
      </c>
      <c r="HL8" s="115">
        <v>1</v>
      </c>
      <c r="HM8" s="115">
        <v>1</v>
      </c>
      <c r="HN8" s="115">
        <v>3</v>
      </c>
      <c r="HO8" s="115">
        <v>6</v>
      </c>
      <c r="HP8" s="115">
        <v>6</v>
      </c>
      <c r="HQ8" s="115">
        <v>6</v>
      </c>
      <c r="HR8" s="115">
        <v>2</v>
      </c>
      <c r="HS8" s="115">
        <v>3</v>
      </c>
      <c r="HT8" s="115">
        <v>3</v>
      </c>
      <c r="HU8" s="115">
        <v>6</v>
      </c>
      <c r="HV8" s="115">
        <v>6</v>
      </c>
      <c r="HW8" s="115">
        <v>6</v>
      </c>
      <c r="HX8" s="115">
        <v>6</v>
      </c>
      <c r="HY8" s="115">
        <v>6</v>
      </c>
      <c r="HZ8" s="115">
        <v>6</v>
      </c>
      <c r="IA8" s="115">
        <v>6</v>
      </c>
      <c r="IB8" s="115">
        <v>3</v>
      </c>
      <c r="IC8" s="115">
        <v>6</v>
      </c>
      <c r="ID8" s="115">
        <v>3</v>
      </c>
      <c r="IE8" s="115">
        <v>4</v>
      </c>
      <c r="IF8" s="185">
        <v>3</v>
      </c>
      <c r="IG8" s="183">
        <v>2</v>
      </c>
      <c r="IH8" s="183">
        <v>2</v>
      </c>
      <c r="II8" s="185">
        <v>3</v>
      </c>
      <c r="IJ8" s="185">
        <v>3</v>
      </c>
      <c r="IK8" s="185">
        <v>1</v>
      </c>
      <c r="IL8" s="185">
        <v>3</v>
      </c>
      <c r="IM8" s="115">
        <v>1</v>
      </c>
      <c r="IN8" s="115">
        <v>1</v>
      </c>
      <c r="IO8" s="159">
        <v>2</v>
      </c>
      <c r="IP8" s="159">
        <v>2</v>
      </c>
      <c r="IQ8" s="115">
        <v>3</v>
      </c>
      <c r="IR8" s="115">
        <v>1</v>
      </c>
      <c r="IS8" s="115">
        <v>3</v>
      </c>
      <c r="IT8" s="115">
        <v>1</v>
      </c>
      <c r="IU8" s="115">
        <v>1</v>
      </c>
      <c r="IV8" s="115">
        <v>1</v>
      </c>
      <c r="IW8" s="115">
        <v>1</v>
      </c>
      <c r="IX8" s="159"/>
      <c r="IY8" s="115">
        <v>1</v>
      </c>
      <c r="IZ8" s="115">
        <v>2</v>
      </c>
      <c r="JA8" s="115">
        <v>6</v>
      </c>
      <c r="JB8" s="115">
        <v>6</v>
      </c>
      <c r="JC8" s="115">
        <v>6</v>
      </c>
      <c r="JD8" s="115">
        <v>6</v>
      </c>
      <c r="JE8" s="115">
        <v>3</v>
      </c>
      <c r="JF8" s="115">
        <v>6</v>
      </c>
      <c r="JG8" s="115">
        <v>3</v>
      </c>
      <c r="JH8" s="115">
        <v>6</v>
      </c>
      <c r="JI8" s="115">
        <v>6</v>
      </c>
      <c r="JJ8" s="245">
        <v>1</v>
      </c>
      <c r="JK8" s="245">
        <v>1</v>
      </c>
      <c r="JL8" s="245">
        <v>4</v>
      </c>
      <c r="JM8" s="245">
        <v>5</v>
      </c>
      <c r="JN8" s="115">
        <v>3</v>
      </c>
      <c r="JO8" s="115">
        <v>6</v>
      </c>
      <c r="JP8" s="115">
        <v>6</v>
      </c>
      <c r="JQ8" s="159">
        <v>4</v>
      </c>
      <c r="JR8" s="115">
        <v>6</v>
      </c>
      <c r="JS8" s="115">
        <v>6</v>
      </c>
      <c r="JT8" s="115">
        <v>3</v>
      </c>
      <c r="JU8" s="115">
        <v>6</v>
      </c>
      <c r="JV8" s="115">
        <v>6</v>
      </c>
      <c r="JW8" s="115">
        <v>6</v>
      </c>
      <c r="JX8" s="115">
        <v>6</v>
      </c>
      <c r="JY8" s="115">
        <v>6</v>
      </c>
      <c r="JZ8" s="115">
        <v>6</v>
      </c>
      <c r="KA8" s="115">
        <v>6</v>
      </c>
      <c r="KB8" s="115">
        <v>6</v>
      </c>
      <c r="KC8" s="115">
        <v>6</v>
      </c>
      <c r="KD8" s="115">
        <v>3</v>
      </c>
      <c r="KE8" s="115">
        <v>6</v>
      </c>
      <c r="KF8" s="115">
        <v>6</v>
      </c>
      <c r="KG8" s="115">
        <v>3</v>
      </c>
      <c r="KH8" s="115">
        <v>3</v>
      </c>
      <c r="KI8" s="115">
        <v>3</v>
      </c>
      <c r="KJ8" s="115">
        <v>4</v>
      </c>
      <c r="KK8" s="115">
        <v>4</v>
      </c>
      <c r="KL8" s="115">
        <v>6</v>
      </c>
      <c r="KM8" s="115">
        <v>6</v>
      </c>
      <c r="KN8" s="187">
        <v>6</v>
      </c>
      <c r="KO8" s="115">
        <v>6</v>
      </c>
      <c r="KP8" s="115">
        <v>3</v>
      </c>
      <c r="KQ8" s="115">
        <v>4</v>
      </c>
      <c r="KR8" s="115">
        <v>3</v>
      </c>
      <c r="KS8" s="115">
        <v>3</v>
      </c>
      <c r="KT8" s="115">
        <v>1</v>
      </c>
      <c r="KU8" s="115">
        <v>1</v>
      </c>
      <c r="KV8" s="115">
        <v>2</v>
      </c>
      <c r="KW8" s="115">
        <v>6</v>
      </c>
      <c r="KX8" s="115">
        <v>6</v>
      </c>
      <c r="KY8" s="245">
        <v>1</v>
      </c>
      <c r="KZ8" s="245">
        <v>2</v>
      </c>
      <c r="LA8" s="187">
        <v>2</v>
      </c>
      <c r="LB8" s="115">
        <v>6</v>
      </c>
      <c r="LC8" s="115">
        <v>3</v>
      </c>
      <c r="LD8" s="115">
        <v>4</v>
      </c>
      <c r="LE8" s="115">
        <v>6</v>
      </c>
      <c r="LF8" s="115">
        <v>6</v>
      </c>
      <c r="LG8" s="115">
        <v>6</v>
      </c>
      <c r="LH8" s="115">
        <v>3</v>
      </c>
      <c r="LI8" s="115">
        <v>3</v>
      </c>
      <c r="LJ8" s="115">
        <v>3</v>
      </c>
      <c r="LK8" s="115">
        <v>3</v>
      </c>
      <c r="LL8" s="187">
        <v>2</v>
      </c>
      <c r="LM8" s="120">
        <v>6</v>
      </c>
      <c r="LN8" s="265">
        <v>2</v>
      </c>
      <c r="LO8" s="115">
        <v>6</v>
      </c>
      <c r="LP8" s="115">
        <v>1</v>
      </c>
      <c r="LQ8" s="265">
        <v>2</v>
      </c>
      <c r="LR8" s="115">
        <v>6</v>
      </c>
      <c r="LS8" s="115">
        <v>3</v>
      </c>
      <c r="LT8" s="115">
        <v>3</v>
      </c>
      <c r="LU8" s="115">
        <v>3</v>
      </c>
      <c r="LV8" s="286">
        <v>3</v>
      </c>
      <c r="LW8" s="115">
        <v>3</v>
      </c>
      <c r="LX8" s="115">
        <v>3</v>
      </c>
      <c r="LY8" s="115">
        <v>1</v>
      </c>
      <c r="LZ8" s="115">
        <v>3</v>
      </c>
      <c r="MA8" s="115">
        <v>3</v>
      </c>
      <c r="MB8" s="115">
        <v>3</v>
      </c>
      <c r="MC8" s="115">
        <v>1</v>
      </c>
      <c r="MD8" s="115">
        <v>1</v>
      </c>
    </row>
    <row r="9" spans="1:342" ht="28.2" x14ac:dyDescent="0.3">
      <c r="A9" s="92">
        <v>6</v>
      </c>
      <c r="B9" s="307"/>
      <c r="C9" s="54" t="s">
        <v>459</v>
      </c>
      <c r="D9" s="40" t="s">
        <v>442</v>
      </c>
      <c r="E9" s="5" t="s">
        <v>1</v>
      </c>
      <c r="F9" s="1" t="s">
        <v>4</v>
      </c>
      <c r="G9" s="2" t="s">
        <v>846</v>
      </c>
      <c r="H9" s="1" t="s">
        <v>57</v>
      </c>
      <c r="I9" s="1" t="s">
        <v>94</v>
      </c>
      <c r="J9" s="2" t="s">
        <v>94</v>
      </c>
      <c r="K9" s="2" t="s">
        <v>134</v>
      </c>
      <c r="L9" s="1" t="s">
        <v>57</v>
      </c>
      <c r="M9" s="1" t="s">
        <v>57</v>
      </c>
      <c r="N9" s="1" t="s">
        <v>57</v>
      </c>
      <c r="O9" s="1" t="s">
        <v>57</v>
      </c>
      <c r="P9" s="1" t="s">
        <v>57</v>
      </c>
      <c r="Q9" s="2" t="s">
        <v>846</v>
      </c>
      <c r="R9" s="2" t="s">
        <v>846</v>
      </c>
      <c r="S9" s="2" t="s">
        <v>846</v>
      </c>
      <c r="T9" s="2" t="s">
        <v>846</v>
      </c>
      <c r="U9" s="1" t="s">
        <v>94</v>
      </c>
      <c r="V9" s="1" t="s">
        <v>94</v>
      </c>
      <c r="W9" s="1" t="s">
        <v>94</v>
      </c>
      <c r="X9" s="1" t="s">
        <v>94</v>
      </c>
      <c r="Y9" s="1" t="s">
        <v>190</v>
      </c>
      <c r="Z9" s="1" t="s">
        <v>179</v>
      </c>
      <c r="AA9" s="1" t="s">
        <v>190</v>
      </c>
      <c r="AB9" s="2" t="s">
        <v>846</v>
      </c>
      <c r="AC9" s="2" t="s">
        <v>360</v>
      </c>
      <c r="AD9" s="2" t="s">
        <v>360</v>
      </c>
      <c r="AE9" s="2" t="s">
        <v>360</v>
      </c>
      <c r="AF9" s="2" t="s">
        <v>360</v>
      </c>
      <c r="AG9" s="2" t="s">
        <v>360</v>
      </c>
      <c r="AH9" s="2" t="s">
        <v>192</v>
      </c>
      <c r="AI9" s="2" t="s">
        <v>846</v>
      </c>
      <c r="AJ9" s="2" t="s">
        <v>846</v>
      </c>
      <c r="AK9" s="2" t="s">
        <v>846</v>
      </c>
      <c r="AL9" s="2" t="s">
        <v>846</v>
      </c>
      <c r="AM9" s="2" t="s">
        <v>846</v>
      </c>
      <c r="AN9" s="2" t="s">
        <v>31</v>
      </c>
      <c r="AO9" s="2" t="s">
        <v>579</v>
      </c>
      <c r="AP9" s="2" t="s">
        <v>579</v>
      </c>
      <c r="AQ9" s="2" t="s">
        <v>31</v>
      </c>
      <c r="AR9" s="2" t="s">
        <v>360</v>
      </c>
      <c r="AS9" s="2" t="s">
        <v>31</v>
      </c>
      <c r="AT9" s="5" t="s">
        <v>1</v>
      </c>
      <c r="AU9" s="2" t="s">
        <v>846</v>
      </c>
      <c r="AV9" s="2" t="s">
        <v>846</v>
      </c>
      <c r="AW9" s="2" t="s">
        <v>846</v>
      </c>
      <c r="AX9" s="5" t="s">
        <v>1</v>
      </c>
      <c r="AY9" s="1" t="s">
        <v>4</v>
      </c>
      <c r="AZ9" s="1" t="s">
        <v>4</v>
      </c>
      <c r="BA9" s="1" t="s">
        <v>57</v>
      </c>
      <c r="BB9" s="1" t="s">
        <v>57</v>
      </c>
      <c r="BC9" s="5" t="s">
        <v>1</v>
      </c>
      <c r="BD9" s="5" t="s">
        <v>1</v>
      </c>
      <c r="BE9" s="5" t="s">
        <v>1</v>
      </c>
      <c r="BF9" s="5" t="s">
        <v>1</v>
      </c>
      <c r="BG9" s="5" t="s">
        <v>1</v>
      </c>
      <c r="BH9" s="5" t="s">
        <v>1</v>
      </c>
      <c r="BI9" s="2" t="s">
        <v>846</v>
      </c>
      <c r="BJ9" s="2" t="s">
        <v>846</v>
      </c>
      <c r="BK9" s="1" t="s">
        <v>31</v>
      </c>
      <c r="BL9" s="26" t="s">
        <v>1</v>
      </c>
      <c r="BM9" s="110" t="s">
        <v>1024</v>
      </c>
      <c r="BN9" s="110" t="s">
        <v>1024</v>
      </c>
      <c r="BO9" s="110" t="s">
        <v>1024</v>
      </c>
      <c r="BP9" s="110" t="s">
        <v>1024</v>
      </c>
      <c r="BQ9" s="110" t="s">
        <v>1024</v>
      </c>
      <c r="BR9" s="117" t="s">
        <v>1390</v>
      </c>
      <c r="BS9" s="105" t="s">
        <v>846</v>
      </c>
      <c r="BT9" s="105" t="s">
        <v>4</v>
      </c>
      <c r="BU9" s="115" t="s">
        <v>31</v>
      </c>
      <c r="BV9" s="115" t="s">
        <v>1</v>
      </c>
      <c r="BW9" s="115" t="s">
        <v>1</v>
      </c>
      <c r="BX9" s="115" t="s">
        <v>1</v>
      </c>
      <c r="BY9" s="115" t="s">
        <v>1</v>
      </c>
      <c r="BZ9" s="115" t="s">
        <v>1</v>
      </c>
      <c r="CA9" s="41" t="s">
        <v>94</v>
      </c>
      <c r="CB9" s="41" t="s">
        <v>1</v>
      </c>
      <c r="CC9" s="41" t="s">
        <v>31</v>
      </c>
      <c r="CD9" s="41" t="s">
        <v>1</v>
      </c>
      <c r="CE9" s="41" t="s">
        <v>846</v>
      </c>
      <c r="CF9" s="41" t="s">
        <v>190</v>
      </c>
      <c r="CG9" s="41" t="s">
        <v>1654</v>
      </c>
      <c r="CH9" s="41" t="s">
        <v>360</v>
      </c>
      <c r="CI9" s="41" t="s">
        <v>1676</v>
      </c>
      <c r="CJ9" s="41" t="s">
        <v>1693</v>
      </c>
      <c r="CK9" s="41" t="s">
        <v>1024</v>
      </c>
      <c r="CL9" s="12" t="s">
        <v>94</v>
      </c>
      <c r="CM9" s="41" t="s">
        <v>94</v>
      </c>
      <c r="CN9" s="41" t="s">
        <v>190</v>
      </c>
      <c r="CO9" s="41" t="s">
        <v>1740</v>
      </c>
      <c r="CP9" s="41" t="s">
        <v>1</v>
      </c>
      <c r="CQ9" s="41" t="s">
        <v>1676</v>
      </c>
      <c r="CR9" s="41" t="s">
        <v>134</v>
      </c>
      <c r="CS9" s="41" t="s">
        <v>360</v>
      </c>
      <c r="CT9" s="41" t="s">
        <v>57</v>
      </c>
      <c r="CU9" s="41" t="s">
        <v>846</v>
      </c>
      <c r="CV9" s="41" t="s">
        <v>1654</v>
      </c>
      <c r="CW9" s="41" t="s">
        <v>360</v>
      </c>
      <c r="CX9" s="41" t="s">
        <v>57</v>
      </c>
      <c r="CY9" s="41" t="s">
        <v>57</v>
      </c>
      <c r="CZ9" s="41" t="s">
        <v>57</v>
      </c>
      <c r="DA9" s="41" t="s">
        <v>57</v>
      </c>
      <c r="DB9" s="41" t="s">
        <v>57</v>
      </c>
      <c r="DC9" s="41" t="s">
        <v>57</v>
      </c>
      <c r="DD9" s="41" t="s">
        <v>57</v>
      </c>
      <c r="DE9" s="41" t="s">
        <v>57</v>
      </c>
      <c r="DF9" s="41" t="s">
        <v>57</v>
      </c>
      <c r="DG9" s="41" t="s">
        <v>57</v>
      </c>
      <c r="DH9" s="41" t="s">
        <v>57</v>
      </c>
      <c r="DI9" s="41" t="s">
        <v>57</v>
      </c>
      <c r="DJ9" s="41" t="s">
        <v>846</v>
      </c>
      <c r="DK9" s="41" t="s">
        <v>846</v>
      </c>
      <c r="DL9" s="41" t="s">
        <v>57</v>
      </c>
      <c r="DM9" s="41" t="s">
        <v>846</v>
      </c>
      <c r="DN9" s="41" t="s">
        <v>2061</v>
      </c>
      <c r="DO9" s="41" t="s">
        <v>2061</v>
      </c>
      <c r="DP9" s="41" t="s">
        <v>1</v>
      </c>
      <c r="DQ9" s="105" t="s">
        <v>1</v>
      </c>
      <c r="DR9" s="105" t="s">
        <v>31</v>
      </c>
      <c r="DS9" s="105" t="s">
        <v>31</v>
      </c>
      <c r="DT9" s="105" t="s">
        <v>360</v>
      </c>
      <c r="DU9" s="41" t="s">
        <v>846</v>
      </c>
      <c r="DV9" s="171" t="s">
        <v>1</v>
      </c>
      <c r="DW9" s="115" t="s">
        <v>2171</v>
      </c>
      <c r="DX9" s="115" t="s">
        <v>846</v>
      </c>
      <c r="DY9" s="115" t="s">
        <v>846</v>
      </c>
      <c r="DZ9" s="115" t="s">
        <v>846</v>
      </c>
      <c r="EA9" s="115" t="s">
        <v>846</v>
      </c>
      <c r="EB9" s="115" t="s">
        <v>846</v>
      </c>
      <c r="EC9" s="115" t="s">
        <v>846</v>
      </c>
      <c r="ED9" s="115" t="s">
        <v>846</v>
      </c>
      <c r="EE9" s="115" t="s">
        <v>846</v>
      </c>
      <c r="EF9" s="115" t="s">
        <v>846</v>
      </c>
      <c r="EG9" s="115" t="s">
        <v>846</v>
      </c>
      <c r="EH9" s="115" t="s">
        <v>1</v>
      </c>
      <c r="EI9" s="187" t="s">
        <v>2061</v>
      </c>
      <c r="EJ9" s="115" t="s">
        <v>57</v>
      </c>
      <c r="EK9" s="187" t="s">
        <v>846</v>
      </c>
      <c r="EL9" s="115" t="s">
        <v>360</v>
      </c>
      <c r="EM9" s="187" t="s">
        <v>846</v>
      </c>
      <c r="EN9" s="115" t="s">
        <v>846</v>
      </c>
      <c r="EO9" s="115" t="s">
        <v>846</v>
      </c>
      <c r="EP9" s="115" t="s">
        <v>846</v>
      </c>
      <c r="EQ9" s="115" t="s">
        <v>846</v>
      </c>
      <c r="ER9" s="115" t="s">
        <v>846</v>
      </c>
      <c r="ES9" s="115" t="s">
        <v>846</v>
      </c>
      <c r="ET9" s="115" t="s">
        <v>846</v>
      </c>
      <c r="EU9" s="115" t="s">
        <v>1676</v>
      </c>
      <c r="EV9" s="115" t="s">
        <v>1676</v>
      </c>
      <c r="EW9" s="115" t="s">
        <v>1676</v>
      </c>
      <c r="EX9" s="115" t="s">
        <v>57</v>
      </c>
      <c r="EY9" s="115" t="s">
        <v>57</v>
      </c>
      <c r="EZ9" s="115" t="s">
        <v>57</v>
      </c>
      <c r="FA9" s="41" t="s">
        <v>2061</v>
      </c>
      <c r="FB9" s="41" t="s">
        <v>31</v>
      </c>
      <c r="FC9" s="41" t="s">
        <v>2061</v>
      </c>
      <c r="FD9" s="41" t="s">
        <v>31</v>
      </c>
      <c r="FE9" s="41" t="s">
        <v>94</v>
      </c>
      <c r="FF9" s="41" t="s">
        <v>1</v>
      </c>
      <c r="FG9" s="41" t="s">
        <v>1</v>
      </c>
      <c r="FH9" s="41" t="s">
        <v>187</v>
      </c>
      <c r="FI9" s="41" t="s">
        <v>57</v>
      </c>
      <c r="FJ9" s="41" t="s">
        <v>57</v>
      </c>
      <c r="FK9" s="41" t="s">
        <v>2705</v>
      </c>
      <c r="FL9" s="41" t="s">
        <v>2705</v>
      </c>
      <c r="FM9" s="200" t="s">
        <v>31</v>
      </c>
      <c r="FN9" s="187" t="s">
        <v>846</v>
      </c>
      <c r="FO9" s="187" t="s">
        <v>179</v>
      </c>
      <c r="FP9" s="187" t="s">
        <v>94</v>
      </c>
      <c r="FQ9" s="187" t="s">
        <v>94</v>
      </c>
      <c r="FR9" s="115" t="s">
        <v>57</v>
      </c>
      <c r="FS9" s="187" t="s">
        <v>846</v>
      </c>
      <c r="FT9" s="187" t="s">
        <v>846</v>
      </c>
      <c r="FU9" s="187" t="s">
        <v>846</v>
      </c>
      <c r="FV9" s="115" t="s">
        <v>1676</v>
      </c>
      <c r="FW9" s="115" t="s">
        <v>1676</v>
      </c>
      <c r="FX9" s="115" t="s">
        <v>190</v>
      </c>
      <c r="FY9" s="115" t="s">
        <v>2705</v>
      </c>
      <c r="FZ9" s="115" t="s">
        <v>190</v>
      </c>
      <c r="GA9" s="115" t="s">
        <v>2901</v>
      </c>
      <c r="GB9" s="115" t="s">
        <v>31</v>
      </c>
      <c r="GC9" s="115" t="s">
        <v>134</v>
      </c>
      <c r="GD9" s="187" t="s">
        <v>846</v>
      </c>
      <c r="GE9" s="115" t="s">
        <v>190</v>
      </c>
      <c r="GF9" s="159" t="s">
        <v>57</v>
      </c>
      <c r="GG9" s="208" t="s">
        <v>94</v>
      </c>
      <c r="GH9" s="159" t="s">
        <v>94</v>
      </c>
      <c r="GI9" s="159" t="s">
        <v>94</v>
      </c>
      <c r="GJ9" s="159" t="s">
        <v>2061</v>
      </c>
      <c r="GK9" s="159" t="s">
        <v>57</v>
      </c>
      <c r="GL9" s="115" t="s">
        <v>57</v>
      </c>
      <c r="GM9" s="115" t="s">
        <v>2705</v>
      </c>
      <c r="GN9" s="115" t="s">
        <v>1</v>
      </c>
      <c r="GO9" s="115" t="s">
        <v>3077</v>
      </c>
      <c r="GP9" s="115" t="s">
        <v>57</v>
      </c>
      <c r="GQ9" s="208" t="s">
        <v>94</v>
      </c>
      <c r="GR9" s="115" t="s">
        <v>57</v>
      </c>
      <c r="GS9" s="115" t="s">
        <v>846</v>
      </c>
      <c r="GT9" s="115" t="s">
        <v>190</v>
      </c>
      <c r="GU9" s="115" t="s">
        <v>846</v>
      </c>
      <c r="GV9" s="115" t="s">
        <v>94</v>
      </c>
      <c r="GW9" s="115" t="s">
        <v>2901</v>
      </c>
      <c r="GX9" s="115" t="s">
        <v>1</v>
      </c>
      <c r="GY9" s="115" t="s">
        <v>57</v>
      </c>
      <c r="GZ9" s="187" t="s">
        <v>846</v>
      </c>
      <c r="HA9" s="159" t="s">
        <v>1</v>
      </c>
      <c r="HB9" s="159" t="s">
        <v>846</v>
      </c>
      <c r="HC9" s="159" t="s">
        <v>1</v>
      </c>
      <c r="HD9" s="187" t="s">
        <v>846</v>
      </c>
      <c r="HE9" s="115" t="s">
        <v>846</v>
      </c>
      <c r="HF9" s="115" t="s">
        <v>846</v>
      </c>
      <c r="HG9" s="187" t="s">
        <v>94</v>
      </c>
      <c r="HH9" s="115" t="s">
        <v>846</v>
      </c>
      <c r="HI9" s="200" t="s">
        <v>2901</v>
      </c>
      <c r="HJ9" s="229" t="s">
        <v>1693</v>
      </c>
      <c r="HK9" s="229" t="s">
        <v>3388</v>
      </c>
      <c r="HL9" s="115" t="s">
        <v>1</v>
      </c>
      <c r="HM9" s="115" t="s">
        <v>1</v>
      </c>
      <c r="HN9" s="115" t="s">
        <v>846</v>
      </c>
      <c r="HO9" s="115" t="s">
        <v>1676</v>
      </c>
      <c r="HP9" s="115" t="s">
        <v>360</v>
      </c>
      <c r="HQ9" s="115" t="s">
        <v>1676</v>
      </c>
      <c r="HR9" s="115" t="s">
        <v>31</v>
      </c>
      <c r="HS9" s="115" t="s">
        <v>2171</v>
      </c>
      <c r="HT9" s="115" t="s">
        <v>846</v>
      </c>
      <c r="HU9" s="115" t="s">
        <v>360</v>
      </c>
      <c r="HV9" s="115" t="s">
        <v>360</v>
      </c>
      <c r="HW9" s="115" t="s">
        <v>1676</v>
      </c>
      <c r="HX9" s="115" t="s">
        <v>1676</v>
      </c>
      <c r="HY9" s="115" t="s">
        <v>360</v>
      </c>
      <c r="HZ9" s="115" t="s">
        <v>1676</v>
      </c>
      <c r="IA9" s="115" t="s">
        <v>1676</v>
      </c>
      <c r="IB9" s="115" t="s">
        <v>190</v>
      </c>
      <c r="IC9" s="115" t="s">
        <v>360</v>
      </c>
      <c r="ID9" s="115" t="s">
        <v>846</v>
      </c>
      <c r="IE9" s="115" t="s">
        <v>2901</v>
      </c>
      <c r="IF9" s="185" t="s">
        <v>3711</v>
      </c>
      <c r="IG9" s="183" t="s">
        <v>31</v>
      </c>
      <c r="IH9" s="183" t="s">
        <v>31</v>
      </c>
      <c r="II9" s="185" t="s">
        <v>2061</v>
      </c>
      <c r="IJ9" s="185" t="s">
        <v>2061</v>
      </c>
      <c r="IK9" s="185" t="s">
        <v>1</v>
      </c>
      <c r="IL9" s="185" t="s">
        <v>3711</v>
      </c>
      <c r="IM9" s="115" t="s">
        <v>1</v>
      </c>
      <c r="IN9" s="115" t="s">
        <v>1</v>
      </c>
      <c r="IO9" s="159" t="s">
        <v>31</v>
      </c>
      <c r="IP9" s="159" t="s">
        <v>31</v>
      </c>
      <c r="IQ9" s="115" t="s">
        <v>57</v>
      </c>
      <c r="IR9" s="115" t="s">
        <v>1</v>
      </c>
      <c r="IS9" s="115" t="s">
        <v>846</v>
      </c>
      <c r="IT9" s="115" t="s">
        <v>1</v>
      </c>
      <c r="IU9" s="115" t="s">
        <v>1</v>
      </c>
      <c r="IV9" s="115" t="s">
        <v>1</v>
      </c>
      <c r="IW9" s="115" t="s">
        <v>1</v>
      </c>
      <c r="IX9" s="159"/>
      <c r="IY9" s="115" t="s">
        <v>3963</v>
      </c>
      <c r="IZ9" s="115" t="s">
        <v>3976</v>
      </c>
      <c r="JA9" s="115" t="s">
        <v>1676</v>
      </c>
      <c r="JB9" s="115" t="s">
        <v>1740</v>
      </c>
      <c r="JC9" s="115" t="s">
        <v>1676</v>
      </c>
      <c r="JD9" s="115" t="s">
        <v>1676</v>
      </c>
      <c r="JE9" s="115" t="s">
        <v>2171</v>
      </c>
      <c r="JF9" s="115" t="s">
        <v>1676</v>
      </c>
      <c r="JG9" s="115" t="s">
        <v>2171</v>
      </c>
      <c r="JH9" s="115" t="s">
        <v>1676</v>
      </c>
      <c r="JI9" s="115" t="s">
        <v>1676</v>
      </c>
      <c r="JJ9" s="245" t="s">
        <v>1</v>
      </c>
      <c r="JK9" s="245" t="s">
        <v>1</v>
      </c>
      <c r="JL9" s="245" t="s">
        <v>2901</v>
      </c>
      <c r="JM9" s="245" t="s">
        <v>134</v>
      </c>
      <c r="JN9" s="115" t="s">
        <v>846</v>
      </c>
      <c r="JO9" s="115" t="s">
        <v>1676</v>
      </c>
      <c r="JP9" s="115" t="s">
        <v>1676</v>
      </c>
      <c r="JQ9" s="159" t="s">
        <v>94</v>
      </c>
      <c r="JR9" s="115" t="s">
        <v>1676</v>
      </c>
      <c r="JS9" s="115" t="s">
        <v>1676</v>
      </c>
      <c r="JT9" s="115" t="s">
        <v>2171</v>
      </c>
      <c r="JU9" s="115" t="s">
        <v>1676</v>
      </c>
      <c r="JV9" s="115" t="s">
        <v>1676</v>
      </c>
      <c r="JW9" s="115" t="s">
        <v>1676</v>
      </c>
      <c r="JX9" s="115" t="s">
        <v>1676</v>
      </c>
      <c r="JY9" s="115" t="s">
        <v>1676</v>
      </c>
      <c r="JZ9" s="115" t="s">
        <v>1676</v>
      </c>
      <c r="KA9" s="115" t="s">
        <v>1676</v>
      </c>
      <c r="KB9" s="115" t="s">
        <v>1676</v>
      </c>
      <c r="KC9" s="115" t="s">
        <v>1676</v>
      </c>
      <c r="KD9" s="115" t="s">
        <v>2171</v>
      </c>
      <c r="KE9" s="115" t="s">
        <v>1676</v>
      </c>
      <c r="KF9" s="115" t="s">
        <v>1676</v>
      </c>
      <c r="KG9" s="115" t="s">
        <v>846</v>
      </c>
      <c r="KH9" s="115" t="s">
        <v>846</v>
      </c>
      <c r="KI9" s="115" t="s">
        <v>846</v>
      </c>
      <c r="KJ9" s="115" t="s">
        <v>2901</v>
      </c>
      <c r="KK9" s="115" t="s">
        <v>2901</v>
      </c>
      <c r="KL9" s="115" t="s">
        <v>1676</v>
      </c>
      <c r="KM9" s="115" t="s">
        <v>1740</v>
      </c>
      <c r="KN9" s="187" t="s">
        <v>1676</v>
      </c>
      <c r="KO9" s="115" t="s">
        <v>1676</v>
      </c>
      <c r="KP9" s="115" t="s">
        <v>57</v>
      </c>
      <c r="KQ9" s="115" t="s">
        <v>1024</v>
      </c>
      <c r="KR9" s="115" t="s">
        <v>192</v>
      </c>
      <c r="KS9" s="115" t="s">
        <v>2061</v>
      </c>
      <c r="KT9" s="115" t="s">
        <v>1</v>
      </c>
      <c r="KU9" s="115" t="s">
        <v>1</v>
      </c>
      <c r="KV9" s="115" t="s">
        <v>31</v>
      </c>
      <c r="KW9" s="115" t="s">
        <v>1676</v>
      </c>
      <c r="KX9" s="115" t="s">
        <v>1676</v>
      </c>
      <c r="KY9" s="245" t="s">
        <v>1</v>
      </c>
      <c r="KZ9" s="245" t="s">
        <v>31</v>
      </c>
      <c r="LA9" s="187" t="s">
        <v>31</v>
      </c>
      <c r="LB9" s="115" t="s">
        <v>1676</v>
      </c>
      <c r="LC9" s="115" t="s">
        <v>192</v>
      </c>
      <c r="LD9" s="115" t="s">
        <v>2901</v>
      </c>
      <c r="LE9" s="115" t="s">
        <v>1740</v>
      </c>
      <c r="LF9" s="115" t="s">
        <v>1676</v>
      </c>
      <c r="LG9" s="115" t="s">
        <v>1740</v>
      </c>
      <c r="LH9" s="115" t="s">
        <v>57</v>
      </c>
      <c r="LI9" s="115" t="s">
        <v>57</v>
      </c>
      <c r="LJ9" s="115" t="s">
        <v>57</v>
      </c>
      <c r="LK9" s="115" t="s">
        <v>846</v>
      </c>
      <c r="LL9" s="187" t="s">
        <v>31</v>
      </c>
      <c r="LM9" s="120" t="s">
        <v>360</v>
      </c>
      <c r="LN9" s="265" t="s">
        <v>31</v>
      </c>
      <c r="LO9" s="115" t="s">
        <v>1676</v>
      </c>
      <c r="LP9" s="115" t="s">
        <v>1</v>
      </c>
      <c r="LQ9" s="265" t="s">
        <v>31</v>
      </c>
      <c r="LR9" s="115" t="s">
        <v>1740</v>
      </c>
      <c r="LS9" s="115" t="s">
        <v>57</v>
      </c>
      <c r="LT9" s="115" t="s">
        <v>846</v>
      </c>
      <c r="LU9" s="115" t="s">
        <v>846</v>
      </c>
      <c r="LV9" s="286" t="s">
        <v>846</v>
      </c>
      <c r="LW9" s="115" t="s">
        <v>846</v>
      </c>
      <c r="LX9" s="115" t="s">
        <v>846</v>
      </c>
      <c r="LY9" s="115" t="s">
        <v>1</v>
      </c>
      <c r="LZ9" s="115" t="s">
        <v>57</v>
      </c>
      <c r="MA9" s="115" t="s">
        <v>57</v>
      </c>
      <c r="MB9" s="115" t="s">
        <v>846</v>
      </c>
      <c r="MC9" s="115" t="s">
        <v>1</v>
      </c>
      <c r="MD9" s="115" t="s">
        <v>1</v>
      </c>
    </row>
    <row r="10" spans="1:342" ht="14.4" x14ac:dyDescent="0.3">
      <c r="A10" s="92">
        <v>7</v>
      </c>
      <c r="B10" s="307"/>
      <c r="C10" s="54" t="s">
        <v>460</v>
      </c>
      <c r="D10" s="40" t="s">
        <v>442</v>
      </c>
      <c r="E10" s="5" t="s">
        <v>12</v>
      </c>
      <c r="F10" s="1" t="s">
        <v>4</v>
      </c>
      <c r="G10" s="1" t="s">
        <v>5</v>
      </c>
      <c r="H10" s="1" t="s">
        <v>57</v>
      </c>
      <c r="I10" s="1" t="s">
        <v>5</v>
      </c>
      <c r="J10" s="2" t="s">
        <v>5</v>
      </c>
      <c r="K10" s="2" t="s">
        <v>135</v>
      </c>
      <c r="L10" s="1" t="s">
        <v>57</v>
      </c>
      <c r="M10" s="1" t="s">
        <v>57</v>
      </c>
      <c r="N10" s="1" t="s">
        <v>57</v>
      </c>
      <c r="O10" s="1" t="s">
        <v>115</v>
      </c>
      <c r="P10" s="1" t="s">
        <v>57</v>
      </c>
      <c r="Q10" s="1" t="s">
        <v>5</v>
      </c>
      <c r="R10" s="1" t="s">
        <v>151</v>
      </c>
      <c r="S10" s="1" t="s">
        <v>151</v>
      </c>
      <c r="T10" s="1" t="s">
        <v>151</v>
      </c>
      <c r="U10" s="1" t="s">
        <v>5</v>
      </c>
      <c r="V10" s="1" t="s">
        <v>5</v>
      </c>
      <c r="W10" s="1" t="s">
        <v>5</v>
      </c>
      <c r="X10" s="1" t="s">
        <v>5</v>
      </c>
      <c r="Y10" s="1" t="s">
        <v>5</v>
      </c>
      <c r="Z10" s="1" t="s">
        <v>847</v>
      </c>
      <c r="AA10" s="1" t="s">
        <v>5</v>
      </c>
      <c r="AB10" s="1" t="s">
        <v>151</v>
      </c>
      <c r="AC10" s="1" t="s">
        <v>361</v>
      </c>
      <c r="AD10" s="1" t="s">
        <v>361</v>
      </c>
      <c r="AE10" s="1" t="s">
        <v>361</v>
      </c>
      <c r="AF10" s="1" t="s">
        <v>361</v>
      </c>
      <c r="AG10" s="1" t="s">
        <v>361</v>
      </c>
      <c r="AH10" s="1" t="s">
        <v>411</v>
      </c>
      <c r="AI10" s="1" t="s">
        <v>521</v>
      </c>
      <c r="AJ10" s="1" t="s">
        <v>151</v>
      </c>
      <c r="AK10" s="1" t="s">
        <v>151</v>
      </c>
      <c r="AL10" s="1" t="s">
        <v>151</v>
      </c>
      <c r="AM10" s="1" t="s">
        <v>151</v>
      </c>
      <c r="AN10" s="1" t="s">
        <v>12</v>
      </c>
      <c r="AO10" s="1" t="s">
        <v>5</v>
      </c>
      <c r="AP10" s="1" t="s">
        <v>521</v>
      </c>
      <c r="AQ10" s="1" t="s">
        <v>180</v>
      </c>
      <c r="AR10" s="1" t="s">
        <v>361</v>
      </c>
      <c r="AS10" s="1" t="s">
        <v>412</v>
      </c>
      <c r="AT10" s="5" t="s">
        <v>12</v>
      </c>
      <c r="AU10" s="1" t="s">
        <v>521</v>
      </c>
      <c r="AV10" s="1" t="s">
        <v>151</v>
      </c>
      <c r="AW10" s="1" t="s">
        <v>151</v>
      </c>
      <c r="AX10" s="2" t="s">
        <v>191</v>
      </c>
      <c r="AY10" s="1" t="s">
        <v>4</v>
      </c>
      <c r="AZ10" s="1" t="s">
        <v>4</v>
      </c>
      <c r="BA10" s="1" t="s">
        <v>57</v>
      </c>
      <c r="BB10" s="1" t="s">
        <v>57</v>
      </c>
      <c r="BC10" s="2" t="s">
        <v>191</v>
      </c>
      <c r="BD10" s="2" t="s">
        <v>191</v>
      </c>
      <c r="BE10" s="2" t="s">
        <v>191</v>
      </c>
      <c r="BF10" s="2" t="s">
        <v>191</v>
      </c>
      <c r="BG10" s="2" t="s">
        <v>191</v>
      </c>
      <c r="BH10" s="2" t="s">
        <v>191</v>
      </c>
      <c r="BI10" s="1" t="s">
        <v>824</v>
      </c>
      <c r="BJ10" s="1" t="s">
        <v>824</v>
      </c>
      <c r="BK10" s="1" t="s">
        <v>12</v>
      </c>
      <c r="BL10" s="26" t="s">
        <v>1091</v>
      </c>
      <c r="BM10" s="105" t="s">
        <v>1025</v>
      </c>
      <c r="BN10" s="105" t="s">
        <v>1025</v>
      </c>
      <c r="BO10" s="105" t="s">
        <v>1025</v>
      </c>
      <c r="BP10" s="105" t="s">
        <v>1025</v>
      </c>
      <c r="BQ10" s="105" t="s">
        <v>1025</v>
      </c>
      <c r="BR10" s="117" t="s">
        <v>1391</v>
      </c>
      <c r="BS10" s="105" t="s">
        <v>151</v>
      </c>
      <c r="BT10" s="105" t="s">
        <v>4</v>
      </c>
      <c r="BU10" s="115" t="s">
        <v>1436</v>
      </c>
      <c r="BV10" s="115" t="s">
        <v>412</v>
      </c>
      <c r="BW10" s="115" t="s">
        <v>12</v>
      </c>
      <c r="BX10" s="115" t="s">
        <v>12</v>
      </c>
      <c r="BY10" s="115" t="s">
        <v>12</v>
      </c>
      <c r="BZ10" s="115" t="s">
        <v>12</v>
      </c>
      <c r="CA10" s="41" t="s">
        <v>5</v>
      </c>
      <c r="CB10" s="41" t="s">
        <v>12</v>
      </c>
      <c r="CC10" s="41" t="s">
        <v>12</v>
      </c>
      <c r="CD10" s="41" t="s">
        <v>1612</v>
      </c>
      <c r="CE10" s="41" t="s">
        <v>151</v>
      </c>
      <c r="CF10" s="41" t="s">
        <v>5</v>
      </c>
      <c r="CG10" s="41" t="s">
        <v>12</v>
      </c>
      <c r="CH10" s="41" t="s">
        <v>12</v>
      </c>
      <c r="CI10" s="41" t="s">
        <v>5</v>
      </c>
      <c r="CJ10" s="41" t="s">
        <v>1091</v>
      </c>
      <c r="CK10" s="41" t="s">
        <v>1025</v>
      </c>
      <c r="CL10" s="41" t="s">
        <v>5</v>
      </c>
      <c r="CM10" s="41" t="s">
        <v>5</v>
      </c>
      <c r="CN10" s="41" t="s">
        <v>1612</v>
      </c>
      <c r="CO10" s="41" t="s">
        <v>12</v>
      </c>
      <c r="CP10" s="41" t="s">
        <v>12</v>
      </c>
      <c r="CQ10" s="41" t="s">
        <v>5</v>
      </c>
      <c r="CR10" s="41" t="s">
        <v>135</v>
      </c>
      <c r="CS10" s="41" t="s">
        <v>1787</v>
      </c>
      <c r="CT10" s="41" t="s">
        <v>57</v>
      </c>
      <c r="CU10" s="41" t="s">
        <v>151</v>
      </c>
      <c r="CV10" s="41" t="s">
        <v>12</v>
      </c>
      <c r="CW10" s="41" t="s">
        <v>1787</v>
      </c>
      <c r="CX10" s="41" t="s">
        <v>57</v>
      </c>
      <c r="CY10" s="41" t="s">
        <v>57</v>
      </c>
      <c r="CZ10" s="41" t="s">
        <v>57</v>
      </c>
      <c r="DA10" s="41" t="s">
        <v>57</v>
      </c>
      <c r="DB10" s="41" t="s">
        <v>57</v>
      </c>
      <c r="DC10" s="41" t="s">
        <v>57</v>
      </c>
      <c r="DD10" s="41" t="s">
        <v>57</v>
      </c>
      <c r="DE10" s="41" t="s">
        <v>57</v>
      </c>
      <c r="DF10" s="41" t="s">
        <v>57</v>
      </c>
      <c r="DG10" s="41" t="s">
        <v>57</v>
      </c>
      <c r="DH10" s="41" t="s">
        <v>57</v>
      </c>
      <c r="DI10" s="41" t="s">
        <v>57</v>
      </c>
      <c r="DJ10" s="41" t="s">
        <v>151</v>
      </c>
      <c r="DK10" s="41" t="s">
        <v>151</v>
      </c>
      <c r="DL10" s="41" t="s">
        <v>57</v>
      </c>
      <c r="DM10" s="41" t="s">
        <v>824</v>
      </c>
      <c r="DN10" s="41" t="s">
        <v>2062</v>
      </c>
      <c r="DO10" s="41" t="s">
        <v>2062</v>
      </c>
      <c r="DP10" s="105" t="s">
        <v>2007</v>
      </c>
      <c r="DQ10" s="105" t="s">
        <v>2007</v>
      </c>
      <c r="DR10" s="105" t="s">
        <v>2007</v>
      </c>
      <c r="DS10" s="105" t="s">
        <v>2007</v>
      </c>
      <c r="DT10" s="105" t="s">
        <v>2007</v>
      </c>
      <c r="DU10" s="41" t="s">
        <v>151</v>
      </c>
      <c r="DV10" s="171" t="s">
        <v>2007</v>
      </c>
      <c r="DW10" s="159" t="s">
        <v>2172</v>
      </c>
      <c r="DX10" s="115" t="s">
        <v>151</v>
      </c>
      <c r="DY10" s="115" t="s">
        <v>824</v>
      </c>
      <c r="DZ10" s="115" t="s">
        <v>151</v>
      </c>
      <c r="EA10" s="115" t="s">
        <v>824</v>
      </c>
      <c r="EB10" s="115" t="s">
        <v>824</v>
      </c>
      <c r="EC10" s="115" t="s">
        <v>1025</v>
      </c>
      <c r="ED10" s="115" t="s">
        <v>151</v>
      </c>
      <c r="EE10" s="115" t="s">
        <v>521</v>
      </c>
      <c r="EF10" s="115" t="s">
        <v>151</v>
      </c>
      <c r="EG10" s="115" t="s">
        <v>521</v>
      </c>
      <c r="EH10" s="115" t="s">
        <v>2007</v>
      </c>
      <c r="EI10" s="187" t="s">
        <v>1612</v>
      </c>
      <c r="EJ10" s="115" t="s">
        <v>57</v>
      </c>
      <c r="EK10" s="187" t="s">
        <v>824</v>
      </c>
      <c r="EL10" s="115" t="s">
        <v>1025</v>
      </c>
      <c r="EM10" s="187" t="s">
        <v>1025</v>
      </c>
      <c r="EN10" s="115" t="s">
        <v>824</v>
      </c>
      <c r="EO10" s="115" t="s">
        <v>824</v>
      </c>
      <c r="EP10" s="115" t="s">
        <v>824</v>
      </c>
      <c r="EQ10" s="115" t="s">
        <v>824</v>
      </c>
      <c r="ER10" s="115" t="s">
        <v>151</v>
      </c>
      <c r="ES10" s="115" t="s">
        <v>2461</v>
      </c>
      <c r="ET10" s="115" t="s">
        <v>824</v>
      </c>
      <c r="EU10" s="115" t="s">
        <v>1025</v>
      </c>
      <c r="EV10" s="115" t="s">
        <v>1025</v>
      </c>
      <c r="EW10" s="115" t="s">
        <v>1025</v>
      </c>
      <c r="EX10" s="115" t="s">
        <v>57</v>
      </c>
      <c r="EY10" s="115" t="s">
        <v>57</v>
      </c>
      <c r="EZ10" s="115" t="s">
        <v>57</v>
      </c>
      <c r="FA10" s="41" t="s">
        <v>2062</v>
      </c>
      <c r="FB10" s="41" t="s">
        <v>1436</v>
      </c>
      <c r="FC10" s="41" t="s">
        <v>2062</v>
      </c>
      <c r="FD10" s="41" t="s">
        <v>1436</v>
      </c>
      <c r="FE10" s="41" t="s">
        <v>5</v>
      </c>
      <c r="FF10" s="41" t="s">
        <v>12</v>
      </c>
      <c r="FG10" s="41" t="s">
        <v>12</v>
      </c>
      <c r="FH10" s="41" t="s">
        <v>12</v>
      </c>
      <c r="FI10" s="41" t="s">
        <v>57</v>
      </c>
      <c r="FJ10" s="41" t="s">
        <v>57</v>
      </c>
      <c r="FK10" s="41" t="s">
        <v>1091</v>
      </c>
      <c r="FL10" s="41" t="s">
        <v>1091</v>
      </c>
      <c r="FM10" s="200" t="s">
        <v>1025</v>
      </c>
      <c r="FN10" s="187" t="s">
        <v>824</v>
      </c>
      <c r="FO10" s="187" t="s">
        <v>2755</v>
      </c>
      <c r="FP10" s="187" t="s">
        <v>5</v>
      </c>
      <c r="FQ10" s="187" t="s">
        <v>5</v>
      </c>
      <c r="FR10" s="115" t="s">
        <v>57</v>
      </c>
      <c r="FS10" s="187" t="s">
        <v>1025</v>
      </c>
      <c r="FT10" s="187" t="s">
        <v>824</v>
      </c>
      <c r="FU10" s="187" t="s">
        <v>5</v>
      </c>
      <c r="FV10" s="115" t="s">
        <v>1025</v>
      </c>
      <c r="FW10" s="115" t="s">
        <v>1025</v>
      </c>
      <c r="FX10" s="115" t="s">
        <v>2870</v>
      </c>
      <c r="FY10" s="115" t="s">
        <v>1091</v>
      </c>
      <c r="FZ10" s="115" t="s">
        <v>5</v>
      </c>
      <c r="GA10" s="115" t="s">
        <v>2902</v>
      </c>
      <c r="GB10" s="115" t="s">
        <v>135</v>
      </c>
      <c r="GC10" s="115" t="s">
        <v>2923</v>
      </c>
      <c r="GD10" s="208" t="s">
        <v>5</v>
      </c>
      <c r="GE10" s="115" t="s">
        <v>2870</v>
      </c>
      <c r="GF10" s="159" t="s">
        <v>57</v>
      </c>
      <c r="GG10" s="208" t="s">
        <v>5</v>
      </c>
      <c r="GH10" s="159" t="s">
        <v>5</v>
      </c>
      <c r="GI10" s="159" t="s">
        <v>5</v>
      </c>
      <c r="GJ10" s="159" t="s">
        <v>3015</v>
      </c>
      <c r="GK10" s="159" t="s">
        <v>57</v>
      </c>
      <c r="GL10" s="115" t="s">
        <v>57</v>
      </c>
      <c r="GM10" s="115" t="s">
        <v>1091</v>
      </c>
      <c r="GN10" s="115" t="s">
        <v>12</v>
      </c>
      <c r="GO10" s="169" t="s">
        <v>1091</v>
      </c>
      <c r="GP10" s="115" t="s">
        <v>57</v>
      </c>
      <c r="GQ10" s="208" t="s">
        <v>5</v>
      </c>
      <c r="GR10" s="115" t="s">
        <v>57</v>
      </c>
      <c r="GS10" s="115" t="s">
        <v>824</v>
      </c>
      <c r="GT10" s="115" t="s">
        <v>5</v>
      </c>
      <c r="GU10" s="115" t="s">
        <v>151</v>
      </c>
      <c r="GV10" s="115" t="s">
        <v>5</v>
      </c>
      <c r="GW10" s="115" t="s">
        <v>5</v>
      </c>
      <c r="GX10" s="115" t="s">
        <v>12</v>
      </c>
      <c r="GY10" s="115" t="s">
        <v>57</v>
      </c>
      <c r="GZ10" s="208" t="s">
        <v>1025</v>
      </c>
      <c r="HA10" s="159" t="s">
        <v>412</v>
      </c>
      <c r="HB10" s="159" t="s">
        <v>824</v>
      </c>
      <c r="HC10" s="159" t="s">
        <v>412</v>
      </c>
      <c r="HD10" s="208" t="s">
        <v>1025</v>
      </c>
      <c r="HE10" s="159" t="s">
        <v>3313</v>
      </c>
      <c r="HF10" s="159" t="s">
        <v>3313</v>
      </c>
      <c r="HG10" s="187" t="s">
        <v>5</v>
      </c>
      <c r="HH10" s="159" t="s">
        <v>3313</v>
      </c>
      <c r="HI10" s="200" t="s">
        <v>5</v>
      </c>
      <c r="HJ10" s="115" t="s">
        <v>1025</v>
      </c>
      <c r="HK10" s="115" t="s">
        <v>3389</v>
      </c>
      <c r="HL10" s="115" t="s">
        <v>12</v>
      </c>
      <c r="HM10" s="115" t="s">
        <v>12</v>
      </c>
      <c r="HN10" s="115" t="s">
        <v>151</v>
      </c>
      <c r="HO10" s="115" t="s">
        <v>1025</v>
      </c>
      <c r="HP10" s="115" t="s">
        <v>12</v>
      </c>
      <c r="HQ10" s="115" t="s">
        <v>12</v>
      </c>
      <c r="HR10" s="115" t="s">
        <v>180</v>
      </c>
      <c r="HS10" s="159" t="s">
        <v>2172</v>
      </c>
      <c r="HT10" s="159" t="s">
        <v>151</v>
      </c>
      <c r="HU10" s="115" t="s">
        <v>12</v>
      </c>
      <c r="HV10" s="115" t="s">
        <v>12</v>
      </c>
      <c r="HW10" s="115" t="s">
        <v>3608</v>
      </c>
      <c r="HX10" s="115" t="s">
        <v>1025</v>
      </c>
      <c r="HY10" s="115" t="s">
        <v>361</v>
      </c>
      <c r="HZ10" s="115" t="s">
        <v>3608</v>
      </c>
      <c r="IA10" s="115" t="s">
        <v>1025</v>
      </c>
      <c r="IB10" s="115" t="s">
        <v>5</v>
      </c>
      <c r="IC10" s="115" t="s">
        <v>361</v>
      </c>
      <c r="ID10" s="159" t="s">
        <v>824</v>
      </c>
      <c r="IE10" s="115" t="s">
        <v>5</v>
      </c>
      <c r="IF10" s="185" t="s">
        <v>3712</v>
      </c>
      <c r="IG10" s="185" t="s">
        <v>1025</v>
      </c>
      <c r="IH10" s="185" t="s">
        <v>1025</v>
      </c>
      <c r="II10" s="185" t="s">
        <v>2062</v>
      </c>
      <c r="IJ10" s="185" t="s">
        <v>2755</v>
      </c>
      <c r="IK10" s="185" t="s">
        <v>2007</v>
      </c>
      <c r="IL10" s="185" t="s">
        <v>3712</v>
      </c>
      <c r="IM10" s="115" t="s">
        <v>3015</v>
      </c>
      <c r="IN10" s="115" t="s">
        <v>180</v>
      </c>
      <c r="IO10" s="159" t="s">
        <v>180</v>
      </c>
      <c r="IP10" s="159" t="s">
        <v>180</v>
      </c>
      <c r="IQ10" s="115" t="s">
        <v>57</v>
      </c>
      <c r="IR10" s="115" t="s">
        <v>180</v>
      </c>
      <c r="IS10" s="115" t="s">
        <v>824</v>
      </c>
      <c r="IT10" s="115" t="s">
        <v>2007</v>
      </c>
      <c r="IU10" s="115" t="s">
        <v>2007</v>
      </c>
      <c r="IV10" s="115" t="s">
        <v>12</v>
      </c>
      <c r="IW10" s="115" t="s">
        <v>12</v>
      </c>
      <c r="IX10" s="159"/>
      <c r="IY10" s="115" t="s">
        <v>3015</v>
      </c>
      <c r="IZ10" s="115" t="s">
        <v>1025</v>
      </c>
      <c r="JA10" s="115" t="s">
        <v>3608</v>
      </c>
      <c r="JB10" s="115" t="s">
        <v>3015</v>
      </c>
      <c r="JC10" s="115" t="s">
        <v>3608</v>
      </c>
      <c r="JD10" s="115" t="s">
        <v>3608</v>
      </c>
      <c r="JE10" s="159" t="s">
        <v>180</v>
      </c>
      <c r="JF10" s="115" t="s">
        <v>3608</v>
      </c>
      <c r="JG10" s="159" t="s">
        <v>180</v>
      </c>
      <c r="JH10" s="115" t="s">
        <v>3608</v>
      </c>
      <c r="JI10" s="115" t="s">
        <v>3608</v>
      </c>
      <c r="JJ10" s="244" t="s">
        <v>12</v>
      </c>
      <c r="JK10" s="244" t="s">
        <v>1025</v>
      </c>
      <c r="JL10" s="244" t="s">
        <v>5</v>
      </c>
      <c r="JM10" s="244" t="s">
        <v>2923</v>
      </c>
      <c r="JN10" s="115" t="s">
        <v>824</v>
      </c>
      <c r="JO10" s="115" t="s">
        <v>1612</v>
      </c>
      <c r="JP10" s="115" t="s">
        <v>3608</v>
      </c>
      <c r="JQ10" s="159" t="s">
        <v>5</v>
      </c>
      <c r="JR10" s="115" t="s">
        <v>3608</v>
      </c>
      <c r="JS10" s="115" t="s">
        <v>3608</v>
      </c>
      <c r="JT10" s="159" t="s">
        <v>180</v>
      </c>
      <c r="JU10" s="115" t="s">
        <v>3608</v>
      </c>
      <c r="JV10" s="115" t="s">
        <v>3608</v>
      </c>
      <c r="JW10" s="115" t="s">
        <v>2007</v>
      </c>
      <c r="JX10" s="115" t="s">
        <v>3608</v>
      </c>
      <c r="JY10" s="115" t="s">
        <v>3608</v>
      </c>
      <c r="JZ10" s="115" t="s">
        <v>3608</v>
      </c>
      <c r="KA10" s="115" t="s">
        <v>3608</v>
      </c>
      <c r="KB10" s="115" t="s">
        <v>3608</v>
      </c>
      <c r="KC10" s="115" t="s">
        <v>3608</v>
      </c>
      <c r="KD10" s="159" t="s">
        <v>180</v>
      </c>
      <c r="KE10" s="115" t="s">
        <v>1025</v>
      </c>
      <c r="KF10" s="115" t="s">
        <v>1025</v>
      </c>
      <c r="KG10" s="115" t="s">
        <v>824</v>
      </c>
      <c r="KH10" s="115" t="s">
        <v>1025</v>
      </c>
      <c r="KI10" s="115" t="s">
        <v>3313</v>
      </c>
      <c r="KJ10" s="115" t="s">
        <v>5</v>
      </c>
      <c r="KK10" s="115" t="s">
        <v>1025</v>
      </c>
      <c r="KL10" s="115" t="s">
        <v>1612</v>
      </c>
      <c r="KM10" s="115" t="s">
        <v>1025</v>
      </c>
      <c r="KN10" s="187" t="s">
        <v>1612</v>
      </c>
      <c r="KO10" s="115" t="s">
        <v>4482</v>
      </c>
      <c r="KP10" s="115" t="s">
        <v>57</v>
      </c>
      <c r="KQ10" s="115" t="s">
        <v>1025</v>
      </c>
      <c r="KR10" s="115" t="s">
        <v>412</v>
      </c>
      <c r="KS10" s="115" t="s">
        <v>2062</v>
      </c>
      <c r="KT10" s="115" t="s">
        <v>412</v>
      </c>
      <c r="KU10" s="115" t="s">
        <v>412</v>
      </c>
      <c r="KV10" s="115" t="s">
        <v>180</v>
      </c>
      <c r="KW10" s="115" t="s">
        <v>3608</v>
      </c>
      <c r="KX10" s="115" t="s">
        <v>3608</v>
      </c>
      <c r="KY10" s="257" t="s">
        <v>4610</v>
      </c>
      <c r="KZ10" s="257" t="s">
        <v>4610</v>
      </c>
      <c r="LA10" s="187" t="s">
        <v>180</v>
      </c>
      <c r="LB10" s="115" t="s">
        <v>3608</v>
      </c>
      <c r="LC10" s="115" t="s">
        <v>412</v>
      </c>
      <c r="LD10" s="115" t="s">
        <v>4713</v>
      </c>
      <c r="LE10" s="115" t="s">
        <v>412</v>
      </c>
      <c r="LF10" s="115" t="s">
        <v>4735</v>
      </c>
      <c r="LG10" s="115" t="s">
        <v>412</v>
      </c>
      <c r="LH10" s="115" t="s">
        <v>57</v>
      </c>
      <c r="LI10" s="115" t="s">
        <v>57</v>
      </c>
      <c r="LJ10" s="115" t="s">
        <v>57</v>
      </c>
      <c r="LK10" s="115" t="s">
        <v>151</v>
      </c>
      <c r="LL10" s="187" t="s">
        <v>4793</v>
      </c>
      <c r="LM10" s="120" t="s">
        <v>4735</v>
      </c>
      <c r="LN10" s="266" t="s">
        <v>199</v>
      </c>
      <c r="LO10" s="115" t="s">
        <v>12</v>
      </c>
      <c r="LP10" s="115" t="s">
        <v>4847</v>
      </c>
      <c r="LQ10" s="266" t="s">
        <v>180</v>
      </c>
      <c r="LR10" s="115" t="s">
        <v>412</v>
      </c>
      <c r="LS10" s="115" t="s">
        <v>57</v>
      </c>
      <c r="LT10" s="115" t="s">
        <v>5</v>
      </c>
      <c r="LU10" s="115" t="s">
        <v>5</v>
      </c>
      <c r="LV10" s="286" t="s">
        <v>5</v>
      </c>
      <c r="LW10" s="115" t="s">
        <v>5</v>
      </c>
      <c r="LX10" s="115" t="s">
        <v>5</v>
      </c>
      <c r="LY10" s="115" t="s">
        <v>2007</v>
      </c>
      <c r="LZ10" s="115" t="s">
        <v>57</v>
      </c>
      <c r="MA10" s="115" t="s">
        <v>57</v>
      </c>
      <c r="MB10" s="115" t="s">
        <v>151</v>
      </c>
      <c r="MC10" s="115" t="s">
        <v>2007</v>
      </c>
      <c r="MD10" s="115" t="s">
        <v>2007</v>
      </c>
    </row>
    <row r="11" spans="1:342" ht="14.55" customHeight="1" x14ac:dyDescent="0.3">
      <c r="A11" s="92">
        <v>8</v>
      </c>
      <c r="B11" s="308" t="s">
        <v>6</v>
      </c>
      <c r="C11" s="55" t="s">
        <v>426</v>
      </c>
      <c r="D11" s="29"/>
      <c r="E11" s="5" t="s">
        <v>13</v>
      </c>
      <c r="F11" s="2" t="s">
        <v>11</v>
      </c>
      <c r="G11" s="6" t="s">
        <v>11</v>
      </c>
      <c r="H11" s="2" t="s">
        <v>32</v>
      </c>
      <c r="I11" s="2" t="s">
        <v>96</v>
      </c>
      <c r="J11" s="2" t="s">
        <v>96</v>
      </c>
      <c r="K11" s="2" t="s">
        <v>136</v>
      </c>
      <c r="L11" s="2" t="s">
        <v>32</v>
      </c>
      <c r="M11" s="2" t="s">
        <v>32</v>
      </c>
      <c r="N11" s="2" t="s">
        <v>32</v>
      </c>
      <c r="O11" s="2" t="s">
        <v>32</v>
      </c>
      <c r="P11" s="2" t="s">
        <v>32</v>
      </c>
      <c r="Q11" s="2" t="s">
        <v>32</v>
      </c>
      <c r="R11" s="2" t="s">
        <v>32</v>
      </c>
      <c r="S11" s="2" t="s">
        <v>32</v>
      </c>
      <c r="T11" s="2" t="s">
        <v>32</v>
      </c>
      <c r="U11" s="2" t="s">
        <v>209</v>
      </c>
      <c r="V11" s="2" t="s">
        <v>209</v>
      </c>
      <c r="W11" s="2" t="s">
        <v>209</v>
      </c>
      <c r="X11" s="2" t="s">
        <v>209</v>
      </c>
      <c r="Y11" s="2" t="s">
        <v>209</v>
      </c>
      <c r="Z11" s="2" t="s">
        <v>308</v>
      </c>
      <c r="AA11" s="2" t="s">
        <v>11</v>
      </c>
      <c r="AB11" s="2" t="s">
        <v>32</v>
      </c>
      <c r="AC11" s="2" t="s">
        <v>32</v>
      </c>
      <c r="AD11" s="2" t="s">
        <v>32</v>
      </c>
      <c r="AE11" s="2" t="s">
        <v>32</v>
      </c>
      <c r="AF11" s="2" t="s">
        <v>32</v>
      </c>
      <c r="AG11" s="2" t="s">
        <v>32</v>
      </c>
      <c r="AH11" s="2" t="s">
        <v>32</v>
      </c>
      <c r="AI11" s="2" t="s">
        <v>32</v>
      </c>
      <c r="AJ11" s="2" t="s">
        <v>32</v>
      </c>
      <c r="AK11" s="2" t="s">
        <v>32</v>
      </c>
      <c r="AL11" s="2" t="s">
        <v>32</v>
      </c>
      <c r="AM11" s="2" t="s">
        <v>32</v>
      </c>
      <c r="AN11" s="2" t="s">
        <v>32</v>
      </c>
      <c r="AO11" s="2" t="s">
        <v>11</v>
      </c>
      <c r="AP11" s="2" t="s">
        <v>11</v>
      </c>
      <c r="AQ11" s="2" t="s">
        <v>32</v>
      </c>
      <c r="AR11" s="2" t="s">
        <v>32</v>
      </c>
      <c r="AS11" s="2" t="s">
        <v>32</v>
      </c>
      <c r="AT11" s="2" t="s">
        <v>626</v>
      </c>
      <c r="AU11" s="2" t="s">
        <v>32</v>
      </c>
      <c r="AV11" s="2" t="s">
        <v>32</v>
      </c>
      <c r="AW11" s="75" t="s">
        <v>32</v>
      </c>
      <c r="AX11" s="75" t="s">
        <v>32</v>
      </c>
      <c r="AY11" s="2" t="s">
        <v>11</v>
      </c>
      <c r="AZ11" s="2" t="s">
        <v>11</v>
      </c>
      <c r="BA11" s="2" t="s">
        <v>32</v>
      </c>
      <c r="BB11" s="2" t="s">
        <v>32</v>
      </c>
      <c r="BC11" s="2" t="s">
        <v>779</v>
      </c>
      <c r="BD11" s="2" t="s">
        <v>782</v>
      </c>
      <c r="BE11" s="2" t="s">
        <v>11</v>
      </c>
      <c r="BF11" s="2" t="s">
        <v>11</v>
      </c>
      <c r="BG11" s="2" t="s">
        <v>779</v>
      </c>
      <c r="BH11" s="2" t="s">
        <v>779</v>
      </c>
      <c r="BI11" s="75" t="s">
        <v>11</v>
      </c>
      <c r="BJ11" s="91" t="s">
        <v>11</v>
      </c>
      <c r="BK11" s="2" t="s">
        <v>32</v>
      </c>
      <c r="BL11" s="2" t="s">
        <v>779</v>
      </c>
      <c r="BM11" s="88" t="s">
        <v>1047</v>
      </c>
      <c r="BN11" s="88" t="s">
        <v>1048</v>
      </c>
      <c r="BO11" s="88" t="s">
        <v>1060</v>
      </c>
      <c r="BP11" s="88" t="s">
        <v>1071</v>
      </c>
      <c r="BQ11" s="88" t="s">
        <v>1079</v>
      </c>
      <c r="BR11" s="117" t="s">
        <v>11</v>
      </c>
      <c r="BS11" s="105" t="s">
        <v>32</v>
      </c>
      <c r="BT11" s="105" t="s">
        <v>11</v>
      </c>
      <c r="BU11" s="115" t="s">
        <v>782</v>
      </c>
      <c r="BV11" s="115" t="s">
        <v>1449</v>
      </c>
      <c r="BW11" s="115" t="s">
        <v>1460</v>
      </c>
      <c r="BX11" s="115" t="s">
        <v>1474</v>
      </c>
      <c r="BY11" s="115" t="s">
        <v>1485</v>
      </c>
      <c r="BZ11" s="115" t="s">
        <v>1495</v>
      </c>
      <c r="CA11" s="41" t="s">
        <v>1559</v>
      </c>
      <c r="CB11" s="41" t="s">
        <v>1578</v>
      </c>
      <c r="CC11" s="41" t="s">
        <v>32</v>
      </c>
      <c r="CD11" s="41" t="s">
        <v>1613</v>
      </c>
      <c r="CE11" s="41" t="s">
        <v>32</v>
      </c>
      <c r="CF11" s="41" t="s">
        <v>782</v>
      </c>
      <c r="CG11" s="41" t="s">
        <v>1578</v>
      </c>
      <c r="CH11" s="41" t="s">
        <v>782</v>
      </c>
      <c r="CI11" s="41" t="s">
        <v>1677</v>
      </c>
      <c r="CJ11" s="41" t="s">
        <v>1545</v>
      </c>
      <c r="CK11" s="41" t="s">
        <v>1545</v>
      </c>
      <c r="CL11" s="41" t="s">
        <v>1545</v>
      </c>
      <c r="CM11" s="41" t="s">
        <v>1714</v>
      </c>
      <c r="CN11" s="41" t="s">
        <v>1727</v>
      </c>
      <c r="CO11" s="41" t="s">
        <v>1542</v>
      </c>
      <c r="CP11" s="41" t="s">
        <v>1750</v>
      </c>
      <c r="CQ11" s="41" t="s">
        <v>1764</v>
      </c>
      <c r="CR11" s="41" t="s">
        <v>136</v>
      </c>
      <c r="CS11" s="41" t="s">
        <v>32</v>
      </c>
      <c r="CT11" s="41" t="s">
        <v>32</v>
      </c>
      <c r="CU11" s="41" t="s">
        <v>32</v>
      </c>
      <c r="CV11" s="41" t="s">
        <v>1613</v>
      </c>
      <c r="CW11" s="41" t="s">
        <v>32</v>
      </c>
      <c r="CX11" s="41" t="s">
        <v>32</v>
      </c>
      <c r="CY11" s="41" t="s">
        <v>32</v>
      </c>
      <c r="CZ11" s="41" t="s">
        <v>32</v>
      </c>
      <c r="DA11" s="41" t="s">
        <v>32</v>
      </c>
      <c r="DB11" s="41" t="s">
        <v>32</v>
      </c>
      <c r="DC11" s="41" t="s">
        <v>32</v>
      </c>
      <c r="DD11" s="41" t="s">
        <v>32</v>
      </c>
      <c r="DE11" s="41" t="s">
        <v>32</v>
      </c>
      <c r="DF11" s="41" t="s">
        <v>32</v>
      </c>
      <c r="DG11" s="41" t="s">
        <v>32</v>
      </c>
      <c r="DH11" s="41" t="s">
        <v>782</v>
      </c>
      <c r="DI11" s="41" t="s">
        <v>782</v>
      </c>
      <c r="DJ11" s="41" t="s">
        <v>32</v>
      </c>
      <c r="DK11" s="41" t="s">
        <v>32</v>
      </c>
      <c r="DL11" s="41" t="s">
        <v>32</v>
      </c>
      <c r="DM11" s="41" t="s">
        <v>11</v>
      </c>
      <c r="DN11" s="41" t="s">
        <v>782</v>
      </c>
      <c r="DO11" s="41" t="s">
        <v>32</v>
      </c>
      <c r="DP11" s="105" t="s">
        <v>32</v>
      </c>
      <c r="DQ11" s="105" t="s">
        <v>32</v>
      </c>
      <c r="DR11" s="105" t="s">
        <v>32</v>
      </c>
      <c r="DS11" s="105" t="s">
        <v>32</v>
      </c>
      <c r="DT11" s="105" t="s">
        <v>32</v>
      </c>
      <c r="DU11" s="41" t="s">
        <v>32</v>
      </c>
      <c r="DV11" s="171" t="s">
        <v>2113</v>
      </c>
      <c r="DW11" s="115" t="s">
        <v>779</v>
      </c>
      <c r="DX11" s="115" t="s">
        <v>32</v>
      </c>
      <c r="DY11" s="115" t="s">
        <v>1764</v>
      </c>
      <c r="DZ11" s="115" t="s">
        <v>32</v>
      </c>
      <c r="EA11" s="115" t="s">
        <v>1764</v>
      </c>
      <c r="EB11" s="115" t="s">
        <v>1764</v>
      </c>
      <c r="EC11" s="115" t="s">
        <v>32</v>
      </c>
      <c r="ED11" s="115" t="s">
        <v>782</v>
      </c>
      <c r="EE11" s="115" t="s">
        <v>782</v>
      </c>
      <c r="EF11" s="115" t="s">
        <v>782</v>
      </c>
      <c r="EG11" s="115" t="s">
        <v>782</v>
      </c>
      <c r="EH11" s="115" t="s">
        <v>32</v>
      </c>
      <c r="EI11" s="187" t="s">
        <v>782</v>
      </c>
      <c r="EJ11" s="115" t="s">
        <v>32</v>
      </c>
      <c r="EK11" s="188" t="s">
        <v>2339</v>
      </c>
      <c r="EL11" s="115" t="s">
        <v>2358</v>
      </c>
      <c r="EM11" s="188" t="s">
        <v>2370</v>
      </c>
      <c r="EN11" s="115" t="s">
        <v>1764</v>
      </c>
      <c r="EO11" s="115" t="s">
        <v>782</v>
      </c>
      <c r="EP11" s="115" t="s">
        <v>782</v>
      </c>
      <c r="EQ11" s="115" t="s">
        <v>2430</v>
      </c>
      <c r="ER11" s="115" t="s">
        <v>782</v>
      </c>
      <c r="ES11" s="115" t="s">
        <v>782</v>
      </c>
      <c r="ET11" s="115" t="s">
        <v>11</v>
      </c>
      <c r="EU11" s="115" t="s">
        <v>2488</v>
      </c>
      <c r="EV11" s="115" t="s">
        <v>2505</v>
      </c>
      <c r="EW11" s="115" t="s">
        <v>782</v>
      </c>
      <c r="EX11" s="115" t="s">
        <v>32</v>
      </c>
      <c r="EY11" s="115" t="s">
        <v>32</v>
      </c>
      <c r="EZ11" s="115" t="s">
        <v>32</v>
      </c>
      <c r="FA11" s="41" t="s">
        <v>782</v>
      </c>
      <c r="FB11" s="41" t="s">
        <v>782</v>
      </c>
      <c r="FC11" s="41" t="s">
        <v>782</v>
      </c>
      <c r="FD11" s="41" t="s">
        <v>782</v>
      </c>
      <c r="FE11" s="41" t="s">
        <v>2636</v>
      </c>
      <c r="FF11" s="41" t="s">
        <v>2652</v>
      </c>
      <c r="FG11" s="41" t="s">
        <v>1474</v>
      </c>
      <c r="FH11" s="41" t="s">
        <v>2674</v>
      </c>
      <c r="FI11" s="41" t="s">
        <v>32</v>
      </c>
      <c r="FJ11" s="41" t="s">
        <v>32</v>
      </c>
      <c r="FK11" s="41" t="s">
        <v>779</v>
      </c>
      <c r="FL11" s="41" t="s">
        <v>779</v>
      </c>
      <c r="FM11" s="200" t="s">
        <v>782</v>
      </c>
      <c r="FN11" s="188" t="s">
        <v>782</v>
      </c>
      <c r="FO11" s="188" t="s">
        <v>2756</v>
      </c>
      <c r="FP11" s="188" t="s">
        <v>2767</v>
      </c>
      <c r="FQ11" s="188" t="s">
        <v>2782</v>
      </c>
      <c r="FR11" s="115" t="s">
        <v>32</v>
      </c>
      <c r="FS11" s="188" t="s">
        <v>782</v>
      </c>
      <c r="FT11" s="188" t="s">
        <v>782</v>
      </c>
      <c r="FU11" s="188" t="s">
        <v>782</v>
      </c>
      <c r="FV11" s="115" t="s">
        <v>2845</v>
      </c>
      <c r="FW11" s="115" t="s">
        <v>2845</v>
      </c>
      <c r="FX11" s="115" t="s">
        <v>2845</v>
      </c>
      <c r="FY11" s="115" t="s">
        <v>779</v>
      </c>
      <c r="FZ11" s="115" t="s">
        <v>32</v>
      </c>
      <c r="GA11" s="115" t="s">
        <v>1764</v>
      </c>
      <c r="GB11" s="115" t="s">
        <v>782</v>
      </c>
      <c r="GC11" s="115" t="s">
        <v>2924</v>
      </c>
      <c r="GD11" s="209" t="s">
        <v>782</v>
      </c>
      <c r="GE11" s="115" t="s">
        <v>32</v>
      </c>
      <c r="GF11" s="159" t="s">
        <v>32</v>
      </c>
      <c r="GG11" s="209" t="s">
        <v>2972</v>
      </c>
      <c r="GH11" s="159" t="s">
        <v>2986</v>
      </c>
      <c r="GI11" s="159" t="s">
        <v>3004</v>
      </c>
      <c r="GJ11" s="159" t="s">
        <v>32</v>
      </c>
      <c r="GK11" s="159" t="s">
        <v>3028</v>
      </c>
      <c r="GL11" s="115" t="s">
        <v>32</v>
      </c>
      <c r="GM11" s="115" t="s">
        <v>779</v>
      </c>
      <c r="GN11" s="115" t="s">
        <v>1474</v>
      </c>
      <c r="GO11" s="115" t="s">
        <v>3078</v>
      </c>
      <c r="GP11" s="115" t="s">
        <v>32</v>
      </c>
      <c r="GQ11" s="209" t="s">
        <v>3114</v>
      </c>
      <c r="GR11" s="115" t="s">
        <v>32</v>
      </c>
      <c r="GS11" s="115" t="s">
        <v>782</v>
      </c>
      <c r="GT11" s="115" t="s">
        <v>782</v>
      </c>
      <c r="GU11" s="115" t="s">
        <v>782</v>
      </c>
      <c r="GV11" s="115" t="s">
        <v>3194</v>
      </c>
      <c r="GW11" s="115" t="s">
        <v>3213</v>
      </c>
      <c r="GX11" s="115" t="s">
        <v>3229</v>
      </c>
      <c r="GY11" s="115" t="s">
        <v>32</v>
      </c>
      <c r="GZ11" s="188" t="s">
        <v>782</v>
      </c>
      <c r="HA11" s="159" t="s">
        <v>32</v>
      </c>
      <c r="HB11" s="159" t="s">
        <v>32</v>
      </c>
      <c r="HC11" s="159" t="s">
        <v>32</v>
      </c>
      <c r="HD11" s="188" t="s">
        <v>782</v>
      </c>
      <c r="HE11" s="184" t="s">
        <v>782</v>
      </c>
      <c r="HF11" s="184" t="s">
        <v>782</v>
      </c>
      <c r="HG11" s="188" t="s">
        <v>3342</v>
      </c>
      <c r="HH11" s="184" t="s">
        <v>782</v>
      </c>
      <c r="HI11" s="202" t="s">
        <v>3363</v>
      </c>
      <c r="HJ11" s="115" t="s">
        <v>3375</v>
      </c>
      <c r="HK11" s="115" t="s">
        <v>3390</v>
      </c>
      <c r="HL11" s="115" t="s">
        <v>3407</v>
      </c>
      <c r="HM11" s="115" t="s">
        <v>3420</v>
      </c>
      <c r="HN11" s="159" t="s">
        <v>782</v>
      </c>
      <c r="HO11" s="115" t="s">
        <v>1460</v>
      </c>
      <c r="HP11" s="115" t="s">
        <v>782</v>
      </c>
      <c r="HQ11" s="115" t="s">
        <v>782</v>
      </c>
      <c r="HR11" s="115" t="s">
        <v>782</v>
      </c>
      <c r="HS11" s="115" t="s">
        <v>782</v>
      </c>
      <c r="HT11" s="184" t="s">
        <v>782</v>
      </c>
      <c r="HU11" s="115" t="s">
        <v>782</v>
      </c>
      <c r="HV11" s="115" t="s">
        <v>782</v>
      </c>
      <c r="HW11" s="115" t="s">
        <v>782</v>
      </c>
      <c r="HX11" s="115" t="s">
        <v>1460</v>
      </c>
      <c r="HY11" s="115" t="s">
        <v>3623</v>
      </c>
      <c r="HZ11" s="115" t="s">
        <v>1677</v>
      </c>
      <c r="IA11" s="115" t="s">
        <v>1460</v>
      </c>
      <c r="IB11" s="115" t="s">
        <v>3656</v>
      </c>
      <c r="IC11" s="115" t="s">
        <v>3669</v>
      </c>
      <c r="ID11" s="184" t="s">
        <v>782</v>
      </c>
      <c r="IE11" s="159" t="s">
        <v>3696</v>
      </c>
      <c r="IF11" s="183" t="s">
        <v>3713</v>
      </c>
      <c r="IG11" s="185" t="s">
        <v>782</v>
      </c>
      <c r="IH11" s="185" t="s">
        <v>782</v>
      </c>
      <c r="II11" s="185" t="s">
        <v>782</v>
      </c>
      <c r="IJ11" s="185" t="s">
        <v>1764</v>
      </c>
      <c r="IK11" s="185" t="s">
        <v>3489</v>
      </c>
      <c r="IL11" s="183" t="s">
        <v>3713</v>
      </c>
      <c r="IM11" s="159" t="s">
        <v>3713</v>
      </c>
      <c r="IN11" s="159" t="s">
        <v>3713</v>
      </c>
      <c r="IO11" s="159" t="s">
        <v>32</v>
      </c>
      <c r="IP11" s="159" t="s">
        <v>32</v>
      </c>
      <c r="IQ11" s="115" t="s">
        <v>782</v>
      </c>
      <c r="IR11" s="159" t="s">
        <v>3713</v>
      </c>
      <c r="IS11" s="115" t="s">
        <v>782</v>
      </c>
      <c r="IT11" s="115" t="s">
        <v>1677</v>
      </c>
      <c r="IU11" s="115" t="s">
        <v>1677</v>
      </c>
      <c r="IV11" s="115" t="s">
        <v>3885</v>
      </c>
      <c r="IW11" s="115" t="s">
        <v>3988</v>
      </c>
      <c r="IX11" s="159"/>
      <c r="IY11" s="115" t="s">
        <v>782</v>
      </c>
      <c r="IZ11" s="115" t="s">
        <v>782</v>
      </c>
      <c r="JA11" s="115" t="s">
        <v>4011</v>
      </c>
      <c r="JB11" s="115" t="s">
        <v>782</v>
      </c>
      <c r="JC11" s="115" t="s">
        <v>782</v>
      </c>
      <c r="JD11" s="115" t="s">
        <v>1460</v>
      </c>
      <c r="JE11" s="115" t="s">
        <v>1460</v>
      </c>
      <c r="JF11" s="115" t="s">
        <v>782</v>
      </c>
      <c r="JG11" s="115" t="s">
        <v>3669</v>
      </c>
      <c r="JH11" s="115" t="s">
        <v>782</v>
      </c>
      <c r="JI11" s="115" t="s">
        <v>4011</v>
      </c>
      <c r="JJ11" s="245" t="s">
        <v>4126</v>
      </c>
      <c r="JK11" s="245" t="s">
        <v>4138</v>
      </c>
      <c r="JL11" s="245" t="s">
        <v>4149</v>
      </c>
      <c r="JM11" s="245" t="s">
        <v>4138</v>
      </c>
      <c r="JN11" s="115" t="s">
        <v>782</v>
      </c>
      <c r="JO11" s="159" t="s">
        <v>4183</v>
      </c>
      <c r="JP11" s="115" t="s">
        <v>1677</v>
      </c>
      <c r="JQ11" s="159" t="s">
        <v>4231</v>
      </c>
      <c r="JR11" s="115" t="s">
        <v>1677</v>
      </c>
      <c r="JS11" s="115" t="s">
        <v>4011</v>
      </c>
      <c r="JT11" s="115" t="s">
        <v>4011</v>
      </c>
      <c r="JU11" s="115" t="s">
        <v>4011</v>
      </c>
      <c r="JV11" s="115" t="s">
        <v>4011</v>
      </c>
      <c r="JW11" s="115" t="s">
        <v>4011</v>
      </c>
      <c r="JX11" s="115" t="s">
        <v>1460</v>
      </c>
      <c r="JY11" s="115" t="s">
        <v>1460</v>
      </c>
      <c r="JZ11" s="115" t="s">
        <v>1460</v>
      </c>
      <c r="KA11" s="115" t="s">
        <v>1460</v>
      </c>
      <c r="KB11" s="115" t="s">
        <v>1460</v>
      </c>
      <c r="KC11" s="115" t="s">
        <v>1460</v>
      </c>
      <c r="KD11" s="115" t="s">
        <v>1677</v>
      </c>
      <c r="KE11" s="115" t="s">
        <v>1677</v>
      </c>
      <c r="KF11" s="115" t="s">
        <v>1677</v>
      </c>
      <c r="KG11" s="159" t="s">
        <v>782</v>
      </c>
      <c r="KH11" s="115" t="s">
        <v>782</v>
      </c>
      <c r="KI11" s="115" t="s">
        <v>782</v>
      </c>
      <c r="KJ11" s="159" t="s">
        <v>4396</v>
      </c>
      <c r="KK11" s="159" t="s">
        <v>4396</v>
      </c>
      <c r="KL11" s="159" t="s">
        <v>1460</v>
      </c>
      <c r="KM11" s="115" t="s">
        <v>782</v>
      </c>
      <c r="KN11" s="187" t="s">
        <v>11</v>
      </c>
      <c r="KO11" s="115" t="s">
        <v>4483</v>
      </c>
      <c r="KP11" s="115" t="s">
        <v>32</v>
      </c>
      <c r="KQ11" s="115" t="s">
        <v>4483</v>
      </c>
      <c r="KR11" s="159" t="s">
        <v>782</v>
      </c>
      <c r="KS11" s="159" t="s">
        <v>782</v>
      </c>
      <c r="KT11" s="159" t="s">
        <v>782</v>
      </c>
      <c r="KU11" s="159" t="s">
        <v>782</v>
      </c>
      <c r="KV11" s="159" t="s">
        <v>782</v>
      </c>
      <c r="KW11" s="115" t="s">
        <v>4011</v>
      </c>
      <c r="KX11" s="115" t="s">
        <v>4011</v>
      </c>
      <c r="KY11" s="245" t="s">
        <v>782</v>
      </c>
      <c r="KZ11" s="245" t="s">
        <v>32</v>
      </c>
      <c r="LA11" s="187" t="s">
        <v>32</v>
      </c>
      <c r="LB11" s="115" t="s">
        <v>1677</v>
      </c>
      <c r="LC11" s="115" t="s">
        <v>4699</v>
      </c>
      <c r="LD11" s="115" t="s">
        <v>4714</v>
      </c>
      <c r="LE11" s="115" t="s">
        <v>782</v>
      </c>
      <c r="LF11" s="115" t="s">
        <v>3917</v>
      </c>
      <c r="LG11" s="115" t="s">
        <v>782</v>
      </c>
      <c r="LH11" s="115" t="s">
        <v>32</v>
      </c>
      <c r="LI11" s="115" t="s">
        <v>32</v>
      </c>
      <c r="LJ11" s="115" t="s">
        <v>32</v>
      </c>
      <c r="LK11" s="115" t="s">
        <v>782</v>
      </c>
      <c r="LL11" s="187" t="s">
        <v>32</v>
      </c>
      <c r="LM11" s="120" t="s">
        <v>32</v>
      </c>
      <c r="LN11" s="265" t="s">
        <v>32</v>
      </c>
      <c r="LO11" s="115" t="s">
        <v>1460</v>
      </c>
      <c r="LP11" s="115" t="s">
        <v>4848</v>
      </c>
      <c r="LQ11" s="265" t="s">
        <v>32</v>
      </c>
      <c r="LR11" s="115" t="s">
        <v>782</v>
      </c>
      <c r="LS11" s="115" t="s">
        <v>32</v>
      </c>
      <c r="LT11" s="115" t="s">
        <v>11</v>
      </c>
      <c r="LU11" s="115" t="s">
        <v>11</v>
      </c>
      <c r="LV11" s="286" t="s">
        <v>11</v>
      </c>
      <c r="LW11" s="115" t="s">
        <v>11</v>
      </c>
      <c r="LX11" s="115" t="s">
        <v>11</v>
      </c>
      <c r="LY11" s="115" t="s">
        <v>4937</v>
      </c>
      <c r="LZ11" s="115" t="s">
        <v>32</v>
      </c>
      <c r="MA11" s="115" t="s">
        <v>32</v>
      </c>
      <c r="MB11" s="115" t="s">
        <v>782</v>
      </c>
      <c r="MC11" s="115" t="s">
        <v>4993</v>
      </c>
      <c r="MD11" s="115" t="s">
        <v>5011</v>
      </c>
    </row>
    <row r="12" spans="1:342" ht="14.4" x14ac:dyDescent="0.3">
      <c r="A12" s="92">
        <v>9</v>
      </c>
      <c r="B12" s="309"/>
      <c r="C12" s="56" t="s">
        <v>427</v>
      </c>
      <c r="D12" s="29"/>
      <c r="E12" s="5" t="s">
        <v>14</v>
      </c>
      <c r="F12" s="2" t="s">
        <v>11</v>
      </c>
      <c r="G12" s="6" t="s">
        <v>11</v>
      </c>
      <c r="H12" s="2" t="s">
        <v>58</v>
      </c>
      <c r="I12" s="2" t="s">
        <v>97</v>
      </c>
      <c r="J12" s="2" t="s">
        <v>97</v>
      </c>
      <c r="K12" s="2" t="s">
        <v>715</v>
      </c>
      <c r="L12" s="2" t="s">
        <v>58</v>
      </c>
      <c r="M12" s="2" t="s">
        <v>84</v>
      </c>
      <c r="N12" s="2" t="s">
        <v>95</v>
      </c>
      <c r="O12" s="2" t="s">
        <v>116</v>
      </c>
      <c r="P12" s="2" t="s">
        <v>128</v>
      </c>
      <c r="Q12" s="2" t="s">
        <v>143</v>
      </c>
      <c r="R12" s="2" t="s">
        <v>152</v>
      </c>
      <c r="S12" s="2" t="s">
        <v>152</v>
      </c>
      <c r="T12" s="2" t="s">
        <v>152</v>
      </c>
      <c r="U12" s="2" t="s">
        <v>272</v>
      </c>
      <c r="V12" s="2" t="s">
        <v>272</v>
      </c>
      <c r="W12" s="2" t="s">
        <v>272</v>
      </c>
      <c r="X12" s="2" t="s">
        <v>58</v>
      </c>
      <c r="Y12" s="2" t="s">
        <v>272</v>
      </c>
      <c r="Z12" s="2" t="s">
        <v>307</v>
      </c>
      <c r="AA12" s="2" t="s">
        <v>11</v>
      </c>
      <c r="AB12" s="2" t="s">
        <v>152</v>
      </c>
      <c r="AC12" s="2" t="s">
        <v>152</v>
      </c>
      <c r="AD12" s="2" t="s">
        <v>152</v>
      </c>
      <c r="AE12" s="2" t="s">
        <v>152</v>
      </c>
      <c r="AF12" s="2" t="s">
        <v>152</v>
      </c>
      <c r="AG12" s="2" t="s">
        <v>152</v>
      </c>
      <c r="AH12" s="2" t="s">
        <v>152</v>
      </c>
      <c r="AI12" s="2" t="s">
        <v>152</v>
      </c>
      <c r="AJ12" s="2" t="s">
        <v>152</v>
      </c>
      <c r="AK12" s="2" t="s">
        <v>152</v>
      </c>
      <c r="AL12" s="2" t="s">
        <v>152</v>
      </c>
      <c r="AM12" s="2" t="s">
        <v>152</v>
      </c>
      <c r="AN12" s="2" t="s">
        <v>152</v>
      </c>
      <c r="AO12" s="2" t="s">
        <v>11</v>
      </c>
      <c r="AP12" s="2" t="s">
        <v>11</v>
      </c>
      <c r="AQ12" s="2" t="s">
        <v>152</v>
      </c>
      <c r="AR12" s="2" t="s">
        <v>152</v>
      </c>
      <c r="AS12" s="2" t="s">
        <v>152</v>
      </c>
      <c r="AT12" s="2" t="s">
        <v>627</v>
      </c>
      <c r="AU12" s="2" t="s">
        <v>152</v>
      </c>
      <c r="AV12" s="2" t="s">
        <v>152</v>
      </c>
      <c r="AW12" s="75" t="s">
        <v>152</v>
      </c>
      <c r="AX12" s="75" t="s">
        <v>684</v>
      </c>
      <c r="AY12" s="2" t="s">
        <v>11</v>
      </c>
      <c r="AZ12" s="2" t="s">
        <v>11</v>
      </c>
      <c r="BA12" s="2" t="s">
        <v>152</v>
      </c>
      <c r="BB12" s="2" t="s">
        <v>152</v>
      </c>
      <c r="BC12" s="2" t="s">
        <v>780</v>
      </c>
      <c r="BD12" s="2" t="s">
        <v>684</v>
      </c>
      <c r="BE12" s="2" t="s">
        <v>11</v>
      </c>
      <c r="BF12" s="2" t="s">
        <v>11</v>
      </c>
      <c r="BG12" s="2" t="s">
        <v>780</v>
      </c>
      <c r="BH12" s="2" t="s">
        <v>780</v>
      </c>
      <c r="BI12" s="88" t="s">
        <v>11</v>
      </c>
      <c r="BJ12" s="91" t="s">
        <v>11</v>
      </c>
      <c r="BK12" s="2" t="s">
        <v>1114</v>
      </c>
      <c r="BL12" s="2" t="s">
        <v>1093</v>
      </c>
      <c r="BM12" s="88" t="s">
        <v>1026</v>
      </c>
      <c r="BN12" s="88" t="s">
        <v>1026</v>
      </c>
      <c r="BO12" s="88" t="s">
        <v>1026</v>
      </c>
      <c r="BP12" s="88" t="s">
        <v>1026</v>
      </c>
      <c r="BQ12" s="88" t="s">
        <v>1026</v>
      </c>
      <c r="BR12" s="117" t="s">
        <v>11</v>
      </c>
      <c r="BS12" s="105" t="s">
        <v>1406</v>
      </c>
      <c r="BT12" s="105" t="s">
        <v>11</v>
      </c>
      <c r="BU12" s="115" t="s">
        <v>1437</v>
      </c>
      <c r="BV12" s="115" t="s">
        <v>1450</v>
      </c>
      <c r="BW12" s="115" t="s">
        <v>1461</v>
      </c>
      <c r="BX12" s="115" t="s">
        <v>1475</v>
      </c>
      <c r="BY12" s="115" t="s">
        <v>1486</v>
      </c>
      <c r="BZ12" s="115" t="s">
        <v>1495</v>
      </c>
      <c r="CA12" s="41" t="s">
        <v>1560</v>
      </c>
      <c r="CB12" s="41" t="s">
        <v>1579</v>
      </c>
      <c r="CC12" s="41" t="s">
        <v>152</v>
      </c>
      <c r="CD12" s="41" t="s">
        <v>1614</v>
      </c>
      <c r="CE12" s="41" t="s">
        <v>1630</v>
      </c>
      <c r="CF12" s="41" t="s">
        <v>1647</v>
      </c>
      <c r="CG12" s="41" t="s">
        <v>1579</v>
      </c>
      <c r="CH12" s="41" t="s">
        <v>152</v>
      </c>
      <c r="CI12" s="41" t="s">
        <v>1678</v>
      </c>
      <c r="CJ12" s="41" t="s">
        <v>1546</v>
      </c>
      <c r="CK12" s="41" t="s">
        <v>1546</v>
      </c>
      <c r="CL12" s="41" t="s">
        <v>1546</v>
      </c>
      <c r="CM12" s="41" t="s">
        <v>1715</v>
      </c>
      <c r="CN12" s="41" t="s">
        <v>1516</v>
      </c>
      <c r="CO12" s="41" t="s">
        <v>1534</v>
      </c>
      <c r="CP12" s="41" t="s">
        <v>1751</v>
      </c>
      <c r="CQ12" s="41" t="s">
        <v>1765</v>
      </c>
      <c r="CR12" s="41" t="s">
        <v>1779</v>
      </c>
      <c r="CS12" s="41" t="s">
        <v>152</v>
      </c>
      <c r="CT12" s="41" t="s">
        <v>1800</v>
      </c>
      <c r="CU12" s="41" t="s">
        <v>152</v>
      </c>
      <c r="CV12" s="41" t="s">
        <v>1516</v>
      </c>
      <c r="CW12" s="41" t="s">
        <v>152</v>
      </c>
      <c r="CX12" s="41" t="s">
        <v>152</v>
      </c>
      <c r="CY12" s="41" t="s">
        <v>152</v>
      </c>
      <c r="CZ12" s="41" t="s">
        <v>152</v>
      </c>
      <c r="DA12" s="41" t="s">
        <v>152</v>
      </c>
      <c r="DB12" s="41" t="s">
        <v>152</v>
      </c>
      <c r="DC12" s="41" t="s">
        <v>152</v>
      </c>
      <c r="DD12" s="41" t="s">
        <v>152</v>
      </c>
      <c r="DE12" s="41" t="s">
        <v>152</v>
      </c>
      <c r="DF12" s="41" t="s">
        <v>152</v>
      </c>
      <c r="DG12" s="41" t="s">
        <v>152</v>
      </c>
      <c r="DH12" s="41" t="s">
        <v>152</v>
      </c>
      <c r="DI12" s="41" t="s">
        <v>152</v>
      </c>
      <c r="DJ12" s="41" t="s">
        <v>152</v>
      </c>
      <c r="DK12" s="41" t="s">
        <v>152</v>
      </c>
      <c r="DL12" s="41" t="s">
        <v>1406</v>
      </c>
      <c r="DM12" s="41" t="s">
        <v>11</v>
      </c>
      <c r="DN12" s="41" t="s">
        <v>2063</v>
      </c>
      <c r="DO12" s="41" t="s">
        <v>2069</v>
      </c>
      <c r="DP12" s="105" t="s">
        <v>2008</v>
      </c>
      <c r="DQ12" s="105" t="s">
        <v>2008</v>
      </c>
      <c r="DR12" s="105" t="s">
        <v>2008</v>
      </c>
      <c r="DS12" s="105" t="s">
        <v>2008</v>
      </c>
      <c r="DT12" s="105" t="s">
        <v>2008</v>
      </c>
      <c r="DU12" s="41" t="s">
        <v>152</v>
      </c>
      <c r="DV12" s="171" t="s">
        <v>779</v>
      </c>
      <c r="DW12" s="115" t="s">
        <v>868</v>
      </c>
      <c r="DX12" s="115" t="s">
        <v>868</v>
      </c>
      <c r="DY12" s="115" t="s">
        <v>868</v>
      </c>
      <c r="DZ12" s="115" t="s">
        <v>868</v>
      </c>
      <c r="EA12" s="115" t="s">
        <v>868</v>
      </c>
      <c r="EB12" s="115" t="s">
        <v>868</v>
      </c>
      <c r="EC12" s="115" t="s">
        <v>868</v>
      </c>
      <c r="ED12" s="115" t="s">
        <v>2271</v>
      </c>
      <c r="EE12" s="115" t="s">
        <v>2271</v>
      </c>
      <c r="EF12" s="115" t="s">
        <v>2271</v>
      </c>
      <c r="EG12" s="115" t="s">
        <v>2271</v>
      </c>
      <c r="EH12" s="115" t="s">
        <v>2008</v>
      </c>
      <c r="EI12" s="187" t="s">
        <v>2271</v>
      </c>
      <c r="EJ12" s="115" t="s">
        <v>152</v>
      </c>
      <c r="EK12" s="187" t="s">
        <v>2340</v>
      </c>
      <c r="EL12" s="115" t="s">
        <v>2271</v>
      </c>
      <c r="EM12" s="187" t="s">
        <v>2340</v>
      </c>
      <c r="EN12" s="115" t="s">
        <v>868</v>
      </c>
      <c r="EO12" s="115" t="s">
        <v>2271</v>
      </c>
      <c r="EP12" s="115" t="s">
        <v>2271</v>
      </c>
      <c r="EQ12" s="115" t="s">
        <v>2271</v>
      </c>
      <c r="ER12" s="115" t="s">
        <v>2271</v>
      </c>
      <c r="ES12" s="115" t="s">
        <v>2271</v>
      </c>
      <c r="ET12" s="115" t="s">
        <v>11</v>
      </c>
      <c r="EU12" s="115" t="s">
        <v>2489</v>
      </c>
      <c r="EV12" s="115" t="s">
        <v>2506</v>
      </c>
      <c r="EW12" s="115" t="s">
        <v>2522</v>
      </c>
      <c r="EX12" s="115" t="s">
        <v>152</v>
      </c>
      <c r="EY12" s="115" t="s">
        <v>152</v>
      </c>
      <c r="EZ12" s="115" t="s">
        <v>152</v>
      </c>
      <c r="FA12" s="41" t="s">
        <v>1437</v>
      </c>
      <c r="FB12" s="41" t="s">
        <v>1437</v>
      </c>
      <c r="FC12" s="41" t="s">
        <v>2627</v>
      </c>
      <c r="FD12" s="41" t="s">
        <v>2627</v>
      </c>
      <c r="FE12" s="41" t="s">
        <v>2637</v>
      </c>
      <c r="FF12" s="41" t="s">
        <v>2271</v>
      </c>
      <c r="FG12" s="41" t="s">
        <v>2271</v>
      </c>
      <c r="FH12" s="41" t="s">
        <v>2271</v>
      </c>
      <c r="FI12" s="41" t="s">
        <v>152</v>
      </c>
      <c r="FJ12" s="41" t="s">
        <v>152</v>
      </c>
      <c r="FK12" s="41" t="s">
        <v>868</v>
      </c>
      <c r="FL12" s="41" t="s">
        <v>868</v>
      </c>
      <c r="FM12" s="200" t="s">
        <v>152</v>
      </c>
      <c r="FN12" s="187" t="s">
        <v>2271</v>
      </c>
      <c r="FO12" s="187" t="s">
        <v>2271</v>
      </c>
      <c r="FP12" s="187" t="s">
        <v>2271</v>
      </c>
      <c r="FQ12" s="187" t="s">
        <v>2271</v>
      </c>
      <c r="FR12" s="115" t="s">
        <v>152</v>
      </c>
      <c r="FS12" s="187" t="s">
        <v>2271</v>
      </c>
      <c r="FT12" s="187" t="s">
        <v>152</v>
      </c>
      <c r="FU12" s="187" t="s">
        <v>152</v>
      </c>
      <c r="FV12" s="115" t="s">
        <v>2846</v>
      </c>
      <c r="FW12" s="115" t="s">
        <v>2860</v>
      </c>
      <c r="FX12" s="115" t="s">
        <v>2871</v>
      </c>
      <c r="FY12" s="115" t="s">
        <v>868</v>
      </c>
      <c r="FZ12" s="115" t="s">
        <v>2008</v>
      </c>
      <c r="GA12" s="115" t="s">
        <v>2271</v>
      </c>
      <c r="GB12" s="115" t="s">
        <v>2914</v>
      </c>
      <c r="GC12" s="115" t="s">
        <v>2914</v>
      </c>
      <c r="GD12" s="208" t="s">
        <v>152</v>
      </c>
      <c r="GE12" s="115" t="s">
        <v>2008</v>
      </c>
      <c r="GF12" s="159" t="s">
        <v>2959</v>
      </c>
      <c r="GG12" s="208" t="s">
        <v>2973</v>
      </c>
      <c r="GH12" s="159" t="s">
        <v>2987</v>
      </c>
      <c r="GI12" s="159" t="s">
        <v>3005</v>
      </c>
      <c r="GJ12" s="159" t="s">
        <v>3016</v>
      </c>
      <c r="GK12" s="159" t="s">
        <v>3029</v>
      </c>
      <c r="GL12" s="115" t="s">
        <v>152</v>
      </c>
      <c r="GM12" s="115" t="s">
        <v>868</v>
      </c>
      <c r="GN12" s="115" t="s">
        <v>2271</v>
      </c>
      <c r="GO12" s="115" t="s">
        <v>3079</v>
      </c>
      <c r="GP12" s="115" t="s">
        <v>152</v>
      </c>
      <c r="GQ12" s="208" t="s">
        <v>3115</v>
      </c>
      <c r="GR12" s="115" t="s">
        <v>152</v>
      </c>
      <c r="GS12" s="115" t="s">
        <v>2271</v>
      </c>
      <c r="GT12" s="115" t="s">
        <v>2271</v>
      </c>
      <c r="GU12" s="115" t="s">
        <v>2271</v>
      </c>
      <c r="GV12" s="115" t="s">
        <v>3195</v>
      </c>
      <c r="GW12" s="115" t="s">
        <v>3214</v>
      </c>
      <c r="GX12" s="115" t="s">
        <v>2271</v>
      </c>
      <c r="GY12" s="115" t="s">
        <v>152</v>
      </c>
      <c r="GZ12" s="187" t="s">
        <v>152</v>
      </c>
      <c r="HA12" s="159" t="s">
        <v>152</v>
      </c>
      <c r="HB12" s="159" t="s">
        <v>3282</v>
      </c>
      <c r="HC12" s="159" t="s">
        <v>152</v>
      </c>
      <c r="HD12" s="187" t="s">
        <v>152</v>
      </c>
      <c r="HE12" s="115" t="s">
        <v>3314</v>
      </c>
      <c r="HF12" s="115" t="s">
        <v>3314</v>
      </c>
      <c r="HG12" s="187" t="s">
        <v>3343</v>
      </c>
      <c r="HH12" s="115" t="s">
        <v>3314</v>
      </c>
      <c r="HI12" s="200" t="s">
        <v>2271</v>
      </c>
      <c r="HJ12" s="115" t="s">
        <v>3376</v>
      </c>
      <c r="HK12" s="115" t="s">
        <v>3391</v>
      </c>
      <c r="HL12" s="115" t="s">
        <v>3408</v>
      </c>
      <c r="HM12" s="115" t="s">
        <v>3421</v>
      </c>
      <c r="HN12" s="115" t="s">
        <v>868</v>
      </c>
      <c r="HO12" s="115" t="s">
        <v>2271</v>
      </c>
      <c r="HP12" s="115" t="s">
        <v>2271</v>
      </c>
      <c r="HQ12" s="115" t="s">
        <v>3539</v>
      </c>
      <c r="HR12" s="115" t="s">
        <v>2271</v>
      </c>
      <c r="HS12" s="115" t="s">
        <v>2271</v>
      </c>
      <c r="HT12" s="115" t="s">
        <v>2271</v>
      </c>
      <c r="HU12" s="115" t="s">
        <v>2271</v>
      </c>
      <c r="HV12" s="115" t="s">
        <v>2271</v>
      </c>
      <c r="HW12" s="115" t="s">
        <v>2271</v>
      </c>
      <c r="HX12" s="115" t="s">
        <v>2271</v>
      </c>
      <c r="HY12" s="115" t="s">
        <v>2271</v>
      </c>
      <c r="HZ12" s="115" t="s">
        <v>1677</v>
      </c>
      <c r="IA12" s="115" t="s">
        <v>2271</v>
      </c>
      <c r="IB12" s="115" t="s">
        <v>3657</v>
      </c>
      <c r="IC12" s="115" t="s">
        <v>2271</v>
      </c>
      <c r="ID12" s="115" t="s">
        <v>2271</v>
      </c>
      <c r="IE12" s="159" t="s">
        <v>3214</v>
      </c>
      <c r="IF12" s="183" t="s">
        <v>2271</v>
      </c>
      <c r="IG12" s="185" t="s">
        <v>2271</v>
      </c>
      <c r="IH12" s="185" t="s">
        <v>2271</v>
      </c>
      <c r="II12" s="185" t="s">
        <v>3742</v>
      </c>
      <c r="IJ12" s="185" t="s">
        <v>3755</v>
      </c>
      <c r="IK12" s="185" t="s">
        <v>3490</v>
      </c>
      <c r="IL12" s="183" t="s">
        <v>2271</v>
      </c>
      <c r="IM12" s="159" t="s">
        <v>3781</v>
      </c>
      <c r="IN12" s="159" t="s">
        <v>2271</v>
      </c>
      <c r="IO12" s="159" t="s">
        <v>152</v>
      </c>
      <c r="IP12" s="159" t="s">
        <v>152</v>
      </c>
      <c r="IQ12" s="115" t="s">
        <v>2271</v>
      </c>
      <c r="IR12" s="159" t="s">
        <v>2271</v>
      </c>
      <c r="IS12" s="115" t="s">
        <v>2271</v>
      </c>
      <c r="IT12" s="115" t="s">
        <v>3857</v>
      </c>
      <c r="IU12" s="115" t="s">
        <v>3857</v>
      </c>
      <c r="IV12" s="115" t="s">
        <v>3886</v>
      </c>
      <c r="IW12" s="159" t="s">
        <v>3989</v>
      </c>
      <c r="IX12" s="159"/>
      <c r="IY12" s="115" t="s">
        <v>2271</v>
      </c>
      <c r="IZ12" s="115" t="s">
        <v>2271</v>
      </c>
      <c r="JA12" s="115" t="s">
        <v>2271</v>
      </c>
      <c r="JB12" s="115" t="s">
        <v>2271</v>
      </c>
      <c r="JC12" s="115" t="s">
        <v>2271</v>
      </c>
      <c r="JD12" s="115" t="s">
        <v>2271</v>
      </c>
      <c r="JE12" s="115" t="s">
        <v>2271</v>
      </c>
      <c r="JF12" s="115" t="s">
        <v>2271</v>
      </c>
      <c r="JG12" s="115" t="s">
        <v>2271</v>
      </c>
      <c r="JH12" s="115" t="s">
        <v>2271</v>
      </c>
      <c r="JI12" s="115" t="s">
        <v>2271</v>
      </c>
      <c r="JJ12" s="245" t="s">
        <v>4127</v>
      </c>
      <c r="JK12" s="245" t="s">
        <v>4139</v>
      </c>
      <c r="JL12" s="245" t="s">
        <v>4150</v>
      </c>
      <c r="JM12" s="245" t="s">
        <v>4139</v>
      </c>
      <c r="JN12" s="115" t="s">
        <v>2271</v>
      </c>
      <c r="JO12" s="159" t="s">
        <v>4184</v>
      </c>
      <c r="JP12" s="115" t="s">
        <v>2271</v>
      </c>
      <c r="JQ12" s="159" t="s">
        <v>3005</v>
      </c>
      <c r="JR12" s="115" t="s">
        <v>2271</v>
      </c>
      <c r="JS12" s="115" t="s">
        <v>2271</v>
      </c>
      <c r="JT12" s="115" t="s">
        <v>2271</v>
      </c>
      <c r="JU12" s="115" t="s">
        <v>2271</v>
      </c>
      <c r="JV12" s="115" t="s">
        <v>2271</v>
      </c>
      <c r="JW12" s="115" t="s">
        <v>2271</v>
      </c>
      <c r="JX12" s="115" t="s">
        <v>4285</v>
      </c>
      <c r="JY12" s="115" t="s">
        <v>4285</v>
      </c>
      <c r="JZ12" s="115" t="s">
        <v>4285</v>
      </c>
      <c r="KA12" s="115" t="s">
        <v>4285</v>
      </c>
      <c r="KB12" s="115" t="s">
        <v>4285</v>
      </c>
      <c r="KC12" s="115" t="s">
        <v>4285</v>
      </c>
      <c r="KD12" s="115" t="s">
        <v>2271</v>
      </c>
      <c r="KE12" s="115" t="s">
        <v>2271</v>
      </c>
      <c r="KF12" s="115" t="s">
        <v>2271</v>
      </c>
      <c r="KG12" s="159" t="s">
        <v>2271</v>
      </c>
      <c r="KH12" s="115" t="s">
        <v>2271</v>
      </c>
      <c r="KI12" s="115" t="s">
        <v>2271</v>
      </c>
      <c r="KJ12" s="159" t="s">
        <v>4397</v>
      </c>
      <c r="KK12" s="159" t="s">
        <v>4413</v>
      </c>
      <c r="KL12" s="159" t="s">
        <v>4422</v>
      </c>
      <c r="KM12" s="115" t="s">
        <v>2271</v>
      </c>
      <c r="KN12" s="187" t="s">
        <v>11</v>
      </c>
      <c r="KO12" s="115" t="s">
        <v>152</v>
      </c>
      <c r="KP12" s="115" t="s">
        <v>152</v>
      </c>
      <c r="KQ12" s="115" t="s">
        <v>152</v>
      </c>
      <c r="KR12" s="159" t="s">
        <v>2271</v>
      </c>
      <c r="KS12" s="159" t="s">
        <v>2271</v>
      </c>
      <c r="KT12" s="159" t="s">
        <v>2271</v>
      </c>
      <c r="KU12" s="159" t="s">
        <v>2271</v>
      </c>
      <c r="KV12" s="159" t="s">
        <v>2271</v>
      </c>
      <c r="KW12" s="115" t="s">
        <v>2271</v>
      </c>
      <c r="KX12" s="115" t="s">
        <v>2271</v>
      </c>
      <c r="KY12" s="245" t="s">
        <v>2522</v>
      </c>
      <c r="KZ12" s="245" t="s">
        <v>4139</v>
      </c>
      <c r="LA12" s="187" t="s">
        <v>4139</v>
      </c>
      <c r="LB12" s="115" t="s">
        <v>4685</v>
      </c>
      <c r="LC12" s="115" t="s">
        <v>4700</v>
      </c>
      <c r="LD12" s="115" t="s">
        <v>4715</v>
      </c>
      <c r="LE12" s="115" t="s">
        <v>4724</v>
      </c>
      <c r="LF12" s="115" t="s">
        <v>4736</v>
      </c>
      <c r="LG12" s="115" t="s">
        <v>4817</v>
      </c>
      <c r="LH12" s="115" t="s">
        <v>152</v>
      </c>
      <c r="LI12" s="115" t="s">
        <v>152</v>
      </c>
      <c r="LJ12" s="115" t="s">
        <v>152</v>
      </c>
      <c r="LK12" s="115" t="s">
        <v>4139</v>
      </c>
      <c r="LL12" s="187" t="s">
        <v>4139</v>
      </c>
      <c r="LM12" s="120" t="s">
        <v>152</v>
      </c>
      <c r="LN12" s="265" t="s">
        <v>4139</v>
      </c>
      <c r="LO12" s="115" t="s">
        <v>2271</v>
      </c>
      <c r="LP12" s="115" t="s">
        <v>4849</v>
      </c>
      <c r="LQ12" s="265" t="s">
        <v>4139</v>
      </c>
      <c r="LR12" s="115" t="s">
        <v>4817</v>
      </c>
      <c r="LS12" s="115" t="s">
        <v>152</v>
      </c>
      <c r="LT12" s="115" t="s">
        <v>11</v>
      </c>
      <c r="LU12" s="115" t="s">
        <v>11</v>
      </c>
      <c r="LV12" s="286" t="s">
        <v>11</v>
      </c>
      <c r="LW12" s="115" t="s">
        <v>11</v>
      </c>
      <c r="LX12" s="115" t="s">
        <v>11</v>
      </c>
      <c r="LY12" s="115" t="s">
        <v>3490</v>
      </c>
      <c r="LZ12" s="115" t="s">
        <v>152</v>
      </c>
      <c r="MA12" s="115" t="s">
        <v>152</v>
      </c>
      <c r="MB12" s="115" t="s">
        <v>2271</v>
      </c>
      <c r="MC12" s="115" t="s">
        <v>4994</v>
      </c>
      <c r="MD12" s="115" t="s">
        <v>5012</v>
      </c>
    </row>
    <row r="13" spans="1:342" ht="14.4" x14ac:dyDescent="0.3">
      <c r="A13" s="92">
        <v>10</v>
      </c>
      <c r="B13" s="309"/>
      <c r="C13" s="56" t="s">
        <v>428</v>
      </c>
      <c r="D13" s="29"/>
      <c r="E13" s="5" t="s">
        <v>15</v>
      </c>
      <c r="F13" s="2" t="s">
        <v>11</v>
      </c>
      <c r="G13" s="2" t="s">
        <v>46</v>
      </c>
      <c r="H13" s="2" t="s">
        <v>59</v>
      </c>
      <c r="I13" s="2" t="s">
        <v>34</v>
      </c>
      <c r="J13" s="2" t="s">
        <v>34</v>
      </c>
      <c r="K13" s="6" t="s">
        <v>11</v>
      </c>
      <c r="L13" s="2" t="s">
        <v>59</v>
      </c>
      <c r="M13" s="2" t="s">
        <v>59</v>
      </c>
      <c r="N13" s="2" t="s">
        <v>59</v>
      </c>
      <c r="O13" s="2" t="s">
        <v>117</v>
      </c>
      <c r="P13" s="2" t="s">
        <v>34</v>
      </c>
      <c r="Q13" s="2" t="s">
        <v>144</v>
      </c>
      <c r="R13" s="2" t="s">
        <v>153</v>
      </c>
      <c r="S13" s="2" t="s">
        <v>153</v>
      </c>
      <c r="T13" s="2" t="s">
        <v>153</v>
      </c>
      <c r="U13" s="2" t="s">
        <v>273</v>
      </c>
      <c r="V13" s="2" t="s">
        <v>273</v>
      </c>
      <c r="W13" s="2" t="s">
        <v>273</v>
      </c>
      <c r="X13" s="2" t="s">
        <v>59</v>
      </c>
      <c r="Y13" s="2" t="s">
        <v>59</v>
      </c>
      <c r="Z13" s="2" t="s">
        <v>306</v>
      </c>
      <c r="AA13" s="2" t="s">
        <v>339</v>
      </c>
      <c r="AB13" s="2" t="s">
        <v>153</v>
      </c>
      <c r="AC13" s="2" t="s">
        <v>153</v>
      </c>
      <c r="AD13" s="2" t="s">
        <v>153</v>
      </c>
      <c r="AE13" s="2" t="s">
        <v>153</v>
      </c>
      <c r="AF13" s="2" t="s">
        <v>153</v>
      </c>
      <c r="AG13" s="2" t="s">
        <v>399</v>
      </c>
      <c r="AH13" s="2" t="s">
        <v>399</v>
      </c>
      <c r="AI13" s="2" t="s">
        <v>153</v>
      </c>
      <c r="AJ13" s="2" t="s">
        <v>522</v>
      </c>
      <c r="AK13" s="2" t="s">
        <v>153</v>
      </c>
      <c r="AL13" s="2" t="s">
        <v>522</v>
      </c>
      <c r="AM13" s="2" t="s">
        <v>153</v>
      </c>
      <c r="AN13" s="2" t="s">
        <v>563</v>
      </c>
      <c r="AO13" s="2" t="s">
        <v>563</v>
      </c>
      <c r="AP13" s="2" t="s">
        <v>563</v>
      </c>
      <c r="AQ13" s="2" t="s">
        <v>597</v>
      </c>
      <c r="AR13" s="2" t="s">
        <v>614</v>
      </c>
      <c r="AS13" s="2" t="s">
        <v>614</v>
      </c>
      <c r="AT13" s="2" t="s">
        <v>11</v>
      </c>
      <c r="AU13" s="2" t="s">
        <v>614</v>
      </c>
      <c r="AV13" s="2" t="s">
        <v>614</v>
      </c>
      <c r="AW13" s="75" t="s">
        <v>614</v>
      </c>
      <c r="AX13" s="25" t="s">
        <v>674</v>
      </c>
      <c r="AY13" s="2" t="s">
        <v>11</v>
      </c>
      <c r="AZ13" s="2" t="s">
        <v>11</v>
      </c>
      <c r="BA13" s="2" t="s">
        <v>739</v>
      </c>
      <c r="BB13" s="2" t="s">
        <v>756</v>
      </c>
      <c r="BC13" s="2" t="s">
        <v>779</v>
      </c>
      <c r="BD13" s="2" t="s">
        <v>779</v>
      </c>
      <c r="BE13" s="2" t="s">
        <v>779</v>
      </c>
      <c r="BF13" s="2" t="s">
        <v>779</v>
      </c>
      <c r="BG13" s="2" t="s">
        <v>779</v>
      </c>
      <c r="BH13" s="2" t="s">
        <v>779</v>
      </c>
      <c r="BI13" s="41" t="s">
        <v>816</v>
      </c>
      <c r="BJ13" s="91" t="s">
        <v>816</v>
      </c>
      <c r="BK13" s="2" t="s">
        <v>1115</v>
      </c>
      <c r="BL13" s="2" t="s">
        <v>779</v>
      </c>
      <c r="BM13" s="88" t="s">
        <v>1027</v>
      </c>
      <c r="BN13" s="88" t="s">
        <v>1027</v>
      </c>
      <c r="BO13" s="88" t="s">
        <v>1027</v>
      </c>
      <c r="BP13" s="88" t="s">
        <v>1027</v>
      </c>
      <c r="BQ13" s="88" t="s">
        <v>1027</v>
      </c>
      <c r="BR13" s="117" t="s">
        <v>11</v>
      </c>
      <c r="BS13" s="105" t="s">
        <v>1407</v>
      </c>
      <c r="BT13" s="105" t="s">
        <v>11</v>
      </c>
      <c r="BU13" s="115" t="s">
        <v>11</v>
      </c>
      <c r="BV13" s="115" t="s">
        <v>816</v>
      </c>
      <c r="BW13" s="115" t="s">
        <v>11</v>
      </c>
      <c r="BX13" s="115" t="s">
        <v>11</v>
      </c>
      <c r="BY13" s="115" t="s">
        <v>1487</v>
      </c>
      <c r="BZ13" s="115" t="s">
        <v>11</v>
      </c>
      <c r="CA13" s="41" t="s">
        <v>1561</v>
      </c>
      <c r="CB13" s="41" t="s">
        <v>11</v>
      </c>
      <c r="CC13" s="41" t="s">
        <v>1598</v>
      </c>
      <c r="CD13" s="41" t="s">
        <v>1615</v>
      </c>
      <c r="CE13" s="41" t="s">
        <v>1631</v>
      </c>
      <c r="CF13" s="41" t="s">
        <v>339</v>
      </c>
      <c r="CG13" s="41" t="s">
        <v>11</v>
      </c>
      <c r="CH13" s="41" t="s">
        <v>1485</v>
      </c>
      <c r="CI13" s="41" t="s">
        <v>11</v>
      </c>
      <c r="CJ13" s="41" t="s">
        <v>11</v>
      </c>
      <c r="CK13" s="41" t="s">
        <v>11</v>
      </c>
      <c r="CL13" s="41" t="s">
        <v>11</v>
      </c>
      <c r="CM13" s="41" t="s">
        <v>11</v>
      </c>
      <c r="CN13" s="41" t="s">
        <v>1615</v>
      </c>
      <c r="CO13" s="41" t="s">
        <v>11</v>
      </c>
      <c r="CP13" s="41" t="s">
        <v>11</v>
      </c>
      <c r="CQ13" s="41" t="s">
        <v>1561</v>
      </c>
      <c r="CR13" s="41" t="s">
        <v>1615</v>
      </c>
      <c r="CS13" s="41" t="s">
        <v>1788</v>
      </c>
      <c r="CT13" s="41" t="s">
        <v>1801</v>
      </c>
      <c r="CU13" s="41" t="s">
        <v>1598</v>
      </c>
      <c r="CV13" s="41" t="s">
        <v>1615</v>
      </c>
      <c r="CW13" s="41" t="s">
        <v>1788</v>
      </c>
      <c r="CX13" s="41" t="s">
        <v>1835</v>
      </c>
      <c r="CY13" s="41" t="s">
        <v>1835</v>
      </c>
      <c r="CZ13" s="41" t="s">
        <v>1835</v>
      </c>
      <c r="DA13" s="41" t="s">
        <v>1835</v>
      </c>
      <c r="DB13" s="41" t="s">
        <v>1867</v>
      </c>
      <c r="DC13" s="41" t="s">
        <v>1878</v>
      </c>
      <c r="DD13" s="41" t="s">
        <v>1878</v>
      </c>
      <c r="DE13" s="41" t="s">
        <v>1835</v>
      </c>
      <c r="DF13" s="41" t="s">
        <v>1835</v>
      </c>
      <c r="DG13" s="41" t="s">
        <v>1878</v>
      </c>
      <c r="DH13" s="41" t="s">
        <v>1878</v>
      </c>
      <c r="DI13" s="41" t="s">
        <v>1835</v>
      </c>
      <c r="DJ13" s="41" t="s">
        <v>614</v>
      </c>
      <c r="DK13" s="41" t="s">
        <v>614</v>
      </c>
      <c r="DL13" s="41" t="s">
        <v>1970</v>
      </c>
      <c r="DM13" s="41" t="s">
        <v>2045</v>
      </c>
      <c r="DN13" s="41" t="s">
        <v>2045</v>
      </c>
      <c r="DO13" s="41" t="s">
        <v>2070</v>
      </c>
      <c r="DP13" s="105" t="s">
        <v>1561</v>
      </c>
      <c r="DQ13" s="105" t="s">
        <v>1561</v>
      </c>
      <c r="DR13" s="105" t="s">
        <v>1561</v>
      </c>
      <c r="DS13" s="105" t="s">
        <v>1561</v>
      </c>
      <c r="DT13" s="105" t="s">
        <v>1561</v>
      </c>
      <c r="DU13" s="41" t="s">
        <v>2091</v>
      </c>
      <c r="DV13" s="171" t="s">
        <v>11</v>
      </c>
      <c r="DW13" s="115" t="s">
        <v>11</v>
      </c>
      <c r="DX13" s="115" t="s">
        <v>153</v>
      </c>
      <c r="DY13" s="115" t="s">
        <v>2201</v>
      </c>
      <c r="DZ13" s="115" t="s">
        <v>153</v>
      </c>
      <c r="EA13" s="115" t="s">
        <v>2201</v>
      </c>
      <c r="EB13" s="115" t="s">
        <v>2201</v>
      </c>
      <c r="EC13" s="115" t="s">
        <v>2255</v>
      </c>
      <c r="ED13" s="115" t="s">
        <v>756</v>
      </c>
      <c r="EE13" s="115" t="s">
        <v>756</v>
      </c>
      <c r="EF13" s="115" t="s">
        <v>2291</v>
      </c>
      <c r="EG13" s="115" t="s">
        <v>2291</v>
      </c>
      <c r="EH13" s="115" t="s">
        <v>1561</v>
      </c>
      <c r="EI13" s="187" t="s">
        <v>2316</v>
      </c>
      <c r="EJ13" s="115" t="s">
        <v>2331</v>
      </c>
      <c r="EK13" s="187" t="s">
        <v>2341</v>
      </c>
      <c r="EL13" s="115" t="s">
        <v>2331</v>
      </c>
      <c r="EM13" s="187" t="s">
        <v>2371</v>
      </c>
      <c r="EN13" s="115" t="s">
        <v>2385</v>
      </c>
      <c r="EO13" s="115" t="s">
        <v>2400</v>
      </c>
      <c r="EP13" s="115" t="s">
        <v>2416</v>
      </c>
      <c r="EQ13" s="115" t="s">
        <v>996</v>
      </c>
      <c r="ER13" s="115" t="s">
        <v>2446</v>
      </c>
      <c r="ES13" s="115" t="s">
        <v>2462</v>
      </c>
      <c r="ET13" s="115" t="s">
        <v>2473</v>
      </c>
      <c r="EU13" s="115" t="s">
        <v>11</v>
      </c>
      <c r="EV13" s="115" t="s">
        <v>11</v>
      </c>
      <c r="EW13" s="115" t="s">
        <v>11</v>
      </c>
      <c r="EX13" s="115" t="s">
        <v>2537</v>
      </c>
      <c r="EY13" s="115" t="s">
        <v>2331</v>
      </c>
      <c r="EZ13" s="115" t="s">
        <v>2331</v>
      </c>
      <c r="FA13" s="41" t="s">
        <v>2607</v>
      </c>
      <c r="FB13" s="41" t="s">
        <v>2607</v>
      </c>
      <c r="FC13" s="41" t="s">
        <v>2628</v>
      </c>
      <c r="FD13" s="41" t="s">
        <v>2628</v>
      </c>
      <c r="FE13" s="41" t="s">
        <v>2638</v>
      </c>
      <c r="FF13" s="41" t="s">
        <v>11</v>
      </c>
      <c r="FG13" s="41" t="s">
        <v>11</v>
      </c>
      <c r="FH13" s="41" t="s">
        <v>11</v>
      </c>
      <c r="FI13" s="41" t="s">
        <v>2331</v>
      </c>
      <c r="FJ13" s="41" t="s">
        <v>2697</v>
      </c>
      <c r="FK13" s="41" t="s">
        <v>11</v>
      </c>
      <c r="FL13" s="41" t="s">
        <v>11</v>
      </c>
      <c r="FM13" s="200" t="s">
        <v>2638</v>
      </c>
      <c r="FN13" s="187" t="s">
        <v>2740</v>
      </c>
      <c r="FO13" s="188" t="s">
        <v>2740</v>
      </c>
      <c r="FP13" s="188" t="s">
        <v>2768</v>
      </c>
      <c r="FQ13" s="188" t="s">
        <v>2740</v>
      </c>
      <c r="FR13" s="115" t="s">
        <v>2795</v>
      </c>
      <c r="FS13" s="187" t="s">
        <v>2795</v>
      </c>
      <c r="FT13" s="187" t="s">
        <v>2638</v>
      </c>
      <c r="FU13" s="187" t="s">
        <v>2638</v>
      </c>
      <c r="FV13" s="115" t="s">
        <v>11</v>
      </c>
      <c r="FW13" s="115" t="s">
        <v>11</v>
      </c>
      <c r="FX13" s="115" t="s">
        <v>2872</v>
      </c>
      <c r="FY13" s="115" t="s">
        <v>11</v>
      </c>
      <c r="FZ13" s="115" t="s">
        <v>1561</v>
      </c>
      <c r="GA13" s="115" t="s">
        <v>2903</v>
      </c>
      <c r="GB13" s="115" t="s">
        <v>2903</v>
      </c>
      <c r="GC13" s="115" t="s">
        <v>2903</v>
      </c>
      <c r="GD13" s="208" t="s">
        <v>2932</v>
      </c>
      <c r="GE13" s="115" t="s">
        <v>1561</v>
      </c>
      <c r="GF13" s="159" t="s">
        <v>2960</v>
      </c>
      <c r="GG13" s="208" t="s">
        <v>2932</v>
      </c>
      <c r="GH13" s="159" t="s">
        <v>2988</v>
      </c>
      <c r="GI13" s="159" t="s">
        <v>597</v>
      </c>
      <c r="GJ13" s="159" t="s">
        <v>3017</v>
      </c>
      <c r="GK13" s="159" t="s">
        <v>2932</v>
      </c>
      <c r="GL13" s="115" t="s">
        <v>3041</v>
      </c>
      <c r="GM13" s="115" t="s">
        <v>1561</v>
      </c>
      <c r="GN13" s="115" t="s">
        <v>11</v>
      </c>
      <c r="GO13" s="115" t="s">
        <v>3080</v>
      </c>
      <c r="GP13" s="115" t="s">
        <v>3097</v>
      </c>
      <c r="GQ13" s="208" t="s">
        <v>3116</v>
      </c>
      <c r="GR13" s="115" t="s">
        <v>3134</v>
      </c>
      <c r="GS13" s="115" t="s">
        <v>3147</v>
      </c>
      <c r="GT13" s="115" t="s">
        <v>3164</v>
      </c>
      <c r="GU13" s="115" t="s">
        <v>756</v>
      </c>
      <c r="GV13" s="115" t="s">
        <v>3196</v>
      </c>
      <c r="GW13" s="115" t="s">
        <v>3215</v>
      </c>
      <c r="GX13" s="115" t="s">
        <v>3230</v>
      </c>
      <c r="GY13" s="115" t="s">
        <v>3196</v>
      </c>
      <c r="GZ13" s="187" t="s">
        <v>563</v>
      </c>
      <c r="HA13" s="159" t="s">
        <v>3268</v>
      </c>
      <c r="HB13" s="159" t="s">
        <v>597</v>
      </c>
      <c r="HC13" s="159" t="s">
        <v>3268</v>
      </c>
      <c r="HD13" s="187" t="s">
        <v>563</v>
      </c>
      <c r="HE13" s="115" t="s">
        <v>3315</v>
      </c>
      <c r="HF13" s="115" t="s">
        <v>3315</v>
      </c>
      <c r="HG13" s="187" t="s">
        <v>3344</v>
      </c>
      <c r="HH13" s="115" t="s">
        <v>3315</v>
      </c>
      <c r="HI13" s="202" t="s">
        <v>563</v>
      </c>
      <c r="HJ13" s="115" t="s">
        <v>11</v>
      </c>
      <c r="HK13" s="115" t="s">
        <v>3392</v>
      </c>
      <c r="HL13" s="115" t="s">
        <v>11</v>
      </c>
      <c r="HM13" s="115" t="s">
        <v>3422</v>
      </c>
      <c r="HN13" s="115" t="s">
        <v>756</v>
      </c>
      <c r="HO13" s="115" t="s">
        <v>1561</v>
      </c>
      <c r="HP13" s="159" t="s">
        <v>1561</v>
      </c>
      <c r="HQ13" s="115" t="s">
        <v>1561</v>
      </c>
      <c r="HR13" s="159" t="s">
        <v>756</v>
      </c>
      <c r="HS13" s="115" t="s">
        <v>3563</v>
      </c>
      <c r="HT13" s="115" t="s">
        <v>3577</v>
      </c>
      <c r="HU13" s="115" t="s">
        <v>1561</v>
      </c>
      <c r="HV13" s="115" t="s">
        <v>1561</v>
      </c>
      <c r="HW13" s="115" t="s">
        <v>3563</v>
      </c>
      <c r="HX13" s="115" t="s">
        <v>1561</v>
      </c>
      <c r="HY13" s="115" t="s">
        <v>3624</v>
      </c>
      <c r="HZ13" s="115" t="s">
        <v>3015</v>
      </c>
      <c r="IA13" s="115" t="s">
        <v>1561</v>
      </c>
      <c r="IB13" s="115" t="s">
        <v>11</v>
      </c>
      <c r="IC13" s="115" t="s">
        <v>756</v>
      </c>
      <c r="ID13" s="115" t="s">
        <v>3680</v>
      </c>
      <c r="IE13" s="159" t="s">
        <v>3697</v>
      </c>
      <c r="IF13" s="183" t="s">
        <v>816</v>
      </c>
      <c r="IG13" s="185" t="s">
        <v>2795</v>
      </c>
      <c r="IH13" s="185" t="s">
        <v>563</v>
      </c>
      <c r="II13" s="185" t="s">
        <v>3743</v>
      </c>
      <c r="IJ13" s="185" t="s">
        <v>3756</v>
      </c>
      <c r="IK13" s="185" t="s">
        <v>3344</v>
      </c>
      <c r="IL13" s="183" t="s">
        <v>816</v>
      </c>
      <c r="IM13" s="159" t="s">
        <v>3782</v>
      </c>
      <c r="IN13" s="159" t="s">
        <v>816</v>
      </c>
      <c r="IO13" s="159" t="s">
        <v>1878</v>
      </c>
      <c r="IP13" s="159" t="s">
        <v>1878</v>
      </c>
      <c r="IQ13" s="115" t="s">
        <v>3825</v>
      </c>
      <c r="IR13" s="159" t="s">
        <v>816</v>
      </c>
      <c r="IS13" s="115" t="s">
        <v>816</v>
      </c>
      <c r="IT13" s="115" t="s">
        <v>3858</v>
      </c>
      <c r="IU13" s="115" t="s">
        <v>3858</v>
      </c>
      <c r="IV13" s="115" t="s">
        <v>3887</v>
      </c>
      <c r="IW13" s="115" t="s">
        <v>3990</v>
      </c>
      <c r="IX13" s="159"/>
      <c r="IY13" s="115" t="s">
        <v>3964</v>
      </c>
      <c r="IZ13" s="115" t="s">
        <v>3977</v>
      </c>
      <c r="JA13" s="115" t="s">
        <v>4012</v>
      </c>
      <c r="JB13" s="115" t="s">
        <v>4026</v>
      </c>
      <c r="JC13" s="115" t="s">
        <v>3563</v>
      </c>
      <c r="JD13" s="115" t="s">
        <v>3563</v>
      </c>
      <c r="JE13" s="115" t="s">
        <v>3563</v>
      </c>
      <c r="JF13" s="115" t="s">
        <v>4067</v>
      </c>
      <c r="JG13" s="115" t="s">
        <v>4083</v>
      </c>
      <c r="JH13" s="115" t="s">
        <v>4067</v>
      </c>
      <c r="JI13" s="115" t="s">
        <v>4114</v>
      </c>
      <c r="JJ13" s="245" t="s">
        <v>11</v>
      </c>
      <c r="JK13" s="245" t="s">
        <v>4140</v>
      </c>
      <c r="JL13" s="245" t="s">
        <v>4151</v>
      </c>
      <c r="JM13" s="245" t="s">
        <v>4140</v>
      </c>
      <c r="JN13" s="115" t="s">
        <v>4169</v>
      </c>
      <c r="JO13" s="159" t="s">
        <v>3015</v>
      </c>
      <c r="JP13" s="115" t="s">
        <v>4217</v>
      </c>
      <c r="JQ13" s="159" t="s">
        <v>4232</v>
      </c>
      <c r="JR13" s="115" t="s">
        <v>11</v>
      </c>
      <c r="JS13" s="115" t="s">
        <v>4026</v>
      </c>
      <c r="JT13" s="115" t="s">
        <v>4026</v>
      </c>
      <c r="JU13" s="115" t="s">
        <v>4026</v>
      </c>
      <c r="JV13" s="115" t="s">
        <v>4026</v>
      </c>
      <c r="JW13" s="115" t="s">
        <v>4026</v>
      </c>
      <c r="JX13" s="115" t="s">
        <v>3563</v>
      </c>
      <c r="JY13" s="115" t="s">
        <v>11</v>
      </c>
      <c r="JZ13" s="115" t="s">
        <v>4026</v>
      </c>
      <c r="KA13" s="115" t="s">
        <v>3563</v>
      </c>
      <c r="KB13" s="115" t="s">
        <v>3563</v>
      </c>
      <c r="KC13" s="115" t="s">
        <v>3563</v>
      </c>
      <c r="KD13" s="115" t="s">
        <v>4319</v>
      </c>
      <c r="KE13" s="115" t="s">
        <v>4319</v>
      </c>
      <c r="KF13" s="115" t="s">
        <v>4319</v>
      </c>
      <c r="KG13" s="159" t="s">
        <v>4346</v>
      </c>
      <c r="KH13" s="115" t="s">
        <v>4363</v>
      </c>
      <c r="KI13" s="115" t="s">
        <v>3315</v>
      </c>
      <c r="KJ13" s="159" t="s">
        <v>4398</v>
      </c>
      <c r="KK13" s="159" t="s">
        <v>4398</v>
      </c>
      <c r="KL13" s="159" t="s">
        <v>4423</v>
      </c>
      <c r="KM13" s="115" t="s">
        <v>4439</v>
      </c>
      <c r="KN13" s="187" t="s">
        <v>4468</v>
      </c>
      <c r="KO13" s="115" t="s">
        <v>4484</v>
      </c>
      <c r="KP13" s="115" t="s">
        <v>4484</v>
      </c>
      <c r="KQ13" s="115" t="s">
        <v>4484</v>
      </c>
      <c r="KR13" s="159" t="s">
        <v>816</v>
      </c>
      <c r="KS13" s="159" t="s">
        <v>816</v>
      </c>
      <c r="KT13" s="159" t="s">
        <v>597</v>
      </c>
      <c r="KU13" s="159" t="s">
        <v>597</v>
      </c>
      <c r="KV13" s="159" t="s">
        <v>597</v>
      </c>
      <c r="KW13" s="115" t="s">
        <v>4114</v>
      </c>
      <c r="KX13" s="115" t="s">
        <v>4114</v>
      </c>
      <c r="KY13" s="245" t="s">
        <v>4611</v>
      </c>
      <c r="KZ13" s="245" t="s">
        <v>4627</v>
      </c>
      <c r="LA13" s="187" t="s">
        <v>4661</v>
      </c>
      <c r="LB13" s="115" t="s">
        <v>4686</v>
      </c>
      <c r="LC13" s="115" t="s">
        <v>11</v>
      </c>
      <c r="LD13" s="115" t="s">
        <v>4716</v>
      </c>
      <c r="LE13" s="115" t="s">
        <v>11</v>
      </c>
      <c r="LF13" s="115" t="s">
        <v>4737</v>
      </c>
      <c r="LG13" s="115" t="s">
        <v>11</v>
      </c>
      <c r="LH13" s="115" t="s">
        <v>4749</v>
      </c>
      <c r="LI13" s="115" t="s">
        <v>4761</v>
      </c>
      <c r="LJ13" s="115" t="s">
        <v>2932</v>
      </c>
      <c r="LK13" s="115" t="s">
        <v>2795</v>
      </c>
      <c r="LL13" s="187" t="s">
        <v>2795</v>
      </c>
      <c r="LM13" s="120" t="s">
        <v>4749</v>
      </c>
      <c r="LN13" s="265" t="s">
        <v>2795</v>
      </c>
      <c r="LO13" s="115" t="s">
        <v>1561</v>
      </c>
      <c r="LP13" s="115" t="s">
        <v>4850</v>
      </c>
      <c r="LQ13" s="265" t="s">
        <v>2331</v>
      </c>
      <c r="LR13" s="115" t="s">
        <v>11</v>
      </c>
      <c r="LS13" s="115" t="s">
        <v>4871</v>
      </c>
      <c r="LT13" s="115" t="s">
        <v>11</v>
      </c>
      <c r="LU13" s="115" t="s">
        <v>11</v>
      </c>
      <c r="LV13" s="286" t="s">
        <v>11</v>
      </c>
      <c r="LW13" s="115" t="s">
        <v>11</v>
      </c>
      <c r="LX13" s="115" t="s">
        <v>11</v>
      </c>
      <c r="LY13" s="115" t="s">
        <v>4938</v>
      </c>
      <c r="LZ13" s="115" t="s">
        <v>563</v>
      </c>
      <c r="MA13" s="115" t="s">
        <v>563</v>
      </c>
      <c r="MB13" s="115" t="s">
        <v>4976</v>
      </c>
      <c r="MC13" s="115" t="s">
        <v>4995</v>
      </c>
      <c r="MD13" s="185" t="s">
        <v>5013</v>
      </c>
    </row>
    <row r="14" spans="1:342" ht="14.4" x14ac:dyDescent="0.3">
      <c r="A14" s="92">
        <v>11</v>
      </c>
      <c r="B14" s="309"/>
      <c r="C14" s="56" t="s">
        <v>429</v>
      </c>
      <c r="D14" s="29"/>
      <c r="E14" s="5" t="s">
        <v>16</v>
      </c>
      <c r="F14" s="2" t="s">
        <v>11</v>
      </c>
      <c r="G14" s="5" t="s">
        <v>47</v>
      </c>
      <c r="H14" s="2" t="s">
        <v>58</v>
      </c>
      <c r="I14" s="2" t="s">
        <v>98</v>
      </c>
      <c r="J14" s="2" t="s">
        <v>98</v>
      </c>
      <c r="K14" s="6" t="s">
        <v>11</v>
      </c>
      <c r="L14" s="2" t="s">
        <v>58</v>
      </c>
      <c r="M14" s="2" t="s">
        <v>84</v>
      </c>
      <c r="N14" s="2" t="s">
        <v>95</v>
      </c>
      <c r="O14" s="2" t="s">
        <v>116</v>
      </c>
      <c r="P14" s="2" t="s">
        <v>128</v>
      </c>
      <c r="Q14" s="2" t="s">
        <v>143</v>
      </c>
      <c r="R14" s="2" t="s">
        <v>154</v>
      </c>
      <c r="S14" s="2" t="s">
        <v>165</v>
      </c>
      <c r="T14" s="2" t="s">
        <v>165</v>
      </c>
      <c r="U14" s="2" t="s">
        <v>274</v>
      </c>
      <c r="V14" s="2" t="s">
        <v>283</v>
      </c>
      <c r="W14" s="2" t="s">
        <v>283</v>
      </c>
      <c r="X14" s="2" t="s">
        <v>58</v>
      </c>
      <c r="Y14" s="2" t="s">
        <v>58</v>
      </c>
      <c r="Z14" s="2" t="s">
        <v>309</v>
      </c>
      <c r="AA14" s="2" t="s">
        <v>340</v>
      </c>
      <c r="AB14" s="2" t="s">
        <v>346</v>
      </c>
      <c r="AC14" s="2" t="s">
        <v>346</v>
      </c>
      <c r="AD14" s="2" t="s">
        <v>372</v>
      </c>
      <c r="AE14" s="2" t="s">
        <v>372</v>
      </c>
      <c r="AF14" s="2" t="s">
        <v>390</v>
      </c>
      <c r="AG14" s="2" t="s">
        <v>400</v>
      </c>
      <c r="AH14" s="2" t="s">
        <v>400</v>
      </c>
      <c r="AI14" s="2" t="s">
        <v>507</v>
      </c>
      <c r="AJ14" s="2" t="s">
        <v>507</v>
      </c>
      <c r="AK14" s="2" t="s">
        <v>507</v>
      </c>
      <c r="AL14" s="2" t="s">
        <v>507</v>
      </c>
      <c r="AM14" s="2" t="s">
        <v>507</v>
      </c>
      <c r="AN14" s="2" t="s">
        <v>564</v>
      </c>
      <c r="AO14" s="2" t="s">
        <v>564</v>
      </c>
      <c r="AP14" s="2" t="s">
        <v>564</v>
      </c>
      <c r="AQ14" s="2" t="s">
        <v>598</v>
      </c>
      <c r="AR14" s="2" t="s">
        <v>615</v>
      </c>
      <c r="AS14" s="2" t="s">
        <v>615</v>
      </c>
      <c r="AT14" s="2" t="s">
        <v>11</v>
      </c>
      <c r="AU14" s="2" t="s">
        <v>647</v>
      </c>
      <c r="AV14" s="2" t="s">
        <v>522</v>
      </c>
      <c r="AW14" s="75" t="s">
        <v>648</v>
      </c>
      <c r="AX14" s="25" t="s">
        <v>673</v>
      </c>
      <c r="AY14" s="2" t="s">
        <v>11</v>
      </c>
      <c r="AZ14" s="2" t="s">
        <v>11</v>
      </c>
      <c r="BA14" s="2" t="s">
        <v>152</v>
      </c>
      <c r="BB14" s="2" t="s">
        <v>152</v>
      </c>
      <c r="BC14" s="2" t="s">
        <v>781</v>
      </c>
      <c r="BD14" s="2" t="s">
        <v>781</v>
      </c>
      <c r="BE14" s="2" t="s">
        <v>781</v>
      </c>
      <c r="BF14" s="2" t="s">
        <v>781</v>
      </c>
      <c r="BG14" s="2" t="s">
        <v>809</v>
      </c>
      <c r="BH14" s="2" t="s">
        <v>781</v>
      </c>
      <c r="BI14" s="12" t="s">
        <v>825</v>
      </c>
      <c r="BJ14" s="91" t="s">
        <v>832</v>
      </c>
      <c r="BK14" s="2" t="s">
        <v>1116</v>
      </c>
      <c r="BL14" s="2" t="s">
        <v>1092</v>
      </c>
      <c r="BM14" s="88" t="s">
        <v>1028</v>
      </c>
      <c r="BN14" s="88" t="s">
        <v>1049</v>
      </c>
      <c r="BO14" s="88" t="s">
        <v>1061</v>
      </c>
      <c r="BP14" s="88" t="s">
        <v>1061</v>
      </c>
      <c r="BQ14" s="88" t="s">
        <v>1061</v>
      </c>
      <c r="BR14" s="117" t="s">
        <v>1392</v>
      </c>
      <c r="BS14" s="105" t="s">
        <v>1408</v>
      </c>
      <c r="BT14" s="105" t="s">
        <v>11</v>
      </c>
      <c r="BU14" s="115" t="s">
        <v>11</v>
      </c>
      <c r="BV14" s="115" t="s">
        <v>1450</v>
      </c>
      <c r="BW14" s="115" t="s">
        <v>11</v>
      </c>
      <c r="BX14" s="115" t="s">
        <v>11</v>
      </c>
      <c r="BY14" s="115" t="s">
        <v>1488</v>
      </c>
      <c r="BZ14" s="115" t="s">
        <v>11</v>
      </c>
      <c r="CA14" s="41" t="s">
        <v>1562</v>
      </c>
      <c r="CB14" s="41" t="s">
        <v>11</v>
      </c>
      <c r="CC14" s="41" t="s">
        <v>1599</v>
      </c>
      <c r="CD14" s="41" t="s">
        <v>1616</v>
      </c>
      <c r="CE14" s="41" t="s">
        <v>1632</v>
      </c>
      <c r="CF14" s="41" t="s">
        <v>1648</v>
      </c>
      <c r="CG14" s="41" t="s">
        <v>11</v>
      </c>
      <c r="CH14" s="41" t="s">
        <v>1485</v>
      </c>
      <c r="CI14" s="41" t="s">
        <v>11</v>
      </c>
      <c r="CJ14" s="41" t="s">
        <v>11</v>
      </c>
      <c r="CK14" s="41" t="s">
        <v>11</v>
      </c>
      <c r="CL14" s="41" t="s">
        <v>11</v>
      </c>
      <c r="CM14" s="41" t="s">
        <v>11</v>
      </c>
      <c r="CN14" s="41" t="s">
        <v>1616</v>
      </c>
      <c r="CO14" s="41" t="s">
        <v>11</v>
      </c>
      <c r="CP14" s="41" t="s">
        <v>11</v>
      </c>
      <c r="CQ14" s="41" t="s">
        <v>1766</v>
      </c>
      <c r="CR14" s="41" t="s">
        <v>1616</v>
      </c>
      <c r="CS14" s="41" t="s">
        <v>1789</v>
      </c>
      <c r="CT14" s="41" t="s">
        <v>1802</v>
      </c>
      <c r="CU14" s="41" t="s">
        <v>1599</v>
      </c>
      <c r="CV14" s="41" t="s">
        <v>1616</v>
      </c>
      <c r="CW14" s="41" t="s">
        <v>1825</v>
      </c>
      <c r="CX14" s="41" t="s">
        <v>1836</v>
      </c>
      <c r="CY14" s="41" t="s">
        <v>1836</v>
      </c>
      <c r="CZ14" s="41" t="s">
        <v>1852</v>
      </c>
      <c r="DA14" s="41" t="s">
        <v>1861</v>
      </c>
      <c r="DB14" s="41" t="s">
        <v>1868</v>
      </c>
      <c r="DC14" s="41" t="s">
        <v>1879</v>
      </c>
      <c r="DD14" s="41" t="s">
        <v>1889</v>
      </c>
      <c r="DE14" s="41" t="s">
        <v>1861</v>
      </c>
      <c r="DF14" s="41" t="s">
        <v>1852</v>
      </c>
      <c r="DG14" s="41" t="s">
        <v>1911</v>
      </c>
      <c r="DH14" s="41" t="s">
        <v>1923</v>
      </c>
      <c r="DI14" s="41" t="s">
        <v>1929</v>
      </c>
      <c r="DJ14" s="41" t="s">
        <v>1937</v>
      </c>
      <c r="DK14" s="41" t="s">
        <v>1953</v>
      </c>
      <c r="DL14" s="41" t="s">
        <v>1971</v>
      </c>
      <c r="DM14" s="41" t="s">
        <v>2046</v>
      </c>
      <c r="DN14" s="41" t="s">
        <v>2046</v>
      </c>
      <c r="DO14" s="41" t="s">
        <v>2071</v>
      </c>
      <c r="DP14" s="105" t="s">
        <v>2009</v>
      </c>
      <c r="DQ14" s="105" t="s">
        <v>2009</v>
      </c>
      <c r="DR14" s="105" t="s">
        <v>2009</v>
      </c>
      <c r="DS14" s="105" t="s">
        <v>2032</v>
      </c>
      <c r="DT14" s="105" t="s">
        <v>2040</v>
      </c>
      <c r="DU14" s="41" t="s">
        <v>2092</v>
      </c>
      <c r="DV14" s="171" t="s">
        <v>1392</v>
      </c>
      <c r="DW14" s="115" t="s">
        <v>11</v>
      </c>
      <c r="DX14" s="115" t="s">
        <v>2185</v>
      </c>
      <c r="DY14" s="115" t="s">
        <v>2202</v>
      </c>
      <c r="DZ14" s="115" t="s">
        <v>2219</v>
      </c>
      <c r="EA14" s="115" t="s">
        <v>2231</v>
      </c>
      <c r="EB14" s="115" t="s">
        <v>2244</v>
      </c>
      <c r="EC14" s="115" t="s">
        <v>2256</v>
      </c>
      <c r="ED14" s="115" t="s">
        <v>2272</v>
      </c>
      <c r="EE14" s="115" t="s">
        <v>2272</v>
      </c>
      <c r="EF14" s="115" t="s">
        <v>2292</v>
      </c>
      <c r="EG14" s="115" t="s">
        <v>2292</v>
      </c>
      <c r="EH14" s="115" t="s">
        <v>2304</v>
      </c>
      <c r="EI14" s="187" t="s">
        <v>2317</v>
      </c>
      <c r="EJ14" s="115" t="s">
        <v>2332</v>
      </c>
      <c r="EK14" s="187" t="s">
        <v>2341</v>
      </c>
      <c r="EL14" s="115" t="s">
        <v>2359</v>
      </c>
      <c r="EM14" s="187" t="s">
        <v>2372</v>
      </c>
      <c r="EN14" s="115" t="s">
        <v>2386</v>
      </c>
      <c r="EO14" s="115" t="s">
        <v>2401</v>
      </c>
      <c r="EP14" s="115" t="s">
        <v>2417</v>
      </c>
      <c r="EQ14" s="115" t="s">
        <v>2431</v>
      </c>
      <c r="ER14" s="159" t="s">
        <v>2447</v>
      </c>
      <c r="ES14" s="115" t="s">
        <v>2463</v>
      </c>
      <c r="ET14" s="115" t="s">
        <v>2474</v>
      </c>
      <c r="EU14" s="115" t="s">
        <v>11</v>
      </c>
      <c r="EV14" s="115" t="s">
        <v>11</v>
      </c>
      <c r="EW14" s="115" t="s">
        <v>11</v>
      </c>
      <c r="EX14" s="115" t="s">
        <v>2538</v>
      </c>
      <c r="EY14" s="115" t="s">
        <v>2548</v>
      </c>
      <c r="EZ14" s="115" t="s">
        <v>2548</v>
      </c>
      <c r="FA14" s="41" t="s">
        <v>2608</v>
      </c>
      <c r="FB14" s="41" t="s">
        <v>2608</v>
      </c>
      <c r="FC14" s="41" t="s">
        <v>2629</v>
      </c>
      <c r="FD14" s="41" t="s">
        <v>2629</v>
      </c>
      <c r="FE14" s="41" t="s">
        <v>2639</v>
      </c>
      <c r="FF14" s="41" t="s">
        <v>11</v>
      </c>
      <c r="FG14" s="41" t="s">
        <v>11</v>
      </c>
      <c r="FH14" s="41" t="s">
        <v>11</v>
      </c>
      <c r="FI14" s="41" t="s">
        <v>2684</v>
      </c>
      <c r="FJ14" s="41" t="s">
        <v>2698</v>
      </c>
      <c r="FK14" s="41" t="s">
        <v>11</v>
      </c>
      <c r="FL14" s="41" t="s">
        <v>11</v>
      </c>
      <c r="FM14" s="200" t="s">
        <v>2729</v>
      </c>
      <c r="FN14" s="187" t="s">
        <v>2741</v>
      </c>
      <c r="FO14" s="187" t="s">
        <v>2757</v>
      </c>
      <c r="FP14" s="187" t="s">
        <v>2769</v>
      </c>
      <c r="FQ14" s="187" t="s">
        <v>2783</v>
      </c>
      <c r="FR14" s="115" t="s">
        <v>2796</v>
      </c>
      <c r="FS14" s="187" t="s">
        <v>2796</v>
      </c>
      <c r="FT14" s="187" t="s">
        <v>2819</v>
      </c>
      <c r="FU14" s="187" t="s">
        <v>2830</v>
      </c>
      <c r="FV14" s="115" t="s">
        <v>11</v>
      </c>
      <c r="FW14" s="115" t="s">
        <v>11</v>
      </c>
      <c r="FX14" s="115" t="s">
        <v>2873</v>
      </c>
      <c r="FY14" s="115" t="s">
        <v>11</v>
      </c>
      <c r="FZ14" s="115" t="s">
        <v>2304</v>
      </c>
      <c r="GA14" s="115" t="s">
        <v>2904</v>
      </c>
      <c r="GB14" s="115" t="s">
        <v>2904</v>
      </c>
      <c r="GC14" s="115" t="s">
        <v>2904</v>
      </c>
      <c r="GD14" s="208" t="s">
        <v>2933</v>
      </c>
      <c r="GE14" s="115" t="s">
        <v>2943</v>
      </c>
      <c r="GF14" s="159" t="s">
        <v>2961</v>
      </c>
      <c r="GG14" s="208" t="s">
        <v>2974</v>
      </c>
      <c r="GH14" s="159" t="s">
        <v>2989</v>
      </c>
      <c r="GI14" s="159" t="s">
        <v>816</v>
      </c>
      <c r="GJ14" s="159" t="s">
        <v>3018</v>
      </c>
      <c r="GK14" s="159" t="s">
        <v>3030</v>
      </c>
      <c r="GL14" s="115" t="s">
        <v>3042</v>
      </c>
      <c r="GM14" s="115" t="s">
        <v>3051</v>
      </c>
      <c r="GN14" s="115" t="s">
        <v>11</v>
      </c>
      <c r="GO14" s="115" t="s">
        <v>3081</v>
      </c>
      <c r="GP14" s="115" t="s">
        <v>3098</v>
      </c>
      <c r="GQ14" s="208" t="s">
        <v>3117</v>
      </c>
      <c r="GR14" s="115" t="s">
        <v>3135</v>
      </c>
      <c r="GS14" s="115" t="s">
        <v>3148</v>
      </c>
      <c r="GT14" s="115" t="s">
        <v>3165</v>
      </c>
      <c r="GU14" s="115" t="s">
        <v>3180</v>
      </c>
      <c r="GV14" s="115" t="s">
        <v>3197</v>
      </c>
      <c r="GW14" s="115" t="s">
        <v>3216</v>
      </c>
      <c r="GX14" s="115" t="s">
        <v>3231</v>
      </c>
      <c r="GY14" s="115" t="s">
        <v>3197</v>
      </c>
      <c r="GZ14" s="187" t="s">
        <v>3254</v>
      </c>
      <c r="HA14" s="159" t="s">
        <v>3269</v>
      </c>
      <c r="HB14" s="159" t="s">
        <v>3283</v>
      </c>
      <c r="HC14" s="159" t="s">
        <v>3297</v>
      </c>
      <c r="HD14" s="187" t="s">
        <v>3303</v>
      </c>
      <c r="HE14" s="115" t="s">
        <v>3316</v>
      </c>
      <c r="HF14" s="115" t="s">
        <v>3332</v>
      </c>
      <c r="HG14" s="225" t="s">
        <v>3345</v>
      </c>
      <c r="HH14" s="115" t="s">
        <v>3355</v>
      </c>
      <c r="HI14" s="200" t="s">
        <v>3364</v>
      </c>
      <c r="HJ14" s="115" t="s">
        <v>11</v>
      </c>
      <c r="HK14" s="115" t="s">
        <v>3393</v>
      </c>
      <c r="HL14" s="115" t="s">
        <v>11</v>
      </c>
      <c r="HM14" s="115" t="s">
        <v>3423</v>
      </c>
      <c r="HN14" s="115" t="s">
        <v>3502</v>
      </c>
      <c r="HO14" s="115" t="s">
        <v>3520</v>
      </c>
      <c r="HP14" s="159" t="s">
        <v>3530</v>
      </c>
      <c r="HQ14" s="115" t="s">
        <v>3539</v>
      </c>
      <c r="HR14" s="159" t="s">
        <v>3548</v>
      </c>
      <c r="HS14" s="115" t="s">
        <v>3564</v>
      </c>
      <c r="HT14" s="115" t="s">
        <v>3578</v>
      </c>
      <c r="HU14" s="115" t="s">
        <v>3595</v>
      </c>
      <c r="HV14" s="115" t="s">
        <v>3451</v>
      </c>
      <c r="HW14" s="115" t="s">
        <v>3564</v>
      </c>
      <c r="HX14" s="115" t="s">
        <v>3520</v>
      </c>
      <c r="HY14" s="115" t="s">
        <v>3625</v>
      </c>
      <c r="HZ14" s="115" t="s">
        <v>3637</v>
      </c>
      <c r="IA14" s="115" t="s">
        <v>3650</v>
      </c>
      <c r="IB14" s="115" t="s">
        <v>11</v>
      </c>
      <c r="IC14" s="115" t="s">
        <v>1802</v>
      </c>
      <c r="ID14" s="115" t="s">
        <v>3681</v>
      </c>
      <c r="IE14" s="159" t="s">
        <v>3216</v>
      </c>
      <c r="IF14" s="183" t="s">
        <v>3714</v>
      </c>
      <c r="IG14" s="185" t="s">
        <v>3723</v>
      </c>
      <c r="IH14" s="185" t="s">
        <v>3731</v>
      </c>
      <c r="II14" s="185" t="s">
        <v>3744</v>
      </c>
      <c r="IJ14" s="185" t="s">
        <v>3757</v>
      </c>
      <c r="IK14" s="185" t="s">
        <v>3491</v>
      </c>
      <c r="IL14" s="183" t="s">
        <v>3714</v>
      </c>
      <c r="IM14" s="159" t="s">
        <v>3783</v>
      </c>
      <c r="IN14" s="159" t="s">
        <v>3792</v>
      </c>
      <c r="IO14" s="159" t="s">
        <v>3800</v>
      </c>
      <c r="IP14" s="159" t="s">
        <v>3815</v>
      </c>
      <c r="IQ14" s="115" t="s">
        <v>3826</v>
      </c>
      <c r="IR14" s="159" t="s">
        <v>3792</v>
      </c>
      <c r="IS14" s="115" t="s">
        <v>3842</v>
      </c>
      <c r="IT14" s="115" t="s">
        <v>3859</v>
      </c>
      <c r="IU14" s="115" t="s">
        <v>3859</v>
      </c>
      <c r="IV14" s="115" t="s">
        <v>3888</v>
      </c>
      <c r="IW14" s="115" t="s">
        <v>3991</v>
      </c>
      <c r="IX14" s="159"/>
      <c r="IY14" s="115" t="s">
        <v>3965</v>
      </c>
      <c r="IZ14" s="115" t="s">
        <v>3978</v>
      </c>
      <c r="JA14" s="115" t="s">
        <v>4013</v>
      </c>
      <c r="JB14" s="115" t="s">
        <v>1802</v>
      </c>
      <c r="JC14" s="115" t="s">
        <v>4039</v>
      </c>
      <c r="JD14" s="115" t="s">
        <v>4048</v>
      </c>
      <c r="JE14" s="115" t="s">
        <v>4058</v>
      </c>
      <c r="JF14" s="115" t="s">
        <v>4068</v>
      </c>
      <c r="JG14" s="115" t="s">
        <v>4084</v>
      </c>
      <c r="JH14" s="115" t="s">
        <v>4098</v>
      </c>
      <c r="JI14" s="115" t="s">
        <v>4048</v>
      </c>
      <c r="JJ14" s="245" t="s">
        <v>11</v>
      </c>
      <c r="JK14" s="245" t="s">
        <v>4141</v>
      </c>
      <c r="JL14" s="245" t="s">
        <v>4152</v>
      </c>
      <c r="JM14" s="245" t="s">
        <v>4162</v>
      </c>
      <c r="JN14" s="115" t="s">
        <v>4170</v>
      </c>
      <c r="JO14" s="159" t="s">
        <v>4185</v>
      </c>
      <c r="JP14" s="115" t="s">
        <v>4218</v>
      </c>
      <c r="JQ14" s="159" t="s">
        <v>4233</v>
      </c>
      <c r="JR14" s="115" t="s">
        <v>11</v>
      </c>
      <c r="JS14" s="115" t="s">
        <v>4250</v>
      </c>
      <c r="JT14" s="115" t="s">
        <v>4250</v>
      </c>
      <c r="JU14" s="115" t="s">
        <v>4250</v>
      </c>
      <c r="JV14" s="115" t="s">
        <v>4274</v>
      </c>
      <c r="JW14" s="115" t="s">
        <v>4250</v>
      </c>
      <c r="JX14" s="115" t="s">
        <v>4286</v>
      </c>
      <c r="JY14" s="115" t="s">
        <v>11</v>
      </c>
      <c r="JZ14" s="115" t="s">
        <v>4286</v>
      </c>
      <c r="KA14" s="115" t="s">
        <v>4286</v>
      </c>
      <c r="KB14" s="115" t="s">
        <v>4286</v>
      </c>
      <c r="KC14" s="115" t="s">
        <v>4286</v>
      </c>
      <c r="KD14" s="115" t="s">
        <v>2639</v>
      </c>
      <c r="KE14" s="115" t="s">
        <v>2639</v>
      </c>
      <c r="KF14" s="115" t="s">
        <v>2639</v>
      </c>
      <c r="KG14" s="159" t="s">
        <v>4347</v>
      </c>
      <c r="KH14" s="115" t="s">
        <v>4364</v>
      </c>
      <c r="KI14" s="115" t="s">
        <v>4381</v>
      </c>
      <c r="KJ14" s="159" t="s">
        <v>4399</v>
      </c>
      <c r="KK14" s="159" t="s">
        <v>4414</v>
      </c>
      <c r="KL14" s="159" t="s">
        <v>4424</v>
      </c>
      <c r="KM14" s="115" t="s">
        <v>4440</v>
      </c>
      <c r="KN14" s="187" t="s">
        <v>4469</v>
      </c>
      <c r="KO14" s="115" t="s">
        <v>4485</v>
      </c>
      <c r="KP14" s="115" t="s">
        <v>4485</v>
      </c>
      <c r="KQ14" s="115" t="s">
        <v>4485</v>
      </c>
      <c r="KR14" s="159" t="s">
        <v>4514</v>
      </c>
      <c r="KS14" s="159" t="s">
        <v>4529</v>
      </c>
      <c r="KT14" s="159" t="s">
        <v>4538</v>
      </c>
      <c r="KU14" s="159" t="s">
        <v>4548</v>
      </c>
      <c r="KV14" s="159" t="s">
        <v>4553</v>
      </c>
      <c r="KW14" s="115" t="s">
        <v>4562</v>
      </c>
      <c r="KX14" s="115" t="s">
        <v>4048</v>
      </c>
      <c r="KY14" s="245" t="s">
        <v>4612</v>
      </c>
      <c r="KZ14" s="245" t="s">
        <v>4612</v>
      </c>
      <c r="LA14" s="187" t="s">
        <v>4662</v>
      </c>
      <c r="LB14" s="115" t="s">
        <v>4687</v>
      </c>
      <c r="LC14" s="115" t="s">
        <v>11</v>
      </c>
      <c r="LD14" s="115" t="s">
        <v>4716</v>
      </c>
      <c r="LE14" s="115" t="s">
        <v>11</v>
      </c>
      <c r="LF14" s="115" t="s">
        <v>4738</v>
      </c>
      <c r="LG14" s="115" t="s">
        <v>11</v>
      </c>
      <c r="LH14" s="115" t="s">
        <v>4750</v>
      </c>
      <c r="LI14" s="115" t="s">
        <v>4762</v>
      </c>
      <c r="LJ14" s="115" t="s">
        <v>4772</v>
      </c>
      <c r="LK14" s="115" t="s">
        <v>4782</v>
      </c>
      <c r="LL14" s="187" t="s">
        <v>4794</v>
      </c>
      <c r="LM14" s="120" t="s">
        <v>4233</v>
      </c>
      <c r="LN14" s="265" t="s">
        <v>4809</v>
      </c>
      <c r="LO14" s="115" t="s">
        <v>3650</v>
      </c>
      <c r="LP14" s="115" t="s">
        <v>4851</v>
      </c>
      <c r="LQ14" s="265" t="s">
        <v>4675</v>
      </c>
      <c r="LR14" s="115" t="s">
        <v>11</v>
      </c>
      <c r="LS14" s="115" t="s">
        <v>4872</v>
      </c>
      <c r="LT14" s="115" t="s">
        <v>11</v>
      </c>
      <c r="LU14" s="115" t="s">
        <v>11</v>
      </c>
      <c r="LV14" s="286" t="s">
        <v>11</v>
      </c>
      <c r="LW14" s="115" t="s">
        <v>11</v>
      </c>
      <c r="LX14" s="115" t="s">
        <v>11</v>
      </c>
      <c r="LY14" s="115" t="s">
        <v>4939</v>
      </c>
      <c r="LZ14" s="115" t="s">
        <v>4954</v>
      </c>
      <c r="MA14" s="115" t="s">
        <v>4966</v>
      </c>
      <c r="MB14" s="115" t="s">
        <v>4977</v>
      </c>
      <c r="MC14" s="115" t="s">
        <v>4996</v>
      </c>
      <c r="MD14" s="115" t="s">
        <v>5014</v>
      </c>
    </row>
    <row r="15" spans="1:342" ht="14.4" x14ac:dyDescent="0.3">
      <c r="A15" s="92">
        <v>12</v>
      </c>
      <c r="B15" s="309"/>
      <c r="C15" s="56" t="s">
        <v>430</v>
      </c>
      <c r="D15" s="29"/>
      <c r="E15" s="5" t="s">
        <v>17</v>
      </c>
      <c r="F15" s="2" t="s">
        <v>11</v>
      </c>
      <c r="G15" s="2" t="s">
        <v>48</v>
      </c>
      <c r="H15" s="6" t="s">
        <v>11</v>
      </c>
      <c r="I15" s="2" t="s">
        <v>17</v>
      </c>
      <c r="J15" s="2" t="s">
        <v>122</v>
      </c>
      <c r="K15" s="6" t="s">
        <v>11</v>
      </c>
      <c r="L15" s="6" t="s">
        <v>11</v>
      </c>
      <c r="M15" s="6" t="s">
        <v>11</v>
      </c>
      <c r="N15" s="6" t="s">
        <v>11</v>
      </c>
      <c r="O15" s="6" t="s">
        <v>11</v>
      </c>
      <c r="P15" s="6" t="s">
        <v>11</v>
      </c>
      <c r="Q15" s="2" t="s">
        <v>145</v>
      </c>
      <c r="R15" s="2" t="s">
        <v>155</v>
      </c>
      <c r="S15" s="2" t="s">
        <v>155</v>
      </c>
      <c r="T15" s="2" t="s">
        <v>155</v>
      </c>
      <c r="U15" s="2" t="s">
        <v>17</v>
      </c>
      <c r="V15" s="2" t="s">
        <v>17</v>
      </c>
      <c r="W15" s="2" t="s">
        <v>17</v>
      </c>
      <c r="X15" s="2" t="s">
        <v>122</v>
      </c>
      <c r="Y15" s="2" t="s">
        <v>122</v>
      </c>
      <c r="Z15" s="2" t="s">
        <v>11</v>
      </c>
      <c r="AA15" s="2" t="s">
        <v>337</v>
      </c>
      <c r="AB15" s="2" t="s">
        <v>347</v>
      </c>
      <c r="AC15" s="2" t="s">
        <v>11</v>
      </c>
      <c r="AD15" s="2" t="s">
        <v>11</v>
      </c>
      <c r="AE15" s="2" t="s">
        <v>11</v>
      </c>
      <c r="AF15" s="2" t="s">
        <v>11</v>
      </c>
      <c r="AG15" s="2" t="s">
        <v>11</v>
      </c>
      <c r="AH15" s="2" t="s">
        <v>11</v>
      </c>
      <c r="AI15" s="2" t="s">
        <v>347</v>
      </c>
      <c r="AJ15" s="2" t="s">
        <v>347</v>
      </c>
      <c r="AK15" s="2" t="s">
        <v>347</v>
      </c>
      <c r="AL15" s="2" t="s">
        <v>347</v>
      </c>
      <c r="AM15" s="2" t="s">
        <v>347</v>
      </c>
      <c r="AN15" s="2" t="s">
        <v>565</v>
      </c>
      <c r="AO15" s="2" t="s">
        <v>565</v>
      </c>
      <c r="AP15" s="2" t="s">
        <v>565</v>
      </c>
      <c r="AQ15" s="2" t="s">
        <v>11</v>
      </c>
      <c r="AR15" s="2" t="s">
        <v>11</v>
      </c>
      <c r="AS15" s="2" t="s">
        <v>11</v>
      </c>
      <c r="AT15" s="2" t="s">
        <v>628</v>
      </c>
      <c r="AU15" s="2" t="s">
        <v>347</v>
      </c>
      <c r="AV15" s="2" t="s">
        <v>347</v>
      </c>
      <c r="AW15" s="75" t="s">
        <v>347</v>
      </c>
      <c r="AX15" s="25" t="s">
        <v>11</v>
      </c>
      <c r="AY15" s="2" t="s">
        <v>11</v>
      </c>
      <c r="AZ15" s="2" t="s">
        <v>11</v>
      </c>
      <c r="BA15" s="6" t="s">
        <v>11</v>
      </c>
      <c r="BB15" s="6" t="s">
        <v>11</v>
      </c>
      <c r="BC15" s="2" t="s">
        <v>11</v>
      </c>
      <c r="BD15" s="2" t="s">
        <v>11</v>
      </c>
      <c r="BE15" s="2" t="s">
        <v>11</v>
      </c>
      <c r="BF15" s="2" t="s">
        <v>11</v>
      </c>
      <c r="BG15" s="2" t="s">
        <v>11</v>
      </c>
      <c r="BH15" s="2" t="s">
        <v>11</v>
      </c>
      <c r="BI15" s="41" t="s">
        <v>817</v>
      </c>
      <c r="BJ15" s="91" t="s">
        <v>833</v>
      </c>
      <c r="BK15" s="2" t="s">
        <v>17</v>
      </c>
      <c r="BL15" s="2" t="s">
        <v>1094</v>
      </c>
      <c r="BM15" s="88" t="s">
        <v>122</v>
      </c>
      <c r="BN15" s="88" t="s">
        <v>11</v>
      </c>
      <c r="BO15" s="88" t="s">
        <v>11</v>
      </c>
      <c r="BP15" s="88" t="s">
        <v>1072</v>
      </c>
      <c r="BQ15" s="88" t="s">
        <v>1080</v>
      </c>
      <c r="BR15" s="117" t="s">
        <v>11</v>
      </c>
      <c r="BS15" s="105" t="s">
        <v>347</v>
      </c>
      <c r="BT15" s="105" t="s">
        <v>11</v>
      </c>
      <c r="BU15" s="115" t="s">
        <v>11</v>
      </c>
      <c r="BV15" s="115" t="s">
        <v>11</v>
      </c>
      <c r="BW15" s="115" t="s">
        <v>11</v>
      </c>
      <c r="BX15" s="115" t="s">
        <v>1476</v>
      </c>
      <c r="BY15" s="115" t="s">
        <v>1476</v>
      </c>
      <c r="BZ15" s="115" t="s">
        <v>1476</v>
      </c>
      <c r="CA15" s="41" t="s">
        <v>1563</v>
      </c>
      <c r="CB15" s="41" t="s">
        <v>1580</v>
      </c>
      <c r="CC15" s="41" t="s">
        <v>347</v>
      </c>
      <c r="CD15" s="41" t="s">
        <v>11</v>
      </c>
      <c r="CE15" s="41" t="s">
        <v>347</v>
      </c>
      <c r="CF15" s="41" t="s">
        <v>1649</v>
      </c>
      <c r="CG15" s="41" t="s">
        <v>1580</v>
      </c>
      <c r="CH15" s="41" t="s">
        <v>1662</v>
      </c>
      <c r="CI15" s="41" t="s">
        <v>1679</v>
      </c>
      <c r="CJ15" s="41" t="s">
        <v>1545</v>
      </c>
      <c r="CK15" s="41" t="s">
        <v>1545</v>
      </c>
      <c r="CL15" s="41" t="s">
        <v>1545</v>
      </c>
      <c r="CM15" s="41" t="s">
        <v>1716</v>
      </c>
      <c r="CN15" s="41" t="s">
        <v>11</v>
      </c>
      <c r="CO15" s="41" t="s">
        <v>1536</v>
      </c>
      <c r="CP15" s="41" t="s">
        <v>1536</v>
      </c>
      <c r="CQ15" s="41" t="s">
        <v>1767</v>
      </c>
      <c r="CR15" s="41" t="s">
        <v>11</v>
      </c>
      <c r="CS15" s="41" t="s">
        <v>11</v>
      </c>
      <c r="CT15" s="41" t="s">
        <v>1563</v>
      </c>
      <c r="CU15" s="41" t="s">
        <v>347</v>
      </c>
      <c r="CV15" s="41" t="s">
        <v>11</v>
      </c>
      <c r="CW15" s="41" t="s">
        <v>11</v>
      </c>
      <c r="CX15" s="41" t="s">
        <v>11</v>
      </c>
      <c r="CY15" s="41" t="s">
        <v>11</v>
      </c>
      <c r="CZ15" s="41" t="s">
        <v>11</v>
      </c>
      <c r="DA15" s="41" t="s">
        <v>11</v>
      </c>
      <c r="DB15" s="41" t="s">
        <v>11</v>
      </c>
      <c r="DC15" s="41" t="s">
        <v>11</v>
      </c>
      <c r="DD15" s="41" t="s">
        <v>11</v>
      </c>
      <c r="DE15" s="41" t="s">
        <v>11</v>
      </c>
      <c r="DF15" s="41" t="s">
        <v>11</v>
      </c>
      <c r="DG15" s="41" t="s">
        <v>11</v>
      </c>
      <c r="DH15" s="41" t="s">
        <v>11</v>
      </c>
      <c r="DI15" s="41" t="s">
        <v>11</v>
      </c>
      <c r="DJ15" s="41" t="s">
        <v>347</v>
      </c>
      <c r="DK15" s="41" t="s">
        <v>347</v>
      </c>
      <c r="DL15" s="41" t="s">
        <v>11</v>
      </c>
      <c r="DM15" s="41" t="s">
        <v>2047</v>
      </c>
      <c r="DN15" s="41" t="s">
        <v>11</v>
      </c>
      <c r="DO15" s="41" t="s">
        <v>11</v>
      </c>
      <c r="DP15" s="105" t="s">
        <v>1679</v>
      </c>
      <c r="DQ15" s="105" t="s">
        <v>1679</v>
      </c>
      <c r="DR15" s="105" t="s">
        <v>1679</v>
      </c>
      <c r="DS15" s="105" t="s">
        <v>1679</v>
      </c>
      <c r="DT15" s="105" t="s">
        <v>1679</v>
      </c>
      <c r="DU15" s="41" t="s">
        <v>347</v>
      </c>
      <c r="DV15" s="171" t="s">
        <v>1679</v>
      </c>
      <c r="DW15" s="115" t="s">
        <v>11</v>
      </c>
      <c r="DX15" s="115" t="s">
        <v>347</v>
      </c>
      <c r="DY15" s="115" t="s">
        <v>2203</v>
      </c>
      <c r="DZ15" s="115" t="s">
        <v>347</v>
      </c>
      <c r="EA15" s="115" t="s">
        <v>2232</v>
      </c>
      <c r="EB15" s="115" t="s">
        <v>2245</v>
      </c>
      <c r="EC15" s="115" t="s">
        <v>2257</v>
      </c>
      <c r="ED15" s="115" t="s">
        <v>347</v>
      </c>
      <c r="EE15" s="115" t="s">
        <v>347</v>
      </c>
      <c r="EF15" s="115" t="s">
        <v>347</v>
      </c>
      <c r="EG15" s="115" t="s">
        <v>347</v>
      </c>
      <c r="EH15" s="115" t="s">
        <v>1679</v>
      </c>
      <c r="EI15" s="187" t="s">
        <v>11</v>
      </c>
      <c r="EJ15" s="115" t="s">
        <v>11</v>
      </c>
      <c r="EK15" s="187" t="s">
        <v>2342</v>
      </c>
      <c r="EL15" s="115" t="s">
        <v>11</v>
      </c>
      <c r="EM15" s="187" t="s">
        <v>2342</v>
      </c>
      <c r="EN15" s="115" t="s">
        <v>2387</v>
      </c>
      <c r="EO15" s="115" t="s">
        <v>2402</v>
      </c>
      <c r="EP15" s="115" t="s">
        <v>2418</v>
      </c>
      <c r="EQ15" s="115" t="s">
        <v>2432</v>
      </c>
      <c r="ER15" s="115" t="s">
        <v>2448</v>
      </c>
      <c r="ES15" s="115" t="s">
        <v>2464</v>
      </c>
      <c r="ET15" s="115" t="s">
        <v>1679</v>
      </c>
      <c r="EU15" s="115" t="s">
        <v>2490</v>
      </c>
      <c r="EV15" s="115" t="s">
        <v>2507</v>
      </c>
      <c r="EW15" s="115" t="s">
        <v>2523</v>
      </c>
      <c r="EX15" s="115" t="s">
        <v>11</v>
      </c>
      <c r="EY15" s="115" t="s">
        <v>11</v>
      </c>
      <c r="EZ15" s="115" t="s">
        <v>11</v>
      </c>
      <c r="FA15" s="41" t="s">
        <v>11</v>
      </c>
      <c r="FB15" s="41" t="s">
        <v>11</v>
      </c>
      <c r="FC15" s="41" t="s">
        <v>11</v>
      </c>
      <c r="FD15" s="41" t="s">
        <v>11</v>
      </c>
      <c r="FE15" s="41" t="s">
        <v>2342</v>
      </c>
      <c r="FF15" s="41" t="s">
        <v>2653</v>
      </c>
      <c r="FG15" s="41" t="s">
        <v>2653</v>
      </c>
      <c r="FH15" s="41" t="s">
        <v>2653</v>
      </c>
      <c r="FI15" s="41" t="s">
        <v>11</v>
      </c>
      <c r="FJ15" s="41" t="s">
        <v>11</v>
      </c>
      <c r="FK15" s="41" t="s">
        <v>2706</v>
      </c>
      <c r="FL15" s="41" t="s">
        <v>2720</v>
      </c>
      <c r="FM15" s="200" t="s">
        <v>11</v>
      </c>
      <c r="FN15" s="187" t="s">
        <v>2742</v>
      </c>
      <c r="FO15" s="187" t="s">
        <v>11</v>
      </c>
      <c r="FP15" s="188" t="s">
        <v>2770</v>
      </c>
      <c r="FQ15" s="187" t="s">
        <v>565</v>
      </c>
      <c r="FR15" s="115" t="s">
        <v>2797</v>
      </c>
      <c r="FS15" s="187" t="s">
        <v>2342</v>
      </c>
      <c r="FT15" s="187" t="s">
        <v>2342</v>
      </c>
      <c r="FU15" s="187" t="s">
        <v>2342</v>
      </c>
      <c r="FV15" s="115" t="s">
        <v>2847</v>
      </c>
      <c r="FW15" s="115" t="s">
        <v>2861</v>
      </c>
      <c r="FX15" s="115" t="s">
        <v>2847</v>
      </c>
      <c r="FY15" s="115" t="s">
        <v>2880</v>
      </c>
      <c r="FZ15" s="115" t="s">
        <v>1679</v>
      </c>
      <c r="GA15" s="115" t="s">
        <v>11</v>
      </c>
      <c r="GB15" s="115" t="s">
        <v>11</v>
      </c>
      <c r="GC15" s="115" t="s">
        <v>11</v>
      </c>
      <c r="GD15" s="187" t="s">
        <v>2342</v>
      </c>
      <c r="GE15" s="115" t="s">
        <v>1679</v>
      </c>
      <c r="GF15" s="159" t="s">
        <v>11</v>
      </c>
      <c r="GG15" s="208" t="s">
        <v>2975</v>
      </c>
      <c r="GH15" s="159" t="s">
        <v>2990</v>
      </c>
      <c r="GI15" s="159" t="s">
        <v>2342</v>
      </c>
      <c r="GJ15" s="159" t="s">
        <v>11</v>
      </c>
      <c r="GK15" s="159" t="s">
        <v>11</v>
      </c>
      <c r="GL15" s="115" t="s">
        <v>11</v>
      </c>
      <c r="GM15" s="115" t="s">
        <v>3052</v>
      </c>
      <c r="GN15" s="115" t="s">
        <v>3066</v>
      </c>
      <c r="GO15" s="115" t="s">
        <v>347</v>
      </c>
      <c r="GP15" s="115" t="s">
        <v>3099</v>
      </c>
      <c r="GQ15" s="208" t="s">
        <v>3118</v>
      </c>
      <c r="GR15" s="115" t="s">
        <v>11</v>
      </c>
      <c r="GS15" s="115" t="s">
        <v>3149</v>
      </c>
      <c r="GT15" s="115" t="s">
        <v>3166</v>
      </c>
      <c r="GU15" s="115" t="s">
        <v>3149</v>
      </c>
      <c r="GV15" s="115" t="s">
        <v>3198</v>
      </c>
      <c r="GW15" s="115" t="s">
        <v>3198</v>
      </c>
      <c r="GX15" s="115" t="s">
        <v>2653</v>
      </c>
      <c r="GY15" s="115" t="s">
        <v>3198</v>
      </c>
      <c r="GZ15" s="187" t="s">
        <v>2342</v>
      </c>
      <c r="HA15" s="159" t="s">
        <v>11</v>
      </c>
      <c r="HB15" s="159" t="s">
        <v>3284</v>
      </c>
      <c r="HC15" s="159" t="s">
        <v>11</v>
      </c>
      <c r="HD15" s="187" t="s">
        <v>2342</v>
      </c>
      <c r="HE15" s="115" t="s">
        <v>2342</v>
      </c>
      <c r="HF15" s="115" t="s">
        <v>2342</v>
      </c>
      <c r="HG15" s="187" t="s">
        <v>2342</v>
      </c>
      <c r="HH15" s="115" t="s">
        <v>2342</v>
      </c>
      <c r="HI15" s="200" t="s">
        <v>2342</v>
      </c>
      <c r="HJ15" s="115" t="s">
        <v>3377</v>
      </c>
      <c r="HK15" s="159" t="s">
        <v>11</v>
      </c>
      <c r="HL15" s="115" t="s">
        <v>2653</v>
      </c>
      <c r="HM15" s="115" t="s">
        <v>3424</v>
      </c>
      <c r="HN15" s="115" t="s">
        <v>3503</v>
      </c>
      <c r="HO15" s="115" t="s">
        <v>11</v>
      </c>
      <c r="HP15" s="159" t="s">
        <v>1679</v>
      </c>
      <c r="HQ15" s="115" t="s">
        <v>1679</v>
      </c>
      <c r="HR15" s="159" t="s">
        <v>11</v>
      </c>
      <c r="HS15" s="115" t="s">
        <v>3565</v>
      </c>
      <c r="HT15" s="115" t="s">
        <v>2342</v>
      </c>
      <c r="HU15" s="115" t="s">
        <v>1679</v>
      </c>
      <c r="HV15" s="115" t="s">
        <v>1679</v>
      </c>
      <c r="HW15" s="115" t="s">
        <v>3565</v>
      </c>
      <c r="HX15" s="115" t="s">
        <v>11</v>
      </c>
      <c r="HY15" s="115" t="s">
        <v>11</v>
      </c>
      <c r="HZ15" s="115" t="s">
        <v>11</v>
      </c>
      <c r="IA15" s="115" t="s">
        <v>11</v>
      </c>
      <c r="IB15" s="115" t="s">
        <v>3500</v>
      </c>
      <c r="IC15" s="115" t="s">
        <v>11</v>
      </c>
      <c r="ID15" s="115" t="s">
        <v>2342</v>
      </c>
      <c r="IE15" s="159" t="s">
        <v>155</v>
      </c>
      <c r="IF15" s="183" t="s">
        <v>11</v>
      </c>
      <c r="IG15" s="185" t="s">
        <v>11</v>
      </c>
      <c r="IH15" s="185" t="s">
        <v>11</v>
      </c>
      <c r="II15" s="185" t="s">
        <v>11</v>
      </c>
      <c r="IJ15" s="185" t="s">
        <v>11</v>
      </c>
      <c r="IK15" s="185" t="s">
        <v>3500</v>
      </c>
      <c r="IL15" s="183" t="s">
        <v>11</v>
      </c>
      <c r="IM15" s="159" t="s">
        <v>11</v>
      </c>
      <c r="IN15" s="159" t="s">
        <v>11</v>
      </c>
      <c r="IO15" s="159" t="s">
        <v>11</v>
      </c>
      <c r="IP15" s="159" t="s">
        <v>11</v>
      </c>
      <c r="IQ15" s="115" t="s">
        <v>11</v>
      </c>
      <c r="IR15" s="159" t="s">
        <v>11</v>
      </c>
      <c r="IS15" s="115" t="s">
        <v>3843</v>
      </c>
      <c r="IT15" s="115" t="s">
        <v>3858</v>
      </c>
      <c r="IU15" s="115" t="s">
        <v>3858</v>
      </c>
      <c r="IV15" s="115" t="s">
        <v>3889</v>
      </c>
      <c r="IW15" s="115" t="s">
        <v>3992</v>
      </c>
      <c r="IX15" s="159"/>
      <c r="IY15" s="115" t="s">
        <v>11</v>
      </c>
      <c r="IZ15" s="115" t="s">
        <v>11</v>
      </c>
      <c r="JA15" s="115" t="s">
        <v>11</v>
      </c>
      <c r="JB15" s="115" t="s">
        <v>11</v>
      </c>
      <c r="JC15" s="115" t="s">
        <v>11</v>
      </c>
      <c r="JD15" s="115" t="s">
        <v>11</v>
      </c>
      <c r="JE15" s="115" t="s">
        <v>11</v>
      </c>
      <c r="JF15" s="115" t="s">
        <v>11</v>
      </c>
      <c r="JG15" s="115" t="s">
        <v>11</v>
      </c>
      <c r="JH15" s="115" t="s">
        <v>11</v>
      </c>
      <c r="JI15" s="115" t="s">
        <v>11</v>
      </c>
      <c r="JJ15" s="245" t="s">
        <v>4128</v>
      </c>
      <c r="JK15" s="245" t="s">
        <v>2342</v>
      </c>
      <c r="JL15" s="245" t="s">
        <v>4153</v>
      </c>
      <c r="JM15" s="245" t="s">
        <v>11</v>
      </c>
      <c r="JN15" s="115" t="s">
        <v>2402</v>
      </c>
      <c r="JO15" s="159" t="s">
        <v>11</v>
      </c>
      <c r="JP15" s="115" t="s">
        <v>11</v>
      </c>
      <c r="JQ15" s="159" t="s">
        <v>2342</v>
      </c>
      <c r="JR15" s="115" t="s">
        <v>2342</v>
      </c>
      <c r="JS15" s="115" t="s">
        <v>4251</v>
      </c>
      <c r="JT15" s="115" t="s">
        <v>4251</v>
      </c>
      <c r="JU15" s="115" t="s">
        <v>4251</v>
      </c>
      <c r="JV15" s="115" t="s">
        <v>4251</v>
      </c>
      <c r="JW15" s="115" t="s">
        <v>4251</v>
      </c>
      <c r="JX15" s="115" t="s">
        <v>4287</v>
      </c>
      <c r="JY15" s="115" t="s">
        <v>11</v>
      </c>
      <c r="JZ15" s="115" t="s">
        <v>11</v>
      </c>
      <c r="KA15" s="115" t="s">
        <v>11</v>
      </c>
      <c r="KB15" s="115" t="s">
        <v>1679</v>
      </c>
      <c r="KC15" s="115" t="s">
        <v>11</v>
      </c>
      <c r="KD15" s="115" t="s">
        <v>4320</v>
      </c>
      <c r="KE15" s="115" t="s">
        <v>4320</v>
      </c>
      <c r="KF15" s="115" t="s">
        <v>4320</v>
      </c>
      <c r="KG15" s="159" t="s">
        <v>4348</v>
      </c>
      <c r="KH15" s="115" t="s">
        <v>4365</v>
      </c>
      <c r="KI15" s="115" t="s">
        <v>3843</v>
      </c>
      <c r="KJ15" s="159" t="s">
        <v>4398</v>
      </c>
      <c r="KK15" s="159" t="s">
        <v>4398</v>
      </c>
      <c r="KL15" s="159" t="s">
        <v>11</v>
      </c>
      <c r="KM15" s="115" t="s">
        <v>11</v>
      </c>
      <c r="KN15" s="187" t="s">
        <v>11</v>
      </c>
      <c r="KO15" s="115" t="s">
        <v>11</v>
      </c>
      <c r="KP15" s="115" t="s">
        <v>11</v>
      </c>
      <c r="KQ15" s="115" t="s">
        <v>11</v>
      </c>
      <c r="KR15" s="159" t="s">
        <v>11</v>
      </c>
      <c r="KS15" s="159" t="s">
        <v>11</v>
      </c>
      <c r="KT15" s="159" t="s">
        <v>11</v>
      </c>
      <c r="KU15" s="159" t="s">
        <v>11</v>
      </c>
      <c r="KV15" s="159" t="s">
        <v>11</v>
      </c>
      <c r="KW15" s="115" t="s">
        <v>11</v>
      </c>
      <c r="KX15" s="115" t="s">
        <v>11</v>
      </c>
      <c r="KY15" s="245" t="s">
        <v>11</v>
      </c>
      <c r="KZ15" s="245" t="s">
        <v>11</v>
      </c>
      <c r="LA15" s="187" t="s">
        <v>11</v>
      </c>
      <c r="LB15" s="115" t="s">
        <v>4686</v>
      </c>
      <c r="LC15" s="115" t="s">
        <v>11</v>
      </c>
      <c r="LD15" s="115" t="s">
        <v>11</v>
      </c>
      <c r="LE15" s="115" t="s">
        <v>11</v>
      </c>
      <c r="LF15" s="115" t="s">
        <v>4739</v>
      </c>
      <c r="LG15" s="115" t="s">
        <v>11</v>
      </c>
      <c r="LH15" s="115" t="s">
        <v>1679</v>
      </c>
      <c r="LI15" s="115" t="s">
        <v>11</v>
      </c>
      <c r="LJ15" s="115" t="s">
        <v>11</v>
      </c>
      <c r="LK15" s="115" t="s">
        <v>3565</v>
      </c>
      <c r="LL15" s="187" t="s">
        <v>11</v>
      </c>
      <c r="LM15" s="120" t="s">
        <v>1679</v>
      </c>
      <c r="LN15" s="265" t="s">
        <v>3565</v>
      </c>
      <c r="LO15" s="115" t="s">
        <v>4832</v>
      </c>
      <c r="LP15" s="115" t="s">
        <v>4852</v>
      </c>
      <c r="LQ15" s="265" t="s">
        <v>11</v>
      </c>
      <c r="LR15" s="115" t="s">
        <v>11</v>
      </c>
      <c r="LS15" s="115" t="s">
        <v>11</v>
      </c>
      <c r="LT15" s="115" t="s">
        <v>4884</v>
      </c>
      <c r="LU15" s="115" t="s">
        <v>4898</v>
      </c>
      <c r="LV15" s="286" t="s">
        <v>4908</v>
      </c>
      <c r="LW15" s="115" t="s">
        <v>4919</v>
      </c>
      <c r="LX15" s="115" t="s">
        <v>4927</v>
      </c>
      <c r="LY15" s="115" t="s">
        <v>4940</v>
      </c>
      <c r="LZ15" s="115" t="s">
        <v>11</v>
      </c>
      <c r="MA15" s="115" t="s">
        <v>4967</v>
      </c>
      <c r="MB15" s="115" t="s">
        <v>4978</v>
      </c>
      <c r="MC15" s="115" t="s">
        <v>4995</v>
      </c>
      <c r="MD15" s="185" t="s">
        <v>5013</v>
      </c>
    </row>
    <row r="16" spans="1:342" ht="14.4" x14ac:dyDescent="0.3">
      <c r="A16" s="92">
        <v>13</v>
      </c>
      <c r="B16" s="309"/>
      <c r="C16" s="56" t="s">
        <v>431</v>
      </c>
      <c r="D16" s="29"/>
      <c r="E16" s="2" t="s">
        <v>18</v>
      </c>
      <c r="F16" s="2" t="s">
        <v>11</v>
      </c>
      <c r="G16" s="2" t="s">
        <v>49</v>
      </c>
      <c r="H16" s="6" t="s">
        <v>11</v>
      </c>
      <c r="I16" s="2" t="s">
        <v>18</v>
      </c>
      <c r="J16" s="2" t="s">
        <v>18</v>
      </c>
      <c r="K16" s="6" t="s">
        <v>11</v>
      </c>
      <c r="L16" s="6" t="s">
        <v>11</v>
      </c>
      <c r="M16" s="6" t="s">
        <v>11</v>
      </c>
      <c r="N16" s="6" t="s">
        <v>11</v>
      </c>
      <c r="O16" s="6" t="s">
        <v>11</v>
      </c>
      <c r="P16" s="6" t="s">
        <v>11</v>
      </c>
      <c r="Q16" s="2" t="s">
        <v>146</v>
      </c>
      <c r="R16" s="2" t="s">
        <v>155</v>
      </c>
      <c r="S16" s="2" t="s">
        <v>155</v>
      </c>
      <c r="T16" s="2" t="s">
        <v>155</v>
      </c>
      <c r="U16" s="2" t="s">
        <v>18</v>
      </c>
      <c r="V16" s="2" t="s">
        <v>18</v>
      </c>
      <c r="W16" s="2" t="s">
        <v>18</v>
      </c>
      <c r="X16" s="2" t="s">
        <v>18</v>
      </c>
      <c r="Y16" s="2" t="s">
        <v>18</v>
      </c>
      <c r="Z16" s="2" t="s">
        <v>11</v>
      </c>
      <c r="AA16" s="2" t="s">
        <v>341</v>
      </c>
      <c r="AB16" s="2" t="s">
        <v>348</v>
      </c>
      <c r="AC16" s="2" t="s">
        <v>11</v>
      </c>
      <c r="AD16" s="2" t="s">
        <v>11</v>
      </c>
      <c r="AE16" s="2" t="s">
        <v>11</v>
      </c>
      <c r="AF16" s="2" t="s">
        <v>11</v>
      </c>
      <c r="AG16" s="2" t="s">
        <v>11</v>
      </c>
      <c r="AH16" s="2" t="s">
        <v>11</v>
      </c>
      <c r="AI16" s="2" t="s">
        <v>508</v>
      </c>
      <c r="AJ16" s="2" t="s">
        <v>524</v>
      </c>
      <c r="AK16" s="2" t="s">
        <v>525</v>
      </c>
      <c r="AL16" s="2" t="s">
        <v>526</v>
      </c>
      <c r="AM16" s="2" t="s">
        <v>523</v>
      </c>
      <c r="AN16" s="2" t="s">
        <v>566</v>
      </c>
      <c r="AO16" s="2" t="s">
        <v>566</v>
      </c>
      <c r="AP16" s="2" t="s">
        <v>588</v>
      </c>
      <c r="AQ16" s="2" t="s">
        <v>11</v>
      </c>
      <c r="AR16" s="2" t="s">
        <v>11</v>
      </c>
      <c r="AS16" s="2" t="s">
        <v>11</v>
      </c>
      <c r="AT16" s="2" t="s">
        <v>629</v>
      </c>
      <c r="AU16" s="2" t="s">
        <v>649</v>
      </c>
      <c r="AV16" s="2" t="s">
        <v>525</v>
      </c>
      <c r="AW16" s="75" t="s">
        <v>524</v>
      </c>
      <c r="AX16" s="25" t="s">
        <v>11</v>
      </c>
      <c r="AY16" s="2" t="s">
        <v>11</v>
      </c>
      <c r="AZ16" s="2" t="s">
        <v>11</v>
      </c>
      <c r="BA16" s="6" t="s">
        <v>11</v>
      </c>
      <c r="BB16" s="6" t="s">
        <v>11</v>
      </c>
      <c r="BC16" s="2" t="s">
        <v>11</v>
      </c>
      <c r="BD16" s="2" t="s">
        <v>11</v>
      </c>
      <c r="BE16" s="2" t="s">
        <v>11</v>
      </c>
      <c r="BF16" s="2" t="s">
        <v>11</v>
      </c>
      <c r="BG16" s="2" t="s">
        <v>11</v>
      </c>
      <c r="BH16" s="2" t="s">
        <v>11</v>
      </c>
      <c r="BI16" s="41" t="s">
        <v>818</v>
      </c>
      <c r="BJ16" s="91" t="s">
        <v>834</v>
      </c>
      <c r="BK16" s="2" t="s">
        <v>18</v>
      </c>
      <c r="BL16" s="2" t="s">
        <v>1095</v>
      </c>
      <c r="BM16" s="2" t="s">
        <v>18</v>
      </c>
      <c r="BN16" s="2" t="s">
        <v>11</v>
      </c>
      <c r="BO16" s="2" t="s">
        <v>11</v>
      </c>
      <c r="BP16" s="2" t="s">
        <v>18</v>
      </c>
      <c r="BQ16" s="2" t="s">
        <v>18</v>
      </c>
      <c r="BR16" s="117" t="s">
        <v>11</v>
      </c>
      <c r="BS16" s="105" t="s">
        <v>1409</v>
      </c>
      <c r="BT16" s="105" t="s">
        <v>11</v>
      </c>
      <c r="BU16" s="115" t="s">
        <v>11</v>
      </c>
      <c r="BV16" s="115" t="s">
        <v>11</v>
      </c>
      <c r="BW16" s="115" t="s">
        <v>11</v>
      </c>
      <c r="BX16" s="115" t="s">
        <v>1477</v>
      </c>
      <c r="BY16" s="115" t="s">
        <v>1477</v>
      </c>
      <c r="BZ16" s="115" t="s">
        <v>1477</v>
      </c>
      <c r="CA16" s="41" t="s">
        <v>1564</v>
      </c>
      <c r="CB16" s="41" t="s">
        <v>1581</v>
      </c>
      <c r="CC16" s="41" t="s">
        <v>1600</v>
      </c>
      <c r="CD16" s="41" t="s">
        <v>11</v>
      </c>
      <c r="CE16" s="41" t="s">
        <v>1633</v>
      </c>
      <c r="CF16" s="41" t="s">
        <v>341</v>
      </c>
      <c r="CG16" s="41" t="s">
        <v>1581</v>
      </c>
      <c r="CH16" s="41" t="s">
        <v>1663</v>
      </c>
      <c r="CI16" s="41" t="s">
        <v>1680</v>
      </c>
      <c r="CJ16" s="41" t="s">
        <v>1549</v>
      </c>
      <c r="CK16" s="41" t="s">
        <v>1549</v>
      </c>
      <c r="CL16" s="41" t="s">
        <v>1549</v>
      </c>
      <c r="CM16" s="41" t="s">
        <v>1717</v>
      </c>
      <c r="CN16" s="41" t="s">
        <v>11</v>
      </c>
      <c r="CO16" s="41" t="s">
        <v>1535</v>
      </c>
      <c r="CP16" s="41" t="s">
        <v>1752</v>
      </c>
      <c r="CQ16" s="41" t="s">
        <v>1768</v>
      </c>
      <c r="CR16" s="41" t="s">
        <v>11</v>
      </c>
      <c r="CS16" s="41" t="s">
        <v>11</v>
      </c>
      <c r="CT16" s="41" t="s">
        <v>1803</v>
      </c>
      <c r="CU16" s="41" t="s">
        <v>1600</v>
      </c>
      <c r="CV16" s="41" t="s">
        <v>11</v>
      </c>
      <c r="CW16" s="41" t="s">
        <v>11</v>
      </c>
      <c r="CX16" s="41" t="s">
        <v>11</v>
      </c>
      <c r="CY16" s="41" t="s">
        <v>11</v>
      </c>
      <c r="CZ16" s="41" t="s">
        <v>11</v>
      </c>
      <c r="DA16" s="41" t="s">
        <v>11</v>
      </c>
      <c r="DB16" s="41" t="s">
        <v>11</v>
      </c>
      <c r="DC16" s="41" t="s">
        <v>11</v>
      </c>
      <c r="DD16" s="41" t="s">
        <v>11</v>
      </c>
      <c r="DE16" s="41" t="s">
        <v>11</v>
      </c>
      <c r="DF16" s="41" t="s">
        <v>11</v>
      </c>
      <c r="DG16" s="41" t="s">
        <v>11</v>
      </c>
      <c r="DH16" s="41" t="s">
        <v>11</v>
      </c>
      <c r="DI16" s="41" t="s">
        <v>11</v>
      </c>
      <c r="DJ16" s="41" t="s">
        <v>1938</v>
      </c>
      <c r="DK16" s="41" t="s">
        <v>1954</v>
      </c>
      <c r="DL16" s="41" t="s">
        <v>11</v>
      </c>
      <c r="DM16" s="41" t="s">
        <v>1954</v>
      </c>
      <c r="DN16" s="41" t="s">
        <v>11</v>
      </c>
      <c r="DO16" s="41" t="s">
        <v>11</v>
      </c>
      <c r="DP16" s="105" t="s">
        <v>2010</v>
      </c>
      <c r="DQ16" s="105" t="s">
        <v>2010</v>
      </c>
      <c r="DR16" s="105" t="s">
        <v>2010</v>
      </c>
      <c r="DS16" s="105" t="s">
        <v>2033</v>
      </c>
      <c r="DT16" s="105" t="s">
        <v>2033</v>
      </c>
      <c r="DU16" s="41" t="s">
        <v>508</v>
      </c>
      <c r="DV16" s="171" t="s">
        <v>2114</v>
      </c>
      <c r="DW16" s="115" t="s">
        <v>11</v>
      </c>
      <c r="DX16" s="115" t="s">
        <v>2186</v>
      </c>
      <c r="DY16" s="115" t="s">
        <v>2204</v>
      </c>
      <c r="DZ16" s="115" t="s">
        <v>1954</v>
      </c>
      <c r="EA16" s="115" t="s">
        <v>2233</v>
      </c>
      <c r="EB16" s="115" t="s">
        <v>2246</v>
      </c>
      <c r="EC16" s="115" t="s">
        <v>2258</v>
      </c>
      <c r="ED16" s="115" t="s">
        <v>2273</v>
      </c>
      <c r="EE16" s="115" t="s">
        <v>2273</v>
      </c>
      <c r="EF16" s="115" t="s">
        <v>2273</v>
      </c>
      <c r="EG16" s="115" t="s">
        <v>2273</v>
      </c>
      <c r="EH16" s="115" t="s">
        <v>2305</v>
      </c>
      <c r="EI16" s="187" t="s">
        <v>11</v>
      </c>
      <c r="EJ16" s="115" t="s">
        <v>11</v>
      </c>
      <c r="EK16" s="187" t="s">
        <v>2343</v>
      </c>
      <c r="EL16" s="115" t="s">
        <v>11</v>
      </c>
      <c r="EM16" s="187" t="s">
        <v>2373</v>
      </c>
      <c r="EN16" s="115" t="s">
        <v>2388</v>
      </c>
      <c r="EO16" s="115" t="s">
        <v>2403</v>
      </c>
      <c r="EP16" s="115" t="s">
        <v>2419</v>
      </c>
      <c r="EQ16" s="115" t="s">
        <v>2433</v>
      </c>
      <c r="ER16" s="115" t="s">
        <v>2449</v>
      </c>
      <c r="ES16" s="115" t="s">
        <v>2465</v>
      </c>
      <c r="ET16" s="115" t="s">
        <v>2475</v>
      </c>
      <c r="EU16" s="115" t="s">
        <v>2491</v>
      </c>
      <c r="EV16" s="115" t="s">
        <v>2508</v>
      </c>
      <c r="EW16" s="115" t="s">
        <v>2524</v>
      </c>
      <c r="EX16" s="115" t="s">
        <v>11</v>
      </c>
      <c r="EY16" s="115" t="s">
        <v>11</v>
      </c>
      <c r="EZ16" s="115" t="s">
        <v>11</v>
      </c>
      <c r="FA16" s="41" t="s">
        <v>11</v>
      </c>
      <c r="FB16" s="41" t="s">
        <v>11</v>
      </c>
      <c r="FC16" s="41" t="s">
        <v>11</v>
      </c>
      <c r="FD16" s="41" t="s">
        <v>11</v>
      </c>
      <c r="FE16" s="41" t="s">
        <v>2640</v>
      </c>
      <c r="FF16" s="41" t="s">
        <v>2654</v>
      </c>
      <c r="FG16" s="41" t="s">
        <v>2654</v>
      </c>
      <c r="FH16" s="41" t="s">
        <v>2654</v>
      </c>
      <c r="FI16" s="41" t="s">
        <v>11</v>
      </c>
      <c r="FJ16" s="41" t="s">
        <v>11</v>
      </c>
      <c r="FK16" s="41" t="s">
        <v>2707</v>
      </c>
      <c r="FL16" s="41" t="s">
        <v>2721</v>
      </c>
      <c r="FM16" s="200" t="s">
        <v>11</v>
      </c>
      <c r="FN16" s="187" t="s">
        <v>2743</v>
      </c>
      <c r="FO16" s="187" t="s">
        <v>11</v>
      </c>
      <c r="FP16" s="187" t="s">
        <v>2771</v>
      </c>
      <c r="FQ16" s="187" t="s">
        <v>1680</v>
      </c>
      <c r="FR16" s="115" t="s">
        <v>2798</v>
      </c>
      <c r="FS16" s="187" t="s">
        <v>2809</v>
      </c>
      <c r="FT16" s="187" t="s">
        <v>2820</v>
      </c>
      <c r="FU16" s="187" t="s">
        <v>2831</v>
      </c>
      <c r="FV16" s="115" t="s">
        <v>2848</v>
      </c>
      <c r="FW16" s="115" t="s">
        <v>2848</v>
      </c>
      <c r="FX16" s="115" t="s">
        <v>2848</v>
      </c>
      <c r="FY16" s="115" t="s">
        <v>2881</v>
      </c>
      <c r="FZ16" s="115" t="s">
        <v>2305</v>
      </c>
      <c r="GA16" s="115" t="s">
        <v>11</v>
      </c>
      <c r="GB16" s="115" t="s">
        <v>11</v>
      </c>
      <c r="GC16" s="115" t="s">
        <v>11</v>
      </c>
      <c r="GD16" s="187" t="s">
        <v>2934</v>
      </c>
      <c r="GE16" s="115" t="s">
        <v>2944</v>
      </c>
      <c r="GF16" s="159" t="s">
        <v>11</v>
      </c>
      <c r="GG16" s="208" t="s">
        <v>2976</v>
      </c>
      <c r="GH16" s="159" t="s">
        <v>2991</v>
      </c>
      <c r="GI16" s="159" t="s">
        <v>3006</v>
      </c>
      <c r="GJ16" s="159" t="s">
        <v>11</v>
      </c>
      <c r="GK16" s="159" t="s">
        <v>11</v>
      </c>
      <c r="GL16" s="115" t="s">
        <v>11</v>
      </c>
      <c r="GM16" s="115" t="s">
        <v>3053</v>
      </c>
      <c r="GN16" s="115" t="s">
        <v>3067</v>
      </c>
      <c r="GO16" s="115" t="s">
        <v>3082</v>
      </c>
      <c r="GP16" s="115" t="s">
        <v>3100</v>
      </c>
      <c r="GQ16" s="208" t="s">
        <v>2976</v>
      </c>
      <c r="GR16" s="115" t="s">
        <v>11</v>
      </c>
      <c r="GS16" s="115" t="s">
        <v>3150</v>
      </c>
      <c r="GT16" s="115" t="s">
        <v>3167</v>
      </c>
      <c r="GU16" s="115" t="s">
        <v>3181</v>
      </c>
      <c r="GV16" s="115" t="s">
        <v>3199</v>
      </c>
      <c r="GW16" s="115" t="s">
        <v>1680</v>
      </c>
      <c r="GX16" s="115" t="s">
        <v>2654</v>
      </c>
      <c r="GY16" s="115" t="s">
        <v>3199</v>
      </c>
      <c r="GZ16" s="187" t="s">
        <v>3255</v>
      </c>
      <c r="HA16" s="159" t="s">
        <v>11</v>
      </c>
      <c r="HB16" s="159" t="s">
        <v>3285</v>
      </c>
      <c r="HC16" s="159" t="s">
        <v>11</v>
      </c>
      <c r="HD16" s="187" t="s">
        <v>3304</v>
      </c>
      <c r="HE16" s="115" t="s">
        <v>3317</v>
      </c>
      <c r="HF16" s="115" t="s">
        <v>3333</v>
      </c>
      <c r="HG16" s="187" t="s">
        <v>3346</v>
      </c>
      <c r="HH16" s="115" t="s">
        <v>3356</v>
      </c>
      <c r="HI16" s="200" t="s">
        <v>3365</v>
      </c>
      <c r="HJ16" s="115" t="s">
        <v>3378</v>
      </c>
      <c r="HK16" s="159" t="s">
        <v>11</v>
      </c>
      <c r="HL16" s="159" t="s">
        <v>3409</v>
      </c>
      <c r="HM16" s="115" t="s">
        <v>1680</v>
      </c>
      <c r="HN16" s="115" t="s">
        <v>3504</v>
      </c>
      <c r="HO16" s="115" t="s">
        <v>11</v>
      </c>
      <c r="HP16" s="159" t="s">
        <v>3531</v>
      </c>
      <c r="HQ16" s="115" t="s">
        <v>3540</v>
      </c>
      <c r="HR16" s="159" t="s">
        <v>11</v>
      </c>
      <c r="HS16" s="115" t="s">
        <v>3566</v>
      </c>
      <c r="HT16" s="115" t="s">
        <v>3579</v>
      </c>
      <c r="HU16" s="115" t="s">
        <v>3531</v>
      </c>
      <c r="HV16" s="115" t="s">
        <v>3452</v>
      </c>
      <c r="HW16" s="115" t="s">
        <v>3566</v>
      </c>
      <c r="HX16" s="115" t="s">
        <v>11</v>
      </c>
      <c r="HY16" s="115" t="s">
        <v>11</v>
      </c>
      <c r="HZ16" s="115" t="s">
        <v>11</v>
      </c>
      <c r="IA16" s="115" t="s">
        <v>11</v>
      </c>
      <c r="IB16" s="115" t="s">
        <v>3499</v>
      </c>
      <c r="IC16" s="115" t="s">
        <v>11</v>
      </c>
      <c r="ID16" s="115" t="s">
        <v>3682</v>
      </c>
      <c r="IE16" s="159" t="s">
        <v>1680</v>
      </c>
      <c r="IF16" s="183" t="s">
        <v>11</v>
      </c>
      <c r="IG16" s="185" t="s">
        <v>11</v>
      </c>
      <c r="IH16" s="185" t="s">
        <v>11</v>
      </c>
      <c r="II16" s="185" t="s">
        <v>11</v>
      </c>
      <c r="IJ16" s="185" t="s">
        <v>11</v>
      </c>
      <c r="IK16" s="185" t="s">
        <v>3499</v>
      </c>
      <c r="IL16" s="183" t="s">
        <v>11</v>
      </c>
      <c r="IM16" s="159" t="s">
        <v>11</v>
      </c>
      <c r="IN16" s="159" t="s">
        <v>11</v>
      </c>
      <c r="IO16" s="159" t="s">
        <v>11</v>
      </c>
      <c r="IP16" s="159" t="s">
        <v>11</v>
      </c>
      <c r="IQ16" s="115" t="s">
        <v>11</v>
      </c>
      <c r="IR16" s="159" t="s">
        <v>11</v>
      </c>
      <c r="IS16" s="115" t="s">
        <v>3844</v>
      </c>
      <c r="IT16" s="115" t="s">
        <v>3859</v>
      </c>
      <c r="IU16" s="115" t="s">
        <v>3859</v>
      </c>
      <c r="IV16" s="115" t="s">
        <v>1680</v>
      </c>
      <c r="IW16" s="115" t="s">
        <v>3993</v>
      </c>
      <c r="IX16" s="159"/>
      <c r="IY16" s="115" t="s">
        <v>11</v>
      </c>
      <c r="IZ16" s="115" t="s">
        <v>11</v>
      </c>
      <c r="JA16" s="115" t="s">
        <v>11</v>
      </c>
      <c r="JB16" s="115" t="s">
        <v>11</v>
      </c>
      <c r="JC16" s="115" t="s">
        <v>11</v>
      </c>
      <c r="JD16" s="115" t="s">
        <v>11</v>
      </c>
      <c r="JE16" s="115" t="s">
        <v>11</v>
      </c>
      <c r="JF16" s="115" t="s">
        <v>11</v>
      </c>
      <c r="JG16" s="115" t="s">
        <v>11</v>
      </c>
      <c r="JH16" s="115" t="s">
        <v>11</v>
      </c>
      <c r="JI16" s="115" t="s">
        <v>11</v>
      </c>
      <c r="JJ16" s="243" t="s">
        <v>4129</v>
      </c>
      <c r="JK16" s="243" t="s">
        <v>4142</v>
      </c>
      <c r="JL16" s="245" t="s">
        <v>4154</v>
      </c>
      <c r="JM16" s="243" t="s">
        <v>11</v>
      </c>
      <c r="JN16" s="115" t="s">
        <v>4171</v>
      </c>
      <c r="JO16" s="159" t="s">
        <v>11</v>
      </c>
      <c r="JP16" s="115" t="s">
        <v>11</v>
      </c>
      <c r="JQ16" s="159" t="s">
        <v>4234</v>
      </c>
      <c r="JR16" s="115" t="s">
        <v>4234</v>
      </c>
      <c r="JS16" s="115" t="s">
        <v>4252</v>
      </c>
      <c r="JT16" s="115" t="s">
        <v>4252</v>
      </c>
      <c r="JU16" s="115" t="s">
        <v>4252</v>
      </c>
      <c r="JV16" s="115" t="s">
        <v>4252</v>
      </c>
      <c r="JW16" s="115" t="s">
        <v>4252</v>
      </c>
      <c r="JX16" s="115" t="s">
        <v>11</v>
      </c>
      <c r="JY16" s="115" t="s">
        <v>11</v>
      </c>
      <c r="JZ16" s="115" t="s">
        <v>11</v>
      </c>
      <c r="KA16" s="115" t="s">
        <v>11</v>
      </c>
      <c r="KB16" s="115" t="s">
        <v>4286</v>
      </c>
      <c r="KC16" s="115" t="s">
        <v>11</v>
      </c>
      <c r="KD16" s="115" t="s">
        <v>4321</v>
      </c>
      <c r="KE16" s="115" t="s">
        <v>4331</v>
      </c>
      <c r="KF16" s="115" t="s">
        <v>4331</v>
      </c>
      <c r="KG16" s="159" t="s">
        <v>4349</v>
      </c>
      <c r="KH16" s="115" t="s">
        <v>4366</v>
      </c>
      <c r="KI16" s="115" t="s">
        <v>4382</v>
      </c>
      <c r="KJ16" s="159" t="s">
        <v>4400</v>
      </c>
      <c r="KK16" s="159" t="s">
        <v>4414</v>
      </c>
      <c r="KL16" s="159" t="s">
        <v>11</v>
      </c>
      <c r="KM16" s="115" t="s">
        <v>11</v>
      </c>
      <c r="KN16" s="187" t="s">
        <v>11</v>
      </c>
      <c r="KO16" s="115" t="s">
        <v>11</v>
      </c>
      <c r="KP16" s="115" t="s">
        <v>11</v>
      </c>
      <c r="KQ16" s="115" t="s">
        <v>11</v>
      </c>
      <c r="KR16" s="159" t="s">
        <v>11</v>
      </c>
      <c r="KS16" s="159" t="s">
        <v>11</v>
      </c>
      <c r="KT16" s="159" t="s">
        <v>11</v>
      </c>
      <c r="KU16" s="159" t="s">
        <v>11</v>
      </c>
      <c r="KV16" s="159" t="s">
        <v>11</v>
      </c>
      <c r="KW16" s="115" t="s">
        <v>11</v>
      </c>
      <c r="KX16" s="115" t="s">
        <v>11</v>
      </c>
      <c r="KY16" s="243" t="s">
        <v>11</v>
      </c>
      <c r="KZ16" s="243" t="s">
        <v>11</v>
      </c>
      <c r="LA16" s="187" t="s">
        <v>11</v>
      </c>
      <c r="LB16" s="115" t="s">
        <v>4687</v>
      </c>
      <c r="LC16" s="115" t="s">
        <v>11</v>
      </c>
      <c r="LD16" s="115" t="s">
        <v>11</v>
      </c>
      <c r="LE16" s="115" t="s">
        <v>11</v>
      </c>
      <c r="LF16" s="115" t="s">
        <v>4740</v>
      </c>
      <c r="LG16" s="115" t="s">
        <v>11</v>
      </c>
      <c r="LH16" s="115" t="s">
        <v>4751</v>
      </c>
      <c r="LI16" s="115" t="s">
        <v>11</v>
      </c>
      <c r="LJ16" s="115" t="s">
        <v>11</v>
      </c>
      <c r="LK16" s="115" t="s">
        <v>4783</v>
      </c>
      <c r="LL16" s="187" t="s">
        <v>11</v>
      </c>
      <c r="LM16" s="120" t="s">
        <v>4233</v>
      </c>
      <c r="LN16" s="263" t="s">
        <v>4810</v>
      </c>
      <c r="LO16" s="115" t="s">
        <v>4833</v>
      </c>
      <c r="LP16" s="115" t="s">
        <v>4853</v>
      </c>
      <c r="LQ16" s="263" t="s">
        <v>11</v>
      </c>
      <c r="LR16" s="115" t="s">
        <v>11</v>
      </c>
      <c r="LS16" s="115" t="s">
        <v>11</v>
      </c>
      <c r="LT16" s="115" t="s">
        <v>4885</v>
      </c>
      <c r="LU16" s="115" t="s">
        <v>4899</v>
      </c>
      <c r="LV16" s="286" t="s">
        <v>4909</v>
      </c>
      <c r="LW16" s="115" t="s">
        <v>4920</v>
      </c>
      <c r="LX16" s="115" t="s">
        <v>4928</v>
      </c>
      <c r="LY16" s="115" t="s">
        <v>4941</v>
      </c>
      <c r="LZ16" s="115" t="s">
        <v>11</v>
      </c>
      <c r="MA16" s="115" t="s">
        <v>4968</v>
      </c>
      <c r="MB16" s="115" t="s">
        <v>4979</v>
      </c>
      <c r="MC16" s="115" t="s">
        <v>4996</v>
      </c>
      <c r="MD16" s="115" t="s">
        <v>5014</v>
      </c>
    </row>
    <row r="17" spans="1:342" ht="14.4" x14ac:dyDescent="0.3">
      <c r="A17" s="92">
        <v>14</v>
      </c>
      <c r="B17" s="309"/>
      <c r="C17" s="56" t="s">
        <v>432</v>
      </c>
      <c r="D17" s="29"/>
      <c r="E17" s="2" t="s">
        <v>19</v>
      </c>
      <c r="F17" s="2" t="s">
        <v>260</v>
      </c>
      <c r="G17" s="6" t="s">
        <v>11</v>
      </c>
      <c r="H17" s="2" t="s">
        <v>19</v>
      </c>
      <c r="I17" s="2" t="s">
        <v>19</v>
      </c>
      <c r="J17" s="2" t="s">
        <v>19</v>
      </c>
      <c r="K17" s="2" t="s">
        <v>138</v>
      </c>
      <c r="L17" s="2" t="s">
        <v>19</v>
      </c>
      <c r="M17" s="2" t="s">
        <v>19</v>
      </c>
      <c r="N17" s="2" t="s">
        <v>19</v>
      </c>
      <c r="O17" s="2" t="s">
        <v>19</v>
      </c>
      <c r="P17" s="2" t="s">
        <v>19</v>
      </c>
      <c r="Q17" s="2" t="s">
        <v>19</v>
      </c>
      <c r="R17" s="2" t="s">
        <v>156</v>
      </c>
      <c r="S17" s="2" t="s">
        <v>156</v>
      </c>
      <c r="T17" s="2" t="s">
        <v>156</v>
      </c>
      <c r="U17" s="2" t="s">
        <v>19</v>
      </c>
      <c r="V17" s="2" t="s">
        <v>19</v>
      </c>
      <c r="W17" s="2" t="s">
        <v>19</v>
      </c>
      <c r="X17" s="2" t="s">
        <v>19</v>
      </c>
      <c r="Y17" s="2" t="s">
        <v>19</v>
      </c>
      <c r="Z17" s="2" t="s">
        <v>19</v>
      </c>
      <c r="AA17" s="2" t="s">
        <v>19</v>
      </c>
      <c r="AB17" s="2" t="s">
        <v>188</v>
      </c>
      <c r="AC17" s="2" t="s">
        <v>188</v>
      </c>
      <c r="AD17" s="2" t="s">
        <v>188</v>
      </c>
      <c r="AE17" s="2" t="s">
        <v>188</v>
      </c>
      <c r="AF17" s="2" t="s">
        <v>189</v>
      </c>
      <c r="AG17" s="2" t="s">
        <v>401</v>
      </c>
      <c r="AH17" s="2" t="s">
        <v>414</v>
      </c>
      <c r="AI17" s="2" t="s">
        <v>138</v>
      </c>
      <c r="AJ17" s="2" t="s">
        <v>527</v>
      </c>
      <c r="AK17" s="2" t="s">
        <v>527</v>
      </c>
      <c r="AL17" s="2" t="s">
        <v>529</v>
      </c>
      <c r="AM17" s="2" t="s">
        <v>528</v>
      </c>
      <c r="AN17" s="2" t="s">
        <v>567</v>
      </c>
      <c r="AO17" s="2" t="s">
        <v>567</v>
      </c>
      <c r="AP17" s="2" t="s">
        <v>11</v>
      </c>
      <c r="AQ17" s="2" t="s">
        <v>599</v>
      </c>
      <c r="AR17" s="2" t="s">
        <v>616</v>
      </c>
      <c r="AS17" s="2" t="s">
        <v>616</v>
      </c>
      <c r="AT17" s="2" t="s">
        <v>19</v>
      </c>
      <c r="AU17" s="2" t="s">
        <v>650</v>
      </c>
      <c r="AV17" s="2" t="s">
        <v>527</v>
      </c>
      <c r="AW17" s="75" t="s">
        <v>651</v>
      </c>
      <c r="AX17" s="25" t="s">
        <v>19</v>
      </c>
      <c r="AY17" s="2" t="s">
        <v>19</v>
      </c>
      <c r="AZ17" s="2" t="s">
        <v>19</v>
      </c>
      <c r="BA17" s="2" t="s">
        <v>740</v>
      </c>
      <c r="BB17" s="2" t="s">
        <v>740</v>
      </c>
      <c r="BC17" s="2" t="s">
        <v>651</v>
      </c>
      <c r="BD17" s="2" t="s">
        <v>651</v>
      </c>
      <c r="BE17" s="2" t="s">
        <v>651</v>
      </c>
      <c r="BF17" s="2" t="s">
        <v>651</v>
      </c>
      <c r="BG17" s="2" t="s">
        <v>651</v>
      </c>
      <c r="BH17" s="2" t="s">
        <v>651</v>
      </c>
      <c r="BI17" s="41" t="s">
        <v>819</v>
      </c>
      <c r="BJ17" s="91" t="s">
        <v>819</v>
      </c>
      <c r="BK17" s="2" t="s">
        <v>19</v>
      </c>
      <c r="BL17" s="2" t="s">
        <v>1096</v>
      </c>
      <c r="BM17" s="2" t="s">
        <v>1029</v>
      </c>
      <c r="BN17" s="2" t="s">
        <v>1029</v>
      </c>
      <c r="BO17" s="2" t="s">
        <v>1062</v>
      </c>
      <c r="BP17" s="2" t="s">
        <v>1062</v>
      </c>
      <c r="BQ17" s="2" t="s">
        <v>1029</v>
      </c>
      <c r="BR17" s="117" t="s">
        <v>1393</v>
      </c>
      <c r="BS17" s="105" t="s">
        <v>156</v>
      </c>
      <c r="BT17" s="105" t="s">
        <v>1422</v>
      </c>
      <c r="BU17" s="115" t="s">
        <v>19</v>
      </c>
      <c r="BV17" s="115" t="s">
        <v>19</v>
      </c>
      <c r="BW17" s="115" t="s">
        <v>19</v>
      </c>
      <c r="BX17" s="115" t="s">
        <v>19</v>
      </c>
      <c r="BY17" s="115" t="s">
        <v>19</v>
      </c>
      <c r="BZ17" s="115" t="s">
        <v>19</v>
      </c>
      <c r="CA17" s="41" t="s">
        <v>19</v>
      </c>
      <c r="CB17" s="41" t="s">
        <v>819</v>
      </c>
      <c r="CC17" s="41" t="s">
        <v>1601</v>
      </c>
      <c r="CD17" s="41" t="s">
        <v>819</v>
      </c>
      <c r="CE17" s="41" t="s">
        <v>1634</v>
      </c>
      <c r="CF17" s="41" t="s">
        <v>19</v>
      </c>
      <c r="CG17" s="41" t="s">
        <v>819</v>
      </c>
      <c r="CH17" s="41" t="s">
        <v>1664</v>
      </c>
      <c r="CI17" s="41" t="s">
        <v>1681</v>
      </c>
      <c r="CJ17" s="41" t="s">
        <v>19</v>
      </c>
      <c r="CK17" s="41" t="s">
        <v>19</v>
      </c>
      <c r="CL17" s="41" t="s">
        <v>19</v>
      </c>
      <c r="CM17" s="41" t="s">
        <v>1681</v>
      </c>
      <c r="CN17" s="41" t="s">
        <v>819</v>
      </c>
      <c r="CO17" s="41" t="s">
        <v>1531</v>
      </c>
      <c r="CP17" s="41" t="s">
        <v>1531</v>
      </c>
      <c r="CQ17" s="41" t="s">
        <v>1531</v>
      </c>
      <c r="CR17" s="41" t="s">
        <v>819</v>
      </c>
      <c r="CS17" s="41" t="s">
        <v>1790</v>
      </c>
      <c r="CT17" s="41" t="s">
        <v>19</v>
      </c>
      <c r="CU17" s="41" t="s">
        <v>1601</v>
      </c>
      <c r="CV17" s="41" t="s">
        <v>819</v>
      </c>
      <c r="CW17" s="41" t="s">
        <v>1826</v>
      </c>
      <c r="CX17" s="41" t="s">
        <v>138</v>
      </c>
      <c r="CY17" s="41" t="s">
        <v>156</v>
      </c>
      <c r="CZ17" s="41" t="s">
        <v>189</v>
      </c>
      <c r="DA17" s="41" t="s">
        <v>189</v>
      </c>
      <c r="DB17" s="41" t="s">
        <v>1344</v>
      </c>
      <c r="DC17" s="41" t="s">
        <v>19</v>
      </c>
      <c r="DD17" s="41" t="s">
        <v>19</v>
      </c>
      <c r="DE17" s="41" t="s">
        <v>650</v>
      </c>
      <c r="DF17" s="41" t="s">
        <v>156</v>
      </c>
      <c r="DG17" s="41" t="s">
        <v>1096</v>
      </c>
      <c r="DH17" s="41" t="s">
        <v>1344</v>
      </c>
      <c r="DI17" s="41" t="s">
        <v>1344</v>
      </c>
      <c r="DJ17" s="41" t="s">
        <v>1939</v>
      </c>
      <c r="DK17" s="41" t="s">
        <v>19</v>
      </c>
      <c r="DL17" s="41" t="s">
        <v>19</v>
      </c>
      <c r="DM17" s="41" t="s">
        <v>819</v>
      </c>
      <c r="DN17" s="41" t="s">
        <v>819</v>
      </c>
      <c r="DO17" s="41" t="s">
        <v>819</v>
      </c>
      <c r="DP17" s="105" t="s">
        <v>819</v>
      </c>
      <c r="DQ17" s="105" t="s">
        <v>819</v>
      </c>
      <c r="DR17" s="105" t="s">
        <v>819</v>
      </c>
      <c r="DS17" s="105" t="s">
        <v>819</v>
      </c>
      <c r="DT17" s="105" t="s">
        <v>819</v>
      </c>
      <c r="DU17" s="41" t="s">
        <v>156</v>
      </c>
      <c r="DV17" s="175" t="s">
        <v>19</v>
      </c>
      <c r="DW17" s="115" t="s">
        <v>19</v>
      </c>
      <c r="DX17" s="115" t="s">
        <v>2187</v>
      </c>
      <c r="DY17" s="115" t="s">
        <v>819</v>
      </c>
      <c r="DZ17" s="115" t="s">
        <v>2220</v>
      </c>
      <c r="EA17" s="115" t="s">
        <v>819</v>
      </c>
      <c r="EB17" s="115" t="s">
        <v>819</v>
      </c>
      <c r="EC17" s="115" t="s">
        <v>156</v>
      </c>
      <c r="ED17" s="115" t="s">
        <v>138</v>
      </c>
      <c r="EE17" s="115" t="s">
        <v>138</v>
      </c>
      <c r="EF17" s="115" t="s">
        <v>138</v>
      </c>
      <c r="EG17" s="115" t="s">
        <v>138</v>
      </c>
      <c r="EH17" s="115" t="s">
        <v>819</v>
      </c>
      <c r="EI17" s="187" t="s">
        <v>19</v>
      </c>
      <c r="EJ17" s="115" t="s">
        <v>819</v>
      </c>
      <c r="EK17" s="187" t="s">
        <v>138</v>
      </c>
      <c r="EL17" s="115" t="s">
        <v>819</v>
      </c>
      <c r="EM17" s="187" t="s">
        <v>2374</v>
      </c>
      <c r="EN17" s="115" t="s">
        <v>819</v>
      </c>
      <c r="EO17" s="115" t="s">
        <v>2404</v>
      </c>
      <c r="EP17" s="115" t="s">
        <v>2420</v>
      </c>
      <c r="EQ17" s="115" t="s">
        <v>19</v>
      </c>
      <c r="ER17" s="115" t="s">
        <v>138</v>
      </c>
      <c r="ES17" s="115" t="s">
        <v>2466</v>
      </c>
      <c r="ET17" s="115" t="s">
        <v>2476</v>
      </c>
      <c r="EU17" s="115" t="s">
        <v>819</v>
      </c>
      <c r="EV17" s="115" t="s">
        <v>819</v>
      </c>
      <c r="EW17" s="115" t="s">
        <v>11</v>
      </c>
      <c r="EX17" s="115" t="s">
        <v>2539</v>
      </c>
      <c r="EY17" s="115" t="s">
        <v>528</v>
      </c>
      <c r="EZ17" s="115" t="s">
        <v>2560</v>
      </c>
      <c r="FA17" s="41" t="s">
        <v>1422</v>
      </c>
      <c r="FB17" s="41" t="s">
        <v>1422</v>
      </c>
      <c r="FC17" s="41" t="s">
        <v>1422</v>
      </c>
      <c r="FD17" s="41" t="s">
        <v>1422</v>
      </c>
      <c r="FE17" s="41" t="s">
        <v>819</v>
      </c>
      <c r="FF17" s="41" t="s">
        <v>19</v>
      </c>
      <c r="FG17" s="41" t="s">
        <v>19</v>
      </c>
      <c r="FH17" s="41" t="s">
        <v>19</v>
      </c>
      <c r="FI17" s="41" t="s">
        <v>1634</v>
      </c>
      <c r="FJ17" s="41" t="s">
        <v>19</v>
      </c>
      <c r="FK17" s="41" t="s">
        <v>1422</v>
      </c>
      <c r="FL17" s="41" t="s">
        <v>1422</v>
      </c>
      <c r="FM17" s="200" t="s">
        <v>819</v>
      </c>
      <c r="FN17" s="187" t="s">
        <v>819</v>
      </c>
      <c r="FO17" s="187" t="s">
        <v>2758</v>
      </c>
      <c r="FP17" s="187" t="s">
        <v>2772</v>
      </c>
      <c r="FQ17" s="187" t="s">
        <v>527</v>
      </c>
      <c r="FR17" s="115" t="s">
        <v>19</v>
      </c>
      <c r="FS17" s="187" t="s">
        <v>19</v>
      </c>
      <c r="FT17" s="187" t="s">
        <v>819</v>
      </c>
      <c r="FU17" s="187" t="s">
        <v>819</v>
      </c>
      <c r="FV17" s="115" t="s">
        <v>819</v>
      </c>
      <c r="FW17" s="115" t="s">
        <v>819</v>
      </c>
      <c r="FX17" s="115" t="s">
        <v>819</v>
      </c>
      <c r="FY17" s="115" t="s">
        <v>19</v>
      </c>
      <c r="FZ17" s="115" t="s">
        <v>819</v>
      </c>
      <c r="GA17" s="115" t="s">
        <v>19</v>
      </c>
      <c r="GB17" s="115" t="s">
        <v>19</v>
      </c>
      <c r="GC17" s="115" t="s">
        <v>19</v>
      </c>
      <c r="GD17" s="208" t="s">
        <v>19</v>
      </c>
      <c r="GE17" s="115" t="s">
        <v>189</v>
      </c>
      <c r="GF17" s="159" t="s">
        <v>19</v>
      </c>
      <c r="GG17" s="208" t="s">
        <v>2977</v>
      </c>
      <c r="GH17" s="159" t="s">
        <v>2992</v>
      </c>
      <c r="GI17" s="159" t="s">
        <v>3007</v>
      </c>
      <c r="GJ17" s="159" t="s">
        <v>19</v>
      </c>
      <c r="GK17" s="159" t="s">
        <v>19</v>
      </c>
      <c r="GL17" s="115" t="s">
        <v>819</v>
      </c>
      <c r="GM17" s="115" t="s">
        <v>1422</v>
      </c>
      <c r="GN17" s="115" t="s">
        <v>19</v>
      </c>
      <c r="GO17" s="115" t="s">
        <v>3083</v>
      </c>
      <c r="GP17" s="115" t="s">
        <v>138</v>
      </c>
      <c r="GQ17" s="208" t="s">
        <v>19</v>
      </c>
      <c r="GR17" s="115" t="s">
        <v>3136</v>
      </c>
      <c r="GS17" s="115" t="s">
        <v>138</v>
      </c>
      <c r="GT17" s="115" t="s">
        <v>19</v>
      </c>
      <c r="GU17" s="115" t="s">
        <v>3182</v>
      </c>
      <c r="GV17" s="115" t="s">
        <v>19</v>
      </c>
      <c r="GW17" s="115" t="s">
        <v>3217</v>
      </c>
      <c r="GX17" s="115" t="s">
        <v>19</v>
      </c>
      <c r="GY17" s="115" t="s">
        <v>19</v>
      </c>
      <c r="GZ17" s="187" t="s">
        <v>3256</v>
      </c>
      <c r="HA17" s="159" t="s">
        <v>1422</v>
      </c>
      <c r="HB17" s="159" t="s">
        <v>19</v>
      </c>
      <c r="HC17" s="159" t="s">
        <v>1422</v>
      </c>
      <c r="HD17" s="187" t="s">
        <v>650</v>
      </c>
      <c r="HE17" s="115" t="s">
        <v>19</v>
      </c>
      <c r="HF17" s="115" t="s">
        <v>1422</v>
      </c>
      <c r="HG17" s="187" t="s">
        <v>819</v>
      </c>
      <c r="HH17" s="115" t="s">
        <v>1422</v>
      </c>
      <c r="HI17" s="200" t="s">
        <v>3366</v>
      </c>
      <c r="HJ17" s="115" t="s">
        <v>1422</v>
      </c>
      <c r="HK17" s="115" t="s">
        <v>1422</v>
      </c>
      <c r="HL17" s="115" t="s">
        <v>19</v>
      </c>
      <c r="HM17" s="115" t="s">
        <v>3425</v>
      </c>
      <c r="HN17" s="115" t="s">
        <v>3505</v>
      </c>
      <c r="HO17" s="115" t="s">
        <v>819</v>
      </c>
      <c r="HP17" s="159" t="s">
        <v>819</v>
      </c>
      <c r="HQ17" s="115" t="s">
        <v>819</v>
      </c>
      <c r="HR17" s="159" t="s">
        <v>3549</v>
      </c>
      <c r="HS17" s="115" t="s">
        <v>819</v>
      </c>
      <c r="HT17" s="115" t="s">
        <v>19</v>
      </c>
      <c r="HU17" s="115" t="s">
        <v>819</v>
      </c>
      <c r="HV17" s="115" t="s">
        <v>819</v>
      </c>
      <c r="HW17" s="115" t="s">
        <v>819</v>
      </c>
      <c r="HX17" s="115" t="s">
        <v>819</v>
      </c>
      <c r="HY17" s="115" t="s">
        <v>819</v>
      </c>
      <c r="HZ17" s="115" t="s">
        <v>819</v>
      </c>
      <c r="IA17" s="115" t="s">
        <v>819</v>
      </c>
      <c r="IB17" s="115" t="s">
        <v>156</v>
      </c>
      <c r="IC17" s="115" t="s">
        <v>819</v>
      </c>
      <c r="ID17" s="115" t="s">
        <v>3683</v>
      </c>
      <c r="IE17" s="159" t="s">
        <v>3698</v>
      </c>
      <c r="IF17" s="183" t="s">
        <v>156</v>
      </c>
      <c r="IG17" s="185" t="s">
        <v>819</v>
      </c>
      <c r="IH17" s="185" t="s">
        <v>819</v>
      </c>
      <c r="II17" s="185" t="s">
        <v>19</v>
      </c>
      <c r="IJ17" s="185" t="s">
        <v>19</v>
      </c>
      <c r="IK17" s="185" t="s">
        <v>156</v>
      </c>
      <c r="IL17" s="183" t="s">
        <v>1422</v>
      </c>
      <c r="IM17" s="159" t="s">
        <v>3549</v>
      </c>
      <c r="IN17" s="159" t="s">
        <v>156</v>
      </c>
      <c r="IO17" s="159" t="s">
        <v>1422</v>
      </c>
      <c r="IP17" s="159" t="s">
        <v>1422</v>
      </c>
      <c r="IQ17" s="115" t="s">
        <v>156</v>
      </c>
      <c r="IR17" s="159" t="s">
        <v>1422</v>
      </c>
      <c r="IS17" s="115" t="s">
        <v>3136</v>
      </c>
      <c r="IT17" s="115" t="s">
        <v>3860</v>
      </c>
      <c r="IU17" s="115" t="s">
        <v>3872</v>
      </c>
      <c r="IV17" s="115" t="s">
        <v>19</v>
      </c>
      <c r="IW17" s="115" t="s">
        <v>19</v>
      </c>
      <c r="IX17" s="159"/>
      <c r="IY17" s="115" t="s">
        <v>19</v>
      </c>
      <c r="IZ17" s="115" t="s">
        <v>19</v>
      </c>
      <c r="JA17" s="115" t="s">
        <v>156</v>
      </c>
      <c r="JB17" s="115" t="s">
        <v>819</v>
      </c>
      <c r="JC17" s="115" t="s">
        <v>819</v>
      </c>
      <c r="JD17" s="115" t="s">
        <v>819</v>
      </c>
      <c r="JE17" s="115" t="s">
        <v>819</v>
      </c>
      <c r="JF17" s="115" t="s">
        <v>4069</v>
      </c>
      <c r="JG17" s="115" t="s">
        <v>4085</v>
      </c>
      <c r="JH17" s="115" t="s">
        <v>19</v>
      </c>
      <c r="JI17" s="115" t="s">
        <v>1422</v>
      </c>
      <c r="JJ17" s="245" t="s">
        <v>19</v>
      </c>
      <c r="JK17" s="245" t="s">
        <v>19</v>
      </c>
      <c r="JL17" s="245" t="s">
        <v>19</v>
      </c>
      <c r="JM17" s="245" t="s">
        <v>19</v>
      </c>
      <c r="JN17" s="115" t="s">
        <v>2404</v>
      </c>
      <c r="JO17" s="159" t="s">
        <v>19</v>
      </c>
      <c r="JP17" s="115" t="s">
        <v>19</v>
      </c>
      <c r="JQ17" s="159" t="s">
        <v>19</v>
      </c>
      <c r="JR17" s="115" t="s">
        <v>19</v>
      </c>
      <c r="JS17" s="115" t="s">
        <v>19</v>
      </c>
      <c r="JT17" s="115" t="s">
        <v>19</v>
      </c>
      <c r="JU17" s="115" t="s">
        <v>19</v>
      </c>
      <c r="JV17" s="115" t="s">
        <v>19</v>
      </c>
      <c r="JW17" s="115" t="s">
        <v>19</v>
      </c>
      <c r="JX17" s="115" t="s">
        <v>819</v>
      </c>
      <c r="JY17" s="115" t="s">
        <v>819</v>
      </c>
      <c r="JZ17" s="115" t="s">
        <v>819</v>
      </c>
      <c r="KA17" s="115" t="s">
        <v>819</v>
      </c>
      <c r="KB17" s="115" t="s">
        <v>819</v>
      </c>
      <c r="KC17" s="115" t="s">
        <v>819</v>
      </c>
      <c r="KD17" s="115" t="s">
        <v>19</v>
      </c>
      <c r="KE17" s="115" t="s">
        <v>19</v>
      </c>
      <c r="KF17" s="115" t="s">
        <v>19</v>
      </c>
      <c r="KG17" s="159" t="s">
        <v>11</v>
      </c>
      <c r="KH17" s="115" t="s">
        <v>19</v>
      </c>
      <c r="KI17" s="115" t="s">
        <v>2404</v>
      </c>
      <c r="KJ17" s="159" t="s">
        <v>3698</v>
      </c>
      <c r="KK17" s="159" t="s">
        <v>3698</v>
      </c>
      <c r="KL17" s="159" t="s">
        <v>138</v>
      </c>
      <c r="KM17" s="115" t="s">
        <v>819</v>
      </c>
      <c r="KN17" s="187" t="s">
        <v>4470</v>
      </c>
      <c r="KO17" s="115" t="s">
        <v>19</v>
      </c>
      <c r="KP17" s="115" t="s">
        <v>19</v>
      </c>
      <c r="KQ17" s="115" t="s">
        <v>19</v>
      </c>
      <c r="KR17" s="159" t="s">
        <v>4515</v>
      </c>
      <c r="KS17" s="159" t="s">
        <v>19</v>
      </c>
      <c r="KT17" s="159" t="s">
        <v>19</v>
      </c>
      <c r="KU17" s="159" t="s">
        <v>19</v>
      </c>
      <c r="KV17" s="159" t="s">
        <v>19</v>
      </c>
      <c r="KW17" s="115" t="s">
        <v>156</v>
      </c>
      <c r="KX17" s="115" t="s">
        <v>156</v>
      </c>
      <c r="KY17" s="243" t="s">
        <v>4613</v>
      </c>
      <c r="KZ17" s="243" t="s">
        <v>4613</v>
      </c>
      <c r="LA17" s="187" t="s">
        <v>138</v>
      </c>
      <c r="LB17" s="115" t="s">
        <v>3136</v>
      </c>
      <c r="LC17" s="115" t="s">
        <v>819</v>
      </c>
      <c r="LD17" s="115" t="s">
        <v>819</v>
      </c>
      <c r="LE17" s="115" t="s">
        <v>819</v>
      </c>
      <c r="LF17" s="115" t="s">
        <v>819</v>
      </c>
      <c r="LG17" s="115" t="s">
        <v>819</v>
      </c>
      <c r="LH17" s="115" t="s">
        <v>19</v>
      </c>
      <c r="LI17" s="115" t="s">
        <v>3136</v>
      </c>
      <c r="LJ17" s="115" t="s">
        <v>19</v>
      </c>
      <c r="LK17" s="115" t="s">
        <v>819</v>
      </c>
      <c r="LL17" s="187" t="s">
        <v>819</v>
      </c>
      <c r="LM17" s="120" t="s">
        <v>19</v>
      </c>
      <c r="LN17" s="263" t="s">
        <v>819</v>
      </c>
      <c r="LO17" s="115" t="s">
        <v>819</v>
      </c>
      <c r="LP17" s="115" t="s">
        <v>19</v>
      </c>
      <c r="LQ17" s="263" t="s">
        <v>4676</v>
      </c>
      <c r="LR17" s="115" t="s">
        <v>819</v>
      </c>
      <c r="LS17" s="115" t="s">
        <v>4873</v>
      </c>
      <c r="LT17" s="115" t="s">
        <v>11</v>
      </c>
      <c r="LU17" s="115" t="s">
        <v>11</v>
      </c>
      <c r="LV17" s="286" t="s">
        <v>11</v>
      </c>
      <c r="LW17" s="115" t="s">
        <v>11</v>
      </c>
      <c r="LX17" s="115" t="s">
        <v>11</v>
      </c>
      <c r="LY17" s="115" t="s">
        <v>19</v>
      </c>
      <c r="LZ17" s="115" t="s">
        <v>3256</v>
      </c>
      <c r="MA17" s="115" t="s">
        <v>3256</v>
      </c>
      <c r="MB17" s="115" t="s">
        <v>4980</v>
      </c>
      <c r="MC17" s="115" t="s">
        <v>4997</v>
      </c>
      <c r="MD17" s="115" t="s">
        <v>3256</v>
      </c>
    </row>
    <row r="18" spans="1:342" ht="14.4" x14ac:dyDescent="0.3">
      <c r="A18" s="92">
        <v>15</v>
      </c>
      <c r="B18" s="309"/>
      <c r="C18" s="56" t="s">
        <v>433</v>
      </c>
      <c r="D18" s="14"/>
      <c r="E18" s="2" t="s">
        <v>20</v>
      </c>
      <c r="F18" s="2" t="s">
        <v>260</v>
      </c>
      <c r="G18" s="6" t="s">
        <v>11</v>
      </c>
      <c r="H18" s="2" t="s">
        <v>20</v>
      </c>
      <c r="I18" s="2" t="s">
        <v>20</v>
      </c>
      <c r="J18" s="2" t="s">
        <v>20</v>
      </c>
      <c r="K18" s="2" t="s">
        <v>139</v>
      </c>
      <c r="L18" s="2" t="s">
        <v>20</v>
      </c>
      <c r="M18" s="2" t="s">
        <v>85</v>
      </c>
      <c r="N18" s="2" t="s">
        <v>99</v>
      </c>
      <c r="O18" s="2" t="s">
        <v>20</v>
      </c>
      <c r="P18" s="2" t="s">
        <v>129</v>
      </c>
      <c r="Q18" s="2" t="s">
        <v>20</v>
      </c>
      <c r="R18" s="2" t="s">
        <v>157</v>
      </c>
      <c r="S18" s="2" t="s">
        <v>166</v>
      </c>
      <c r="T18" s="2" t="s">
        <v>174</v>
      </c>
      <c r="U18" s="2" t="s">
        <v>20</v>
      </c>
      <c r="V18" s="2" t="s">
        <v>20</v>
      </c>
      <c r="W18" s="2" t="s">
        <v>20</v>
      </c>
      <c r="X18" s="2" t="s">
        <v>20</v>
      </c>
      <c r="Y18" s="2" t="s">
        <v>20</v>
      </c>
      <c r="Z18" s="2" t="s">
        <v>20</v>
      </c>
      <c r="AA18" s="2" t="s">
        <v>20</v>
      </c>
      <c r="AB18" s="2" t="s">
        <v>349</v>
      </c>
      <c r="AC18" s="2" t="s">
        <v>349</v>
      </c>
      <c r="AD18" s="2" t="s">
        <v>370</v>
      </c>
      <c r="AE18" s="2" t="s">
        <v>370</v>
      </c>
      <c r="AF18" s="2" t="s">
        <v>370</v>
      </c>
      <c r="AG18" s="2" t="s">
        <v>370</v>
      </c>
      <c r="AH18" s="2" t="s">
        <v>370</v>
      </c>
      <c r="AI18" s="2" t="s">
        <v>370</v>
      </c>
      <c r="AJ18" s="2" t="s">
        <v>370</v>
      </c>
      <c r="AK18" s="2" t="s">
        <v>370</v>
      </c>
      <c r="AL18" s="2" t="s">
        <v>370</v>
      </c>
      <c r="AM18" s="2" t="s">
        <v>370</v>
      </c>
      <c r="AN18" s="2" t="s">
        <v>568</v>
      </c>
      <c r="AO18" s="2" t="s">
        <v>568</v>
      </c>
      <c r="AP18" s="2" t="s">
        <v>11</v>
      </c>
      <c r="AQ18" s="2" t="s">
        <v>600</v>
      </c>
      <c r="AR18" s="2" t="s">
        <v>370</v>
      </c>
      <c r="AS18" s="2" t="s">
        <v>370</v>
      </c>
      <c r="AT18" s="2" t="s">
        <v>630</v>
      </c>
      <c r="AU18" s="2" t="s">
        <v>370</v>
      </c>
      <c r="AV18" s="2" t="s">
        <v>370</v>
      </c>
      <c r="AW18" s="75" t="s">
        <v>370</v>
      </c>
      <c r="AX18" s="25" t="s">
        <v>675</v>
      </c>
      <c r="AY18" s="2" t="s">
        <v>727</v>
      </c>
      <c r="AZ18" s="2" t="s">
        <v>727</v>
      </c>
      <c r="BA18" s="2" t="s">
        <v>741</v>
      </c>
      <c r="BB18" s="2" t="s">
        <v>370</v>
      </c>
      <c r="BC18" s="2" t="s">
        <v>568</v>
      </c>
      <c r="BD18" s="2" t="s">
        <v>568</v>
      </c>
      <c r="BE18" s="2" t="s">
        <v>568</v>
      </c>
      <c r="BF18" s="2" t="s">
        <v>568</v>
      </c>
      <c r="BG18" s="2" t="s">
        <v>568</v>
      </c>
      <c r="BH18" s="2" t="s">
        <v>568</v>
      </c>
      <c r="BI18" s="41" t="s">
        <v>819</v>
      </c>
      <c r="BJ18" s="91" t="s">
        <v>819</v>
      </c>
      <c r="BK18" s="2" t="s">
        <v>219</v>
      </c>
      <c r="BL18" s="2" t="s">
        <v>568</v>
      </c>
      <c r="BM18" s="2" t="s">
        <v>1030</v>
      </c>
      <c r="BN18" s="2" t="s">
        <v>1050</v>
      </c>
      <c r="BO18" s="2" t="s">
        <v>1030</v>
      </c>
      <c r="BP18" s="2" t="s">
        <v>1030</v>
      </c>
      <c r="BQ18" s="2" t="s">
        <v>1030</v>
      </c>
      <c r="BR18" s="117" t="s">
        <v>1394</v>
      </c>
      <c r="BS18" s="105" t="s">
        <v>156</v>
      </c>
      <c r="BT18" s="105" t="s">
        <v>1423</v>
      </c>
      <c r="BU18" s="115" t="s">
        <v>129</v>
      </c>
      <c r="BV18" s="115" t="s">
        <v>1451</v>
      </c>
      <c r="BW18" s="115" t="s">
        <v>1462</v>
      </c>
      <c r="BX18" s="115" t="s">
        <v>129</v>
      </c>
      <c r="BY18" s="115" t="s">
        <v>129</v>
      </c>
      <c r="BZ18" s="115" t="s">
        <v>129</v>
      </c>
      <c r="CA18" s="41" t="s">
        <v>20</v>
      </c>
      <c r="CB18" s="41" t="s">
        <v>1582</v>
      </c>
      <c r="CC18" s="41" t="s">
        <v>370</v>
      </c>
      <c r="CD18" s="41" t="s">
        <v>1617</v>
      </c>
      <c r="CE18" s="41" t="s">
        <v>1634</v>
      </c>
      <c r="CF18" s="41" t="s">
        <v>20</v>
      </c>
      <c r="CG18" s="41" t="s">
        <v>1582</v>
      </c>
      <c r="CH18" s="41" t="s">
        <v>568</v>
      </c>
      <c r="CI18" s="41" t="s">
        <v>1682</v>
      </c>
      <c r="CJ18" s="41" t="s">
        <v>19</v>
      </c>
      <c r="CK18" s="41" t="s">
        <v>19</v>
      </c>
      <c r="CL18" s="41" t="s">
        <v>19</v>
      </c>
      <c r="CM18" s="41" t="s">
        <v>1682</v>
      </c>
      <c r="CN18" s="41" t="s">
        <v>1728</v>
      </c>
      <c r="CO18" s="41" t="s">
        <v>1530</v>
      </c>
      <c r="CP18" s="41" t="s">
        <v>1753</v>
      </c>
      <c r="CQ18" s="41" t="s">
        <v>1769</v>
      </c>
      <c r="CR18" s="41" t="s">
        <v>1728</v>
      </c>
      <c r="CS18" s="41" t="s">
        <v>1791</v>
      </c>
      <c r="CT18" s="41" t="s">
        <v>20</v>
      </c>
      <c r="CU18" s="41" t="s">
        <v>370</v>
      </c>
      <c r="CV18" s="41" t="s">
        <v>1517</v>
      </c>
      <c r="CW18" s="41" t="s">
        <v>1791</v>
      </c>
      <c r="CX18" s="41" t="s">
        <v>1837</v>
      </c>
      <c r="CY18" s="41" t="s">
        <v>1845</v>
      </c>
      <c r="CZ18" s="41" t="s">
        <v>1853</v>
      </c>
      <c r="DA18" s="41" t="s">
        <v>1853</v>
      </c>
      <c r="DB18" s="41" t="s">
        <v>1869</v>
      </c>
      <c r="DC18" s="41" t="s">
        <v>1880</v>
      </c>
      <c r="DD18" s="41" t="s">
        <v>1890</v>
      </c>
      <c r="DE18" s="41" t="s">
        <v>1837</v>
      </c>
      <c r="DF18" s="41" t="s">
        <v>1837</v>
      </c>
      <c r="DG18" s="41" t="s">
        <v>1912</v>
      </c>
      <c r="DH18" s="41" t="s">
        <v>650</v>
      </c>
      <c r="DI18" s="41" t="s">
        <v>1930</v>
      </c>
      <c r="DJ18" s="41" t="s">
        <v>1394</v>
      </c>
      <c r="DK18" s="41" t="s">
        <v>1955</v>
      </c>
      <c r="DL18" s="41" t="s">
        <v>1972</v>
      </c>
      <c r="DM18" s="41" t="s">
        <v>2048</v>
      </c>
      <c r="DN18" s="41" t="s">
        <v>2048</v>
      </c>
      <c r="DO18" s="41" t="s">
        <v>2072</v>
      </c>
      <c r="DP18" s="105" t="s">
        <v>2011</v>
      </c>
      <c r="DQ18" s="105" t="s">
        <v>2011</v>
      </c>
      <c r="DR18" s="105" t="s">
        <v>2011</v>
      </c>
      <c r="DS18" s="105" t="s">
        <v>2034</v>
      </c>
      <c r="DT18" s="105" t="s">
        <v>2041</v>
      </c>
      <c r="DU18" s="41" t="s">
        <v>2093</v>
      </c>
      <c r="DV18" s="171" t="s">
        <v>2115</v>
      </c>
      <c r="DW18" s="115" t="s">
        <v>1394</v>
      </c>
      <c r="DX18" s="115" t="s">
        <v>2188</v>
      </c>
      <c r="DY18" s="115" t="s">
        <v>2205</v>
      </c>
      <c r="DZ18" s="115" t="s">
        <v>2221</v>
      </c>
      <c r="EA18" s="115" t="s">
        <v>2205</v>
      </c>
      <c r="EB18" s="115" t="s">
        <v>2205</v>
      </c>
      <c r="EC18" s="115" t="s">
        <v>2259</v>
      </c>
      <c r="ED18" s="115" t="s">
        <v>2274</v>
      </c>
      <c r="EE18" s="115" t="s">
        <v>2274</v>
      </c>
      <c r="EF18" s="115" t="s">
        <v>2274</v>
      </c>
      <c r="EG18" s="115" t="s">
        <v>2274</v>
      </c>
      <c r="EH18" s="115" t="s">
        <v>2011</v>
      </c>
      <c r="EI18" s="187" t="s">
        <v>2318</v>
      </c>
      <c r="EJ18" s="115" t="s">
        <v>2333</v>
      </c>
      <c r="EK18" s="187" t="s">
        <v>2344</v>
      </c>
      <c r="EL18" s="115" t="s">
        <v>2360</v>
      </c>
      <c r="EM18" s="187" t="s">
        <v>2375</v>
      </c>
      <c r="EN18" s="115" t="s">
        <v>2389</v>
      </c>
      <c r="EO18" s="115" t="s">
        <v>2050</v>
      </c>
      <c r="EP18" s="115" t="s">
        <v>2050</v>
      </c>
      <c r="EQ18" s="115" t="s">
        <v>2050</v>
      </c>
      <c r="ER18" s="115" t="s">
        <v>370</v>
      </c>
      <c r="ES18" s="115" t="s">
        <v>370</v>
      </c>
      <c r="ET18" s="115" t="s">
        <v>2050</v>
      </c>
      <c r="EU18" s="115" t="s">
        <v>2048</v>
      </c>
      <c r="EV18" s="115" t="s">
        <v>2048</v>
      </c>
      <c r="EW18" s="115" t="s">
        <v>2525</v>
      </c>
      <c r="EX18" s="115" t="s">
        <v>2540</v>
      </c>
      <c r="EY18" s="115" t="s">
        <v>2549</v>
      </c>
      <c r="EZ18" s="115" t="s">
        <v>2561</v>
      </c>
      <c r="FA18" s="41" t="s">
        <v>2609</v>
      </c>
      <c r="FB18" s="41" t="s">
        <v>2609</v>
      </c>
      <c r="FC18" s="41" t="s">
        <v>2609</v>
      </c>
      <c r="FD18" s="41" t="s">
        <v>2609</v>
      </c>
      <c r="FE18" s="41" t="s">
        <v>819</v>
      </c>
      <c r="FF18" s="41" t="s">
        <v>2655</v>
      </c>
      <c r="FG18" s="41" t="s">
        <v>2655</v>
      </c>
      <c r="FH18" s="41" t="s">
        <v>2675</v>
      </c>
      <c r="FI18" s="41" t="s">
        <v>2685</v>
      </c>
      <c r="FJ18" s="41" t="s">
        <v>19</v>
      </c>
      <c r="FK18" s="41" t="s">
        <v>2708</v>
      </c>
      <c r="FL18" s="41" t="s">
        <v>2708</v>
      </c>
      <c r="FM18" s="200" t="s">
        <v>2730</v>
      </c>
      <c r="FN18" s="187" t="s">
        <v>2050</v>
      </c>
      <c r="FO18" s="187" t="s">
        <v>2759</v>
      </c>
      <c r="FP18" s="187" t="s">
        <v>2773</v>
      </c>
      <c r="FQ18" s="187" t="s">
        <v>2759</v>
      </c>
      <c r="FR18" s="115" t="s">
        <v>2799</v>
      </c>
      <c r="FS18" s="187" t="s">
        <v>2810</v>
      </c>
      <c r="FT18" s="187" t="s">
        <v>2821</v>
      </c>
      <c r="FU18" s="187" t="s">
        <v>2050</v>
      </c>
      <c r="FV18" s="115" t="s">
        <v>2048</v>
      </c>
      <c r="FW18" s="115" t="s">
        <v>2048</v>
      </c>
      <c r="FX18" s="115" t="s">
        <v>2048</v>
      </c>
      <c r="FY18" s="115" t="s">
        <v>1871</v>
      </c>
      <c r="FZ18" s="115" t="s">
        <v>2011</v>
      </c>
      <c r="GA18" s="115" t="s">
        <v>2905</v>
      </c>
      <c r="GB18" s="115" t="s">
        <v>2915</v>
      </c>
      <c r="GC18" s="115" t="s">
        <v>2905</v>
      </c>
      <c r="GD18" s="187" t="s">
        <v>2344</v>
      </c>
      <c r="GE18" s="115" t="s">
        <v>2685</v>
      </c>
      <c r="GF18" s="159" t="s">
        <v>2962</v>
      </c>
      <c r="GG18" s="208" t="s">
        <v>2978</v>
      </c>
      <c r="GH18" s="159" t="s">
        <v>2993</v>
      </c>
      <c r="GI18" s="159" t="s">
        <v>2759</v>
      </c>
      <c r="GJ18" s="159" t="s">
        <v>2993</v>
      </c>
      <c r="GK18" s="159" t="s">
        <v>3031</v>
      </c>
      <c r="GL18" s="115" t="s">
        <v>2759</v>
      </c>
      <c r="GM18" s="115" t="s">
        <v>2708</v>
      </c>
      <c r="GN18" s="115" t="s">
        <v>2655</v>
      </c>
      <c r="GO18" s="115" t="s">
        <v>3084</v>
      </c>
      <c r="GP18" s="115" t="s">
        <v>2759</v>
      </c>
      <c r="GQ18" s="208" t="s">
        <v>3119</v>
      </c>
      <c r="GR18" s="115" t="s">
        <v>3137</v>
      </c>
      <c r="GS18" s="115" t="s">
        <v>2050</v>
      </c>
      <c r="GT18" s="115" t="s">
        <v>20</v>
      </c>
      <c r="GU18" s="115" t="s">
        <v>2050</v>
      </c>
      <c r="GV18" s="115" t="s">
        <v>3200</v>
      </c>
      <c r="GW18" s="115" t="s">
        <v>3218</v>
      </c>
      <c r="GX18" s="115" t="s">
        <v>3232</v>
      </c>
      <c r="GY18" s="115" t="s">
        <v>3200</v>
      </c>
      <c r="GZ18" s="187" t="s">
        <v>3257</v>
      </c>
      <c r="HA18" s="159" t="s">
        <v>1845</v>
      </c>
      <c r="HB18" s="159" t="s">
        <v>3286</v>
      </c>
      <c r="HC18" s="159" t="s">
        <v>1845</v>
      </c>
      <c r="HD18" s="187" t="s">
        <v>3305</v>
      </c>
      <c r="HE18" s="115" t="s">
        <v>3318</v>
      </c>
      <c r="HF18" s="115" t="s">
        <v>3334</v>
      </c>
      <c r="HG18" s="187" t="s">
        <v>3347</v>
      </c>
      <c r="HH18" s="115" t="s">
        <v>3334</v>
      </c>
      <c r="HI18" s="200" t="s">
        <v>3367</v>
      </c>
      <c r="HJ18" s="115" t="s">
        <v>1422</v>
      </c>
      <c r="HK18" s="115" t="s">
        <v>3394</v>
      </c>
      <c r="HL18" s="115" t="s">
        <v>3410</v>
      </c>
      <c r="HM18" s="115" t="s">
        <v>2655</v>
      </c>
      <c r="HN18" s="115" t="s">
        <v>3506</v>
      </c>
      <c r="HO18" s="115" t="s">
        <v>3521</v>
      </c>
      <c r="HP18" s="159" t="s">
        <v>3469</v>
      </c>
      <c r="HQ18" s="115" t="s">
        <v>3469</v>
      </c>
      <c r="HR18" s="159" t="s">
        <v>3550</v>
      </c>
      <c r="HS18" s="115" t="s">
        <v>2048</v>
      </c>
      <c r="HT18" s="115" t="s">
        <v>3580</v>
      </c>
      <c r="HU18" s="115" t="s">
        <v>3469</v>
      </c>
      <c r="HV18" s="115" t="s">
        <v>3453</v>
      </c>
      <c r="HW18" s="115" t="s">
        <v>2048</v>
      </c>
      <c r="HX18" s="115" t="s">
        <v>3616</v>
      </c>
      <c r="HY18" s="115" t="s">
        <v>3626</v>
      </c>
      <c r="HZ18" s="115" t="s">
        <v>3638</v>
      </c>
      <c r="IA18" s="115" t="s">
        <v>3651</v>
      </c>
      <c r="IB18" s="115" t="s">
        <v>3658</v>
      </c>
      <c r="IC18" s="115" t="s">
        <v>2360</v>
      </c>
      <c r="ID18" s="115" t="s">
        <v>3684</v>
      </c>
      <c r="IE18" s="159" t="s">
        <v>3218</v>
      </c>
      <c r="IF18" s="183" t="s">
        <v>3715</v>
      </c>
      <c r="IG18" s="185" t="s">
        <v>3724</v>
      </c>
      <c r="IH18" s="185" t="s">
        <v>3732</v>
      </c>
      <c r="II18" s="185" t="s">
        <v>3745</v>
      </c>
      <c r="IJ18" s="185" t="s">
        <v>3758</v>
      </c>
      <c r="IK18" s="185" t="s">
        <v>3658</v>
      </c>
      <c r="IL18" s="183" t="s">
        <v>3775</v>
      </c>
      <c r="IM18" s="159" t="s">
        <v>3550</v>
      </c>
      <c r="IN18" s="159" t="s">
        <v>3715</v>
      </c>
      <c r="IO18" s="159" t="s">
        <v>3801</v>
      </c>
      <c r="IP18" s="159" t="s">
        <v>3801</v>
      </c>
      <c r="IQ18" s="115" t="s">
        <v>3827</v>
      </c>
      <c r="IR18" s="159" t="s">
        <v>3775</v>
      </c>
      <c r="IS18" s="115" t="s">
        <v>3845</v>
      </c>
      <c r="IT18" s="115" t="s">
        <v>3861</v>
      </c>
      <c r="IU18" s="115" t="s">
        <v>3873</v>
      </c>
      <c r="IV18" s="115" t="s">
        <v>3890</v>
      </c>
      <c r="IW18" s="115" t="s">
        <v>3994</v>
      </c>
      <c r="IX18" s="159"/>
      <c r="IY18" s="115" t="s">
        <v>3966</v>
      </c>
      <c r="IZ18" s="115" t="s">
        <v>3966</v>
      </c>
      <c r="JA18" s="115" t="s">
        <v>4014</v>
      </c>
      <c r="JB18" s="115" t="s">
        <v>2048</v>
      </c>
      <c r="JC18" s="115" t="s">
        <v>2048</v>
      </c>
      <c r="JD18" s="115" t="s">
        <v>4049</v>
      </c>
      <c r="JE18" s="115" t="s">
        <v>4059</v>
      </c>
      <c r="JF18" s="115" t="s">
        <v>4070</v>
      </c>
      <c r="JG18" s="115" t="s">
        <v>4086</v>
      </c>
      <c r="JH18" s="115" t="s">
        <v>4099</v>
      </c>
      <c r="JI18" s="115" t="s">
        <v>4115</v>
      </c>
      <c r="JJ18" s="245" t="s">
        <v>2905</v>
      </c>
      <c r="JK18" s="245" t="s">
        <v>2905</v>
      </c>
      <c r="JL18" s="245" t="s">
        <v>2905</v>
      </c>
      <c r="JM18" s="245" t="s">
        <v>2905</v>
      </c>
      <c r="JN18" s="115" t="s">
        <v>2050</v>
      </c>
      <c r="JO18" s="159" t="s">
        <v>2048</v>
      </c>
      <c r="JP18" s="115" t="s">
        <v>4219</v>
      </c>
      <c r="JQ18" s="159" t="s">
        <v>4235</v>
      </c>
      <c r="JR18" s="115" t="s">
        <v>4235</v>
      </c>
      <c r="JS18" s="115" t="s">
        <v>4253</v>
      </c>
      <c r="JT18" s="115" t="s">
        <v>2048</v>
      </c>
      <c r="JU18" s="115" t="s">
        <v>4271</v>
      </c>
      <c r="JV18" s="115" t="s">
        <v>2048</v>
      </c>
      <c r="JW18" s="115" t="s">
        <v>4277</v>
      </c>
      <c r="JX18" s="115" t="s">
        <v>4286</v>
      </c>
      <c r="JY18" s="115" t="s">
        <v>4286</v>
      </c>
      <c r="JZ18" s="115" t="s">
        <v>4286</v>
      </c>
      <c r="KA18" s="115" t="s">
        <v>4286</v>
      </c>
      <c r="KB18" s="115" t="s">
        <v>4286</v>
      </c>
      <c r="KC18" s="115" t="s">
        <v>4286</v>
      </c>
      <c r="KD18" s="115" t="s">
        <v>4322</v>
      </c>
      <c r="KE18" s="115" t="s">
        <v>4332</v>
      </c>
      <c r="KF18" s="115" t="s">
        <v>4322</v>
      </c>
      <c r="KG18" s="159" t="s">
        <v>2050</v>
      </c>
      <c r="KH18" s="115" t="s">
        <v>4367</v>
      </c>
      <c r="KI18" s="115" t="s">
        <v>4383</v>
      </c>
      <c r="KJ18" s="159" t="s">
        <v>3218</v>
      </c>
      <c r="KK18" s="159" t="s">
        <v>3218</v>
      </c>
      <c r="KL18" s="159" t="s">
        <v>4425</v>
      </c>
      <c r="KM18" s="115" t="s">
        <v>4441</v>
      </c>
      <c r="KN18" s="187" t="s">
        <v>11</v>
      </c>
      <c r="KO18" s="115" t="s">
        <v>4384</v>
      </c>
      <c r="KP18" s="115" t="s">
        <v>4384</v>
      </c>
      <c r="KQ18" s="115" t="s">
        <v>4384</v>
      </c>
      <c r="KR18" s="159" t="s">
        <v>4516</v>
      </c>
      <c r="KS18" s="159" t="s">
        <v>3137</v>
      </c>
      <c r="KT18" s="159" t="s">
        <v>4539</v>
      </c>
      <c r="KU18" s="159" t="s">
        <v>4539</v>
      </c>
      <c r="KV18" s="159" t="s">
        <v>4539</v>
      </c>
      <c r="KW18" s="115" t="s">
        <v>4563</v>
      </c>
      <c r="KX18" s="115" t="s">
        <v>4563</v>
      </c>
      <c r="KY18" s="245" t="s">
        <v>4614</v>
      </c>
      <c r="KZ18" s="245" t="s">
        <v>4628</v>
      </c>
      <c r="LA18" s="187" t="s">
        <v>2685</v>
      </c>
      <c r="LB18" s="115" t="s">
        <v>4688</v>
      </c>
      <c r="LC18" s="115" t="s">
        <v>4701</v>
      </c>
      <c r="LD18" s="115" t="s">
        <v>4717</v>
      </c>
      <c r="LE18" s="115" t="s">
        <v>4717</v>
      </c>
      <c r="LF18" s="115" t="s">
        <v>4741</v>
      </c>
      <c r="LG18" s="115" t="s">
        <v>3724</v>
      </c>
      <c r="LH18" s="115" t="s">
        <v>4752</v>
      </c>
      <c r="LI18" s="115" t="s">
        <v>3121</v>
      </c>
      <c r="LJ18" s="115" t="s">
        <v>4752</v>
      </c>
      <c r="LK18" s="115" t="s">
        <v>4784</v>
      </c>
      <c r="LL18" s="187" t="s">
        <v>4795</v>
      </c>
      <c r="LM18" s="120" t="s">
        <v>4539</v>
      </c>
      <c r="LN18" s="265" t="s">
        <v>2048</v>
      </c>
      <c r="LO18" s="115" t="s">
        <v>3651</v>
      </c>
      <c r="LP18" s="115" t="s">
        <v>2048</v>
      </c>
      <c r="LQ18" s="263" t="s">
        <v>4677</v>
      </c>
      <c r="LR18" s="115" t="s">
        <v>4844</v>
      </c>
      <c r="LS18" s="115" t="s">
        <v>4874</v>
      </c>
      <c r="LT18" s="115" t="s">
        <v>11</v>
      </c>
      <c r="LU18" s="115" t="s">
        <v>11</v>
      </c>
      <c r="LV18" s="286" t="s">
        <v>11</v>
      </c>
      <c r="LW18" s="115" t="s">
        <v>11</v>
      </c>
      <c r="LX18" s="115" t="s">
        <v>11</v>
      </c>
      <c r="LY18" s="115" t="s">
        <v>4942</v>
      </c>
      <c r="LZ18" s="115" t="s">
        <v>4539</v>
      </c>
      <c r="MA18" s="115" t="s">
        <v>4539</v>
      </c>
      <c r="MB18" s="115" t="s">
        <v>4981</v>
      </c>
      <c r="MC18" s="115" t="s">
        <v>3658</v>
      </c>
      <c r="MD18" s="115" t="s">
        <v>5015</v>
      </c>
    </row>
    <row r="19" spans="1:342" ht="14.4" x14ac:dyDescent="0.3">
      <c r="A19" s="92">
        <v>16</v>
      </c>
      <c r="B19" s="309"/>
      <c r="C19" s="56" t="s">
        <v>434</v>
      </c>
      <c r="D19" s="14"/>
      <c r="E19" s="5">
        <v>2008</v>
      </c>
      <c r="F19" s="2" t="s">
        <v>36</v>
      </c>
      <c r="G19" s="2" t="s">
        <v>50</v>
      </c>
      <c r="H19" s="6" t="s">
        <v>11</v>
      </c>
      <c r="I19" s="2" t="s">
        <v>100</v>
      </c>
      <c r="J19" s="2" t="s">
        <v>709</v>
      </c>
      <c r="K19" s="79">
        <v>43133</v>
      </c>
      <c r="L19" s="6" t="s">
        <v>11</v>
      </c>
      <c r="M19" s="2" t="s">
        <v>86</v>
      </c>
      <c r="N19" s="2" t="s">
        <v>36</v>
      </c>
      <c r="O19" s="2" t="s">
        <v>119</v>
      </c>
      <c r="P19" s="2" t="s">
        <v>130</v>
      </c>
      <c r="Q19" s="2" t="s">
        <v>119</v>
      </c>
      <c r="R19" s="2" t="s">
        <v>158</v>
      </c>
      <c r="S19" s="2" t="s">
        <v>158</v>
      </c>
      <c r="T19" s="2" t="s">
        <v>158</v>
      </c>
      <c r="U19" s="2" t="s">
        <v>275</v>
      </c>
      <c r="V19" s="2" t="s">
        <v>284</v>
      </c>
      <c r="W19" s="2" t="s">
        <v>158</v>
      </c>
      <c r="X19" s="2" t="s">
        <v>275</v>
      </c>
      <c r="Y19" s="2" t="s">
        <v>275</v>
      </c>
      <c r="Z19" s="2" t="s">
        <v>310</v>
      </c>
      <c r="AA19" s="2" t="s">
        <v>275</v>
      </c>
      <c r="AB19" s="2" t="s">
        <v>297</v>
      </c>
      <c r="AC19" s="2" t="s">
        <v>297</v>
      </c>
      <c r="AD19" s="2">
        <v>1985</v>
      </c>
      <c r="AE19" s="2" t="s">
        <v>371</v>
      </c>
      <c r="AF19" s="2" t="s">
        <v>391</v>
      </c>
      <c r="AG19" s="2" t="s">
        <v>203</v>
      </c>
      <c r="AH19" s="2" t="s">
        <v>415</v>
      </c>
      <c r="AI19" s="2" t="s">
        <v>509</v>
      </c>
      <c r="AJ19" s="62" t="s">
        <v>44</v>
      </c>
      <c r="AK19" s="61" t="s">
        <v>531</v>
      </c>
      <c r="AL19" s="62" t="s">
        <v>532</v>
      </c>
      <c r="AM19" s="2" t="s">
        <v>530</v>
      </c>
      <c r="AN19" s="2">
        <v>1995</v>
      </c>
      <c r="AO19" s="2" t="s">
        <v>580</v>
      </c>
      <c r="AP19" s="2" t="s">
        <v>297</v>
      </c>
      <c r="AQ19" s="2" t="s">
        <v>601</v>
      </c>
      <c r="AR19" s="2">
        <v>2008</v>
      </c>
      <c r="AS19" s="2">
        <v>2008</v>
      </c>
      <c r="AT19" s="5">
        <v>2007</v>
      </c>
      <c r="AU19" s="62" t="s">
        <v>653</v>
      </c>
      <c r="AV19" s="71" t="s">
        <v>652</v>
      </c>
      <c r="AW19" s="62">
        <v>2008</v>
      </c>
      <c r="AX19" s="25" t="s">
        <v>676</v>
      </c>
      <c r="AY19" s="2" t="s">
        <v>734</v>
      </c>
      <c r="AZ19" s="2" t="s">
        <v>130</v>
      </c>
      <c r="BA19" s="6" t="s">
        <v>742</v>
      </c>
      <c r="BB19" s="6" t="s">
        <v>757</v>
      </c>
      <c r="BC19" s="41">
        <v>2010</v>
      </c>
      <c r="BD19" s="81">
        <v>2010</v>
      </c>
      <c r="BE19" s="81">
        <v>2010</v>
      </c>
      <c r="BF19" s="81">
        <v>2010</v>
      </c>
      <c r="BG19" s="81">
        <v>2010</v>
      </c>
      <c r="BH19" s="81">
        <v>2010</v>
      </c>
      <c r="BI19" s="41" t="s">
        <v>820</v>
      </c>
      <c r="BJ19" s="91" t="s">
        <v>835</v>
      </c>
      <c r="BK19" s="2" t="s">
        <v>203</v>
      </c>
      <c r="BL19" s="105">
        <v>1995</v>
      </c>
      <c r="BM19" s="2" t="s">
        <v>1018</v>
      </c>
      <c r="BN19" s="2">
        <v>2003</v>
      </c>
      <c r="BO19" s="2" t="s">
        <v>1063</v>
      </c>
      <c r="BP19" s="2" t="s">
        <v>1073</v>
      </c>
      <c r="BQ19" s="2" t="s">
        <v>1081</v>
      </c>
      <c r="BR19" s="117" t="s">
        <v>11</v>
      </c>
      <c r="BS19" s="105" t="s">
        <v>1410</v>
      </c>
      <c r="BT19" s="105" t="s">
        <v>1424</v>
      </c>
      <c r="BU19" s="115" t="s">
        <v>1378</v>
      </c>
      <c r="BV19" s="115" t="s">
        <v>130</v>
      </c>
      <c r="BW19" s="115" t="s">
        <v>1463</v>
      </c>
      <c r="BX19" s="115" t="s">
        <v>1378</v>
      </c>
      <c r="BY19" s="115" t="s">
        <v>1378</v>
      </c>
      <c r="BZ19" s="115" t="s">
        <v>1378</v>
      </c>
      <c r="CA19" s="41" t="s">
        <v>1565</v>
      </c>
      <c r="CB19" s="41">
        <v>2008</v>
      </c>
      <c r="CC19" s="41">
        <v>2017</v>
      </c>
      <c r="CD19" s="41" t="s">
        <v>1618</v>
      </c>
      <c r="CE19" s="41" t="s">
        <v>1635</v>
      </c>
      <c r="CF19" s="41" t="s">
        <v>1565</v>
      </c>
      <c r="CG19" s="41">
        <v>2008</v>
      </c>
      <c r="CH19" s="41" t="s">
        <v>1665</v>
      </c>
      <c r="CI19" s="41" t="s">
        <v>1683</v>
      </c>
      <c r="CJ19" s="41" t="s">
        <v>1550</v>
      </c>
      <c r="CK19" s="41" t="s">
        <v>1550</v>
      </c>
      <c r="CL19" s="41" t="s">
        <v>1550</v>
      </c>
      <c r="CM19" s="41" t="s">
        <v>1718</v>
      </c>
      <c r="CN19" s="41" t="s">
        <v>1729</v>
      </c>
      <c r="CO19" s="41" t="s">
        <v>1518</v>
      </c>
      <c r="CP19" s="41" t="s">
        <v>1754</v>
      </c>
      <c r="CQ19" s="41" t="s">
        <v>1770</v>
      </c>
      <c r="CR19" s="41" t="s">
        <v>1518</v>
      </c>
      <c r="CS19" s="41" t="s">
        <v>1792</v>
      </c>
      <c r="CT19" s="41" t="s">
        <v>1804</v>
      </c>
      <c r="CU19" s="41" t="s">
        <v>1811</v>
      </c>
      <c r="CV19" s="41" t="s">
        <v>1518</v>
      </c>
      <c r="CW19" s="41" t="s">
        <v>1018</v>
      </c>
      <c r="CX19" s="41">
        <v>2017</v>
      </c>
      <c r="CY19" s="41" t="s">
        <v>1846</v>
      </c>
      <c r="CZ19" s="41" t="s">
        <v>1854</v>
      </c>
      <c r="DA19" s="41" t="s">
        <v>1862</v>
      </c>
      <c r="DB19" s="41" t="s">
        <v>1870</v>
      </c>
      <c r="DC19" s="41" t="s">
        <v>1846</v>
      </c>
      <c r="DD19" s="41" t="s">
        <v>1891</v>
      </c>
      <c r="DE19" s="41">
        <v>2012</v>
      </c>
      <c r="DF19" s="41" t="s">
        <v>1905</v>
      </c>
      <c r="DG19" s="41" t="s">
        <v>1913</v>
      </c>
      <c r="DH19" s="41" t="s">
        <v>652</v>
      </c>
      <c r="DI19" s="41" t="s">
        <v>1931</v>
      </c>
      <c r="DJ19" s="41" t="s">
        <v>1940</v>
      </c>
      <c r="DK19" s="41" t="s">
        <v>1956</v>
      </c>
      <c r="DL19" s="41" t="s">
        <v>1973</v>
      </c>
      <c r="DM19" s="41" t="s">
        <v>2049</v>
      </c>
      <c r="DN19" s="41" t="s">
        <v>2049</v>
      </c>
      <c r="DO19" s="41" t="s">
        <v>2073</v>
      </c>
      <c r="DP19" s="105" t="s">
        <v>1998</v>
      </c>
      <c r="DQ19" s="105" t="s">
        <v>1998</v>
      </c>
      <c r="DR19" s="105" t="s">
        <v>1998</v>
      </c>
      <c r="DS19" s="105" t="s">
        <v>1998</v>
      </c>
      <c r="DT19" s="105">
        <v>2016</v>
      </c>
      <c r="DU19" s="41" t="s">
        <v>2094</v>
      </c>
      <c r="DV19" s="171" t="s">
        <v>2116</v>
      </c>
      <c r="DW19" s="115">
        <v>2019</v>
      </c>
      <c r="DX19" s="115" t="s">
        <v>2189</v>
      </c>
      <c r="DY19" s="115" t="s">
        <v>2206</v>
      </c>
      <c r="DZ19" s="115" t="s">
        <v>2222</v>
      </c>
      <c r="EA19" s="115" t="s">
        <v>2234</v>
      </c>
      <c r="EB19" s="115" t="s">
        <v>2247</v>
      </c>
      <c r="EC19" s="115" t="s">
        <v>2260</v>
      </c>
      <c r="ED19" s="115" t="s">
        <v>2154</v>
      </c>
      <c r="EE19" s="115" t="s">
        <v>2154</v>
      </c>
      <c r="EF19" s="115" t="s">
        <v>2154</v>
      </c>
      <c r="EG19" s="115" t="s">
        <v>2154</v>
      </c>
      <c r="EH19" s="115">
        <v>2016</v>
      </c>
      <c r="EI19" s="187" t="s">
        <v>2319</v>
      </c>
      <c r="EJ19" s="115" t="s">
        <v>50</v>
      </c>
      <c r="EK19" s="187" t="s">
        <v>2345</v>
      </c>
      <c r="EL19" s="115" t="s">
        <v>2361</v>
      </c>
      <c r="EM19" s="187" t="s">
        <v>2376</v>
      </c>
      <c r="EN19" s="115" t="s">
        <v>2390</v>
      </c>
      <c r="EO19" s="115" t="s">
        <v>2405</v>
      </c>
      <c r="EP19" s="115" t="s">
        <v>2405</v>
      </c>
      <c r="EQ19" s="115" t="s">
        <v>2434</v>
      </c>
      <c r="ER19" s="115" t="s">
        <v>2450</v>
      </c>
      <c r="ES19" s="115" t="s">
        <v>2405</v>
      </c>
      <c r="ET19" s="115" t="s">
        <v>2477</v>
      </c>
      <c r="EU19" s="115" t="s">
        <v>2492</v>
      </c>
      <c r="EV19" s="115" t="s">
        <v>2509</v>
      </c>
      <c r="EW19" s="115" t="s">
        <v>11</v>
      </c>
      <c r="EX19" s="115" t="s">
        <v>2154</v>
      </c>
      <c r="EY19" s="115" t="s">
        <v>2550</v>
      </c>
      <c r="EZ19" s="115" t="s">
        <v>2562</v>
      </c>
      <c r="FA19" s="41">
        <v>2015</v>
      </c>
      <c r="FB19" s="41">
        <v>2015</v>
      </c>
      <c r="FC19" s="41">
        <v>2015</v>
      </c>
      <c r="FD19" s="41">
        <v>2015</v>
      </c>
      <c r="FE19" s="41" t="s">
        <v>2641</v>
      </c>
      <c r="FF19" s="41" t="s">
        <v>2656</v>
      </c>
      <c r="FG19" s="41" t="s">
        <v>2668</v>
      </c>
      <c r="FH19" s="41" t="s">
        <v>2656</v>
      </c>
      <c r="FI19" s="41" t="s">
        <v>2686</v>
      </c>
      <c r="FJ19" s="41" t="s">
        <v>11</v>
      </c>
      <c r="FK19" s="41">
        <v>2011</v>
      </c>
      <c r="FL19" s="41">
        <v>2020</v>
      </c>
      <c r="FM19" s="200" t="s">
        <v>2731</v>
      </c>
      <c r="FN19" s="187" t="s">
        <v>2154</v>
      </c>
      <c r="FO19" s="187" t="s">
        <v>2760</v>
      </c>
      <c r="FP19" s="187" t="s">
        <v>2774</v>
      </c>
      <c r="FQ19" s="187">
        <v>2015</v>
      </c>
      <c r="FR19" s="115" t="s">
        <v>2222</v>
      </c>
      <c r="FS19" s="187" t="s">
        <v>2811</v>
      </c>
      <c r="FT19" s="187" t="s">
        <v>1891</v>
      </c>
      <c r="FU19" s="187">
        <v>2050</v>
      </c>
      <c r="FV19" s="115">
        <v>2011</v>
      </c>
      <c r="FW19" s="115" t="s">
        <v>2862</v>
      </c>
      <c r="FX19" s="115">
        <v>2011</v>
      </c>
      <c r="FY19" s="115" t="s">
        <v>2882</v>
      </c>
      <c r="FZ19" s="115">
        <v>2016</v>
      </c>
      <c r="GA19" s="115" t="s">
        <v>2656</v>
      </c>
      <c r="GB19" s="115" t="s">
        <v>2656</v>
      </c>
      <c r="GC19" s="115" t="s">
        <v>2656</v>
      </c>
      <c r="GD19" s="187" t="s">
        <v>2133</v>
      </c>
      <c r="GE19" s="115" t="s">
        <v>2945</v>
      </c>
      <c r="GF19" s="159" t="s">
        <v>2963</v>
      </c>
      <c r="GG19" s="208" t="s">
        <v>2162</v>
      </c>
      <c r="GH19" s="159" t="s">
        <v>2994</v>
      </c>
      <c r="GI19" s="159" t="s">
        <v>3008</v>
      </c>
      <c r="GJ19" s="159" t="s">
        <v>3019</v>
      </c>
      <c r="GK19" s="159" t="s">
        <v>3032</v>
      </c>
      <c r="GL19" s="115" t="s">
        <v>3043</v>
      </c>
      <c r="GM19" s="115" t="s">
        <v>3054</v>
      </c>
      <c r="GN19" s="115" t="s">
        <v>3068</v>
      </c>
      <c r="GO19" s="115" t="s">
        <v>3085</v>
      </c>
      <c r="GP19" s="115" t="s">
        <v>3043</v>
      </c>
      <c r="GQ19" s="208" t="s">
        <v>3120</v>
      </c>
      <c r="GR19" s="115" t="s">
        <v>3043</v>
      </c>
      <c r="GS19" s="115" t="s">
        <v>3151</v>
      </c>
      <c r="GT19" s="115">
        <v>2023</v>
      </c>
      <c r="GU19" s="115" t="s">
        <v>1811</v>
      </c>
      <c r="GV19" s="115" t="s">
        <v>3201</v>
      </c>
      <c r="GW19" s="115" t="s">
        <v>3219</v>
      </c>
      <c r="GX19" s="115" t="s">
        <v>3233</v>
      </c>
      <c r="GY19" s="115" t="s">
        <v>3245</v>
      </c>
      <c r="GZ19" s="187" t="s">
        <v>1410</v>
      </c>
      <c r="HA19" s="159" t="s">
        <v>1518</v>
      </c>
      <c r="HB19" s="159" t="s">
        <v>3287</v>
      </c>
      <c r="HC19" s="159" t="s">
        <v>1518</v>
      </c>
      <c r="HD19" s="187" t="s">
        <v>3306</v>
      </c>
      <c r="HE19" s="115" t="s">
        <v>3319</v>
      </c>
      <c r="HF19" s="115" t="s">
        <v>2154</v>
      </c>
      <c r="HG19" s="187" t="s">
        <v>1424</v>
      </c>
      <c r="HH19" s="115" t="s">
        <v>3357</v>
      </c>
      <c r="HI19" s="200" t="s">
        <v>2641</v>
      </c>
      <c r="HJ19" s="115">
        <v>2020</v>
      </c>
      <c r="HK19" s="115" t="s">
        <v>3395</v>
      </c>
      <c r="HL19" s="115">
        <v>2019</v>
      </c>
      <c r="HM19" s="115" t="s">
        <v>3426</v>
      </c>
      <c r="HN19" s="115" t="s">
        <v>3507</v>
      </c>
      <c r="HO19" s="115">
        <v>2015</v>
      </c>
      <c r="HP19" s="159">
        <v>2015</v>
      </c>
      <c r="HQ19" s="115">
        <v>2015</v>
      </c>
      <c r="HR19" s="159">
        <v>2020</v>
      </c>
      <c r="HS19" s="115" t="s">
        <v>1665</v>
      </c>
      <c r="HT19" s="115" t="s">
        <v>3581</v>
      </c>
      <c r="HU19" s="115">
        <v>2015</v>
      </c>
      <c r="HV19" s="115">
        <v>2015</v>
      </c>
      <c r="HW19" s="115" t="s">
        <v>1665</v>
      </c>
      <c r="HX19" s="115">
        <v>2015</v>
      </c>
      <c r="HY19" s="115" t="s">
        <v>1518</v>
      </c>
      <c r="HZ19" s="115">
        <v>2017</v>
      </c>
      <c r="IA19" s="115">
        <v>2015</v>
      </c>
      <c r="IB19" s="115" t="s">
        <v>3494</v>
      </c>
      <c r="IC19" s="115" t="s">
        <v>3670</v>
      </c>
      <c r="ID19" s="115" t="s">
        <v>3685</v>
      </c>
      <c r="IE19" s="159" t="s">
        <v>3699</v>
      </c>
      <c r="IF19" s="183">
        <v>2023</v>
      </c>
      <c r="IG19" s="185" t="s">
        <v>2731</v>
      </c>
      <c r="IH19" s="185" t="s">
        <v>119</v>
      </c>
      <c r="II19" s="185" t="s">
        <v>3746</v>
      </c>
      <c r="IJ19" s="185">
        <v>2023</v>
      </c>
      <c r="IK19" s="185" t="s">
        <v>3494</v>
      </c>
      <c r="IL19" s="183">
        <v>2023</v>
      </c>
      <c r="IM19" s="159">
        <v>2020</v>
      </c>
      <c r="IN19" s="159">
        <v>2023</v>
      </c>
      <c r="IO19" s="159" t="s">
        <v>3802</v>
      </c>
      <c r="IP19" s="159" t="s">
        <v>3816</v>
      </c>
      <c r="IQ19" s="115" t="s">
        <v>3828</v>
      </c>
      <c r="IR19" s="159">
        <v>2023</v>
      </c>
      <c r="IS19" s="115" t="s">
        <v>3846</v>
      </c>
      <c r="IT19" s="115">
        <v>2005</v>
      </c>
      <c r="IU19" s="115">
        <v>2014</v>
      </c>
      <c r="IV19" s="115" t="s">
        <v>3891</v>
      </c>
      <c r="IW19" s="115" t="s">
        <v>3995</v>
      </c>
      <c r="IX19" s="159"/>
      <c r="IY19" s="115">
        <v>2016</v>
      </c>
      <c r="IZ19" s="115">
        <v>2015</v>
      </c>
      <c r="JA19" s="115">
        <v>2017</v>
      </c>
      <c r="JB19" s="115">
        <v>2050</v>
      </c>
      <c r="JC19" s="115">
        <v>2050</v>
      </c>
      <c r="JD19" s="115">
        <v>2011</v>
      </c>
      <c r="JE19" s="115">
        <v>2011</v>
      </c>
      <c r="JF19" s="115" t="s">
        <v>4071</v>
      </c>
      <c r="JG19" s="115" t="s">
        <v>4087</v>
      </c>
      <c r="JH19" s="115" t="s">
        <v>4100</v>
      </c>
      <c r="JI19" s="115" t="s">
        <v>1565</v>
      </c>
      <c r="JJ19" s="245" t="s">
        <v>2656</v>
      </c>
      <c r="JK19" s="245" t="s">
        <v>2656</v>
      </c>
      <c r="JL19" s="245" t="s">
        <v>4155</v>
      </c>
      <c r="JM19" s="245" t="s">
        <v>2656</v>
      </c>
      <c r="JN19" s="115" t="s">
        <v>297</v>
      </c>
      <c r="JO19" s="159" t="s">
        <v>4186</v>
      </c>
      <c r="JP19" s="115" t="s">
        <v>4220</v>
      </c>
      <c r="JQ19" s="159" t="s">
        <v>297</v>
      </c>
      <c r="JR19" s="115" t="s">
        <v>297</v>
      </c>
      <c r="JS19" s="115">
        <v>2017</v>
      </c>
      <c r="JT19" s="115">
        <v>2017</v>
      </c>
      <c r="JU19" s="115">
        <v>2017</v>
      </c>
      <c r="JV19" s="115">
        <v>2017</v>
      </c>
      <c r="JW19" s="115">
        <v>2017</v>
      </c>
      <c r="JX19" s="115" t="s">
        <v>4288</v>
      </c>
      <c r="JY19" s="115" t="s">
        <v>4306</v>
      </c>
      <c r="JZ19" s="115" t="s">
        <v>4288</v>
      </c>
      <c r="KA19" s="115" t="s">
        <v>4300</v>
      </c>
      <c r="KB19" s="115" t="s">
        <v>4288</v>
      </c>
      <c r="KC19" s="115" t="s">
        <v>4288</v>
      </c>
      <c r="KD19" s="115">
        <v>2017</v>
      </c>
      <c r="KE19" s="115">
        <v>2017</v>
      </c>
      <c r="KF19" s="115">
        <v>2017</v>
      </c>
      <c r="KG19" s="159">
        <v>2020</v>
      </c>
      <c r="KH19" s="115" t="s">
        <v>3120</v>
      </c>
      <c r="KI19" s="115" t="s">
        <v>2154</v>
      </c>
      <c r="KJ19" s="159">
        <v>2018</v>
      </c>
      <c r="KK19" s="159">
        <v>2018</v>
      </c>
      <c r="KL19" s="159" t="s">
        <v>4426</v>
      </c>
      <c r="KM19" s="115" t="s">
        <v>4442</v>
      </c>
      <c r="KN19" s="187" t="s">
        <v>4470</v>
      </c>
      <c r="KO19" s="115" t="s">
        <v>4486</v>
      </c>
      <c r="KP19" s="115" t="s">
        <v>4500</v>
      </c>
      <c r="KQ19" s="115" t="s">
        <v>4486</v>
      </c>
      <c r="KR19" s="159" t="s">
        <v>4517</v>
      </c>
      <c r="KS19" s="159" t="s">
        <v>4530</v>
      </c>
      <c r="KT19" s="159" t="s">
        <v>4540</v>
      </c>
      <c r="KU19" s="159" t="s">
        <v>4540</v>
      </c>
      <c r="KV19" s="159" t="s">
        <v>4554</v>
      </c>
      <c r="KW19" s="115" t="s">
        <v>4564</v>
      </c>
      <c r="KX19" s="115" t="s">
        <v>4564</v>
      </c>
      <c r="KY19" s="243" t="s">
        <v>4615</v>
      </c>
      <c r="KZ19" s="243">
        <v>2025</v>
      </c>
      <c r="LA19" s="187" t="s">
        <v>4663</v>
      </c>
      <c r="LB19" s="115" t="s">
        <v>4689</v>
      </c>
      <c r="LC19" s="115" t="s">
        <v>2162</v>
      </c>
      <c r="LD19" s="115" t="s">
        <v>2148</v>
      </c>
      <c r="LE19" s="115" t="s">
        <v>2162</v>
      </c>
      <c r="LF19" s="115" t="s">
        <v>4742</v>
      </c>
      <c r="LG19" s="115" t="s">
        <v>4818</v>
      </c>
      <c r="LH19" s="115" t="s">
        <v>1811</v>
      </c>
      <c r="LI19" s="115" t="s">
        <v>1811</v>
      </c>
      <c r="LJ19" s="115" t="s">
        <v>1811</v>
      </c>
      <c r="LK19" s="115" t="s">
        <v>2963</v>
      </c>
      <c r="LL19" s="187">
        <v>2021</v>
      </c>
      <c r="LM19" s="120">
        <v>2021</v>
      </c>
      <c r="LN19" s="263">
        <v>2021</v>
      </c>
      <c r="LO19" s="115" t="s">
        <v>4834</v>
      </c>
      <c r="LP19" s="115">
        <v>2021</v>
      </c>
      <c r="LQ19" s="263" t="s">
        <v>4864</v>
      </c>
      <c r="LR19" s="115" t="s">
        <v>4818</v>
      </c>
      <c r="LS19" s="115">
        <v>2004</v>
      </c>
      <c r="LT19" s="115" t="s">
        <v>11</v>
      </c>
      <c r="LU19" s="115" t="s">
        <v>11</v>
      </c>
      <c r="LV19" s="286" t="s">
        <v>11</v>
      </c>
      <c r="LW19" s="115" t="s">
        <v>11</v>
      </c>
      <c r="LX19" s="115" t="s">
        <v>11</v>
      </c>
      <c r="LY19" s="115">
        <v>2018</v>
      </c>
      <c r="LZ19" s="115" t="s">
        <v>1811</v>
      </c>
      <c r="MA19" s="115" t="s">
        <v>1811</v>
      </c>
      <c r="MB19" s="115" t="s">
        <v>2154</v>
      </c>
      <c r="MC19" s="115" t="s">
        <v>4998</v>
      </c>
      <c r="MD19" s="115">
        <v>2021</v>
      </c>
    </row>
    <row r="20" spans="1:342" ht="14.4" x14ac:dyDescent="0.3">
      <c r="A20" s="92">
        <v>17</v>
      </c>
      <c r="B20" s="309"/>
      <c r="C20" s="56" t="s">
        <v>435</v>
      </c>
      <c r="D20" s="14"/>
      <c r="E20" s="2" t="s">
        <v>311</v>
      </c>
      <c r="F20" s="2" t="s">
        <v>37</v>
      </c>
      <c r="G20" s="2" t="s">
        <v>21</v>
      </c>
      <c r="H20" s="6" t="s">
        <v>11</v>
      </c>
      <c r="I20" s="2" t="s">
        <v>37</v>
      </c>
      <c r="J20" s="2" t="s">
        <v>37</v>
      </c>
      <c r="K20" s="2" t="s">
        <v>311</v>
      </c>
      <c r="L20" s="6" t="s">
        <v>11</v>
      </c>
      <c r="M20" s="2" t="s">
        <v>21</v>
      </c>
      <c r="N20" s="2" t="s">
        <v>21</v>
      </c>
      <c r="O20" s="2" t="s">
        <v>21</v>
      </c>
      <c r="P20" s="2" t="s">
        <v>21</v>
      </c>
      <c r="Q20" s="2" t="s">
        <v>21</v>
      </c>
      <c r="R20" s="2" t="s">
        <v>311</v>
      </c>
      <c r="S20" s="2" t="s">
        <v>311</v>
      </c>
      <c r="T20" s="2" t="s">
        <v>311</v>
      </c>
      <c r="U20" s="2" t="s">
        <v>311</v>
      </c>
      <c r="V20" s="2" t="s">
        <v>311</v>
      </c>
      <c r="W20" s="2" t="s">
        <v>311</v>
      </c>
      <c r="X20" s="2" t="s">
        <v>311</v>
      </c>
      <c r="Y20" s="2" t="s">
        <v>311</v>
      </c>
      <c r="Z20" s="2" t="s">
        <v>311</v>
      </c>
      <c r="AA20" s="2" t="s">
        <v>311</v>
      </c>
      <c r="AB20" s="2" t="s">
        <v>311</v>
      </c>
      <c r="AC20" s="2" t="s">
        <v>311</v>
      </c>
      <c r="AD20" s="2" t="s">
        <v>311</v>
      </c>
      <c r="AE20" s="2" t="s">
        <v>37</v>
      </c>
      <c r="AF20" s="2" t="s">
        <v>37</v>
      </c>
      <c r="AG20" s="2" t="s">
        <v>37</v>
      </c>
      <c r="AH20" s="2" t="s">
        <v>37</v>
      </c>
      <c r="AI20" s="2" t="s">
        <v>510</v>
      </c>
      <c r="AJ20" s="2" t="s">
        <v>533</v>
      </c>
      <c r="AK20" s="2" t="s">
        <v>534</v>
      </c>
      <c r="AL20" s="2" t="s">
        <v>534</v>
      </c>
      <c r="AM20" s="2" t="s">
        <v>535</v>
      </c>
      <c r="AN20" s="2" t="s">
        <v>569</v>
      </c>
      <c r="AO20" s="2" t="s">
        <v>581</v>
      </c>
      <c r="AP20" s="2" t="s">
        <v>581</v>
      </c>
      <c r="AQ20" s="2" t="s">
        <v>602</v>
      </c>
      <c r="AR20" s="2" t="s">
        <v>311</v>
      </c>
      <c r="AS20" s="2" t="s">
        <v>311</v>
      </c>
      <c r="AT20" s="2" t="s">
        <v>311</v>
      </c>
      <c r="AU20" s="2" t="s">
        <v>510</v>
      </c>
      <c r="AV20" s="2" t="s">
        <v>534</v>
      </c>
      <c r="AW20" s="75" t="s">
        <v>534</v>
      </c>
      <c r="AX20" s="25" t="s">
        <v>343</v>
      </c>
      <c r="AY20" s="2" t="s">
        <v>37</v>
      </c>
      <c r="AZ20" s="2" t="s">
        <v>37</v>
      </c>
      <c r="BA20" s="6" t="s">
        <v>743</v>
      </c>
      <c r="BB20" s="6" t="s">
        <v>37</v>
      </c>
      <c r="BC20" s="2" t="s">
        <v>311</v>
      </c>
      <c r="BD20" s="2" t="s">
        <v>311</v>
      </c>
      <c r="BE20" s="2" t="s">
        <v>311</v>
      </c>
      <c r="BF20" s="2" t="s">
        <v>311</v>
      </c>
      <c r="BG20" s="2" t="s">
        <v>311</v>
      </c>
      <c r="BH20" s="2" t="s">
        <v>311</v>
      </c>
      <c r="BI20" s="41" t="s">
        <v>820</v>
      </c>
      <c r="BJ20" s="91" t="s">
        <v>836</v>
      </c>
      <c r="BK20" s="2" t="s">
        <v>37</v>
      </c>
      <c r="BL20" s="2" t="s">
        <v>311</v>
      </c>
      <c r="BM20" s="2" t="s">
        <v>311</v>
      </c>
      <c r="BN20" s="2" t="s">
        <v>311</v>
      </c>
      <c r="BO20" s="2" t="s">
        <v>311</v>
      </c>
      <c r="BP20" s="2" t="s">
        <v>311</v>
      </c>
      <c r="BQ20" s="2" t="s">
        <v>311</v>
      </c>
      <c r="BR20" s="117" t="s">
        <v>11</v>
      </c>
      <c r="BS20" s="105" t="s">
        <v>1411</v>
      </c>
      <c r="BT20" s="105" t="s">
        <v>343</v>
      </c>
      <c r="BU20" s="115" t="s">
        <v>343</v>
      </c>
      <c r="BV20" s="115" t="s">
        <v>343</v>
      </c>
      <c r="BW20" s="115" t="s">
        <v>343</v>
      </c>
      <c r="BX20" s="115" t="s">
        <v>343</v>
      </c>
      <c r="BY20" s="115" t="s">
        <v>343</v>
      </c>
      <c r="BZ20" s="115" t="s">
        <v>343</v>
      </c>
      <c r="CA20" s="41" t="s">
        <v>311</v>
      </c>
      <c r="CB20" s="41" t="s">
        <v>1583</v>
      </c>
      <c r="CC20" s="41">
        <v>2017</v>
      </c>
      <c r="CD20" s="41" t="s">
        <v>1278</v>
      </c>
      <c r="CE20" s="41" t="s">
        <v>1636</v>
      </c>
      <c r="CF20" s="41" t="s">
        <v>311</v>
      </c>
      <c r="CG20" s="41" t="s">
        <v>1583</v>
      </c>
      <c r="CH20" s="41" t="s">
        <v>37</v>
      </c>
      <c r="CI20" s="41" t="s">
        <v>343</v>
      </c>
      <c r="CJ20" s="41" t="s">
        <v>1557</v>
      </c>
      <c r="CK20" s="41" t="s">
        <v>1557</v>
      </c>
      <c r="CL20" s="41" t="s">
        <v>1557</v>
      </c>
      <c r="CM20" s="41" t="s">
        <v>343</v>
      </c>
      <c r="CN20" s="41" t="s">
        <v>1278</v>
      </c>
      <c r="CO20" s="41" t="s">
        <v>1278</v>
      </c>
      <c r="CP20" s="41" t="s">
        <v>1278</v>
      </c>
      <c r="CQ20" s="41" t="s">
        <v>1771</v>
      </c>
      <c r="CR20" s="41" t="s">
        <v>1278</v>
      </c>
      <c r="CS20" s="41" t="s">
        <v>311</v>
      </c>
      <c r="CT20" s="41" t="s">
        <v>1805</v>
      </c>
      <c r="CU20" s="41" t="s">
        <v>1811</v>
      </c>
      <c r="CV20" s="41" t="s">
        <v>1278</v>
      </c>
      <c r="CW20" s="41" t="s">
        <v>311</v>
      </c>
      <c r="CX20" s="41" t="s">
        <v>21</v>
      </c>
      <c r="CY20" s="41" t="s">
        <v>21</v>
      </c>
      <c r="CZ20" s="41" t="s">
        <v>1855</v>
      </c>
      <c r="DA20" s="41" t="s">
        <v>1855</v>
      </c>
      <c r="DB20" s="41" t="s">
        <v>1871</v>
      </c>
      <c r="DC20" s="41" t="s">
        <v>1881</v>
      </c>
      <c r="DD20" s="41" t="s">
        <v>1892</v>
      </c>
      <c r="DE20" s="41" t="s">
        <v>1899</v>
      </c>
      <c r="DF20" s="41" t="s">
        <v>21</v>
      </c>
      <c r="DG20" s="41" t="s">
        <v>21</v>
      </c>
      <c r="DH20" s="41" t="s">
        <v>21</v>
      </c>
      <c r="DI20" s="41" t="s">
        <v>311</v>
      </c>
      <c r="DJ20" s="41" t="s">
        <v>11</v>
      </c>
      <c r="DK20" s="41" t="s">
        <v>11</v>
      </c>
      <c r="DL20" s="41" t="s">
        <v>1974</v>
      </c>
      <c r="DM20" s="41" t="s">
        <v>2050</v>
      </c>
      <c r="DN20" s="41" t="s">
        <v>2050</v>
      </c>
      <c r="DO20" s="41" t="s">
        <v>2074</v>
      </c>
      <c r="DP20" s="105" t="s">
        <v>2012</v>
      </c>
      <c r="DQ20" s="105" t="s">
        <v>2012</v>
      </c>
      <c r="DR20" s="105" t="s">
        <v>2012</v>
      </c>
      <c r="DS20" s="105" t="s">
        <v>2012</v>
      </c>
      <c r="DT20" s="105" t="s">
        <v>2012</v>
      </c>
      <c r="DU20" s="41" t="s">
        <v>2095</v>
      </c>
      <c r="DV20" s="171" t="s">
        <v>2012</v>
      </c>
      <c r="DW20" s="115" t="s">
        <v>1871</v>
      </c>
      <c r="DX20" s="115" t="s">
        <v>2190</v>
      </c>
      <c r="DY20" s="115" t="s">
        <v>2207</v>
      </c>
      <c r="DZ20" s="115" t="s">
        <v>2222</v>
      </c>
      <c r="EA20" s="115" t="s">
        <v>2235</v>
      </c>
      <c r="EB20" s="115" t="s">
        <v>2207</v>
      </c>
      <c r="EC20" s="115" t="s">
        <v>2261</v>
      </c>
      <c r="ED20" s="115" t="s">
        <v>2050</v>
      </c>
      <c r="EE20" s="115" t="s">
        <v>2050</v>
      </c>
      <c r="EF20" s="115" t="s">
        <v>2050</v>
      </c>
      <c r="EG20" s="115" t="s">
        <v>2050</v>
      </c>
      <c r="EH20" s="115" t="s">
        <v>2306</v>
      </c>
      <c r="EI20" s="187" t="s">
        <v>2320</v>
      </c>
      <c r="EJ20" s="115" t="s">
        <v>2334</v>
      </c>
      <c r="EK20" s="187" t="s">
        <v>2346</v>
      </c>
      <c r="EL20" s="115" t="s">
        <v>2362</v>
      </c>
      <c r="EM20" s="187" t="s">
        <v>2346</v>
      </c>
      <c r="EN20" s="115" t="s">
        <v>2390</v>
      </c>
      <c r="EO20" s="115" t="s">
        <v>2050</v>
      </c>
      <c r="EP20" s="115" t="s">
        <v>2050</v>
      </c>
      <c r="EQ20" s="115" t="s">
        <v>2050</v>
      </c>
      <c r="ER20" s="115" t="s">
        <v>1855</v>
      </c>
      <c r="ES20" s="115" t="s">
        <v>2050</v>
      </c>
      <c r="ET20" s="115" t="s">
        <v>2050</v>
      </c>
      <c r="EU20" s="115" t="s">
        <v>2493</v>
      </c>
      <c r="EV20" s="115" t="s">
        <v>2510</v>
      </c>
      <c r="EW20" s="115" t="s">
        <v>2526</v>
      </c>
      <c r="EX20" s="115" t="s">
        <v>21</v>
      </c>
      <c r="EY20" s="115" t="s">
        <v>2334</v>
      </c>
      <c r="EZ20" s="115" t="s">
        <v>2334</v>
      </c>
      <c r="FA20" s="41" t="s">
        <v>2610</v>
      </c>
      <c r="FB20" s="41" t="s">
        <v>2610</v>
      </c>
      <c r="FC20" s="41" t="s">
        <v>2610</v>
      </c>
      <c r="FD20" s="41" t="s">
        <v>2610</v>
      </c>
      <c r="FE20" s="41" t="s">
        <v>2642</v>
      </c>
      <c r="FF20" s="41" t="s">
        <v>1145</v>
      </c>
      <c r="FG20" s="41" t="s">
        <v>1145</v>
      </c>
      <c r="FH20" s="41" t="s">
        <v>2676</v>
      </c>
      <c r="FI20" s="41" t="s">
        <v>2334</v>
      </c>
      <c r="FJ20" s="41" t="s">
        <v>11</v>
      </c>
      <c r="FK20" s="41" t="s">
        <v>2709</v>
      </c>
      <c r="FL20" s="41" t="s">
        <v>2709</v>
      </c>
      <c r="FM20" s="200" t="s">
        <v>2732</v>
      </c>
      <c r="FN20" s="187" t="s">
        <v>2154</v>
      </c>
      <c r="FO20" s="187" t="s">
        <v>2346</v>
      </c>
      <c r="FP20" s="187" t="s">
        <v>2775</v>
      </c>
      <c r="FQ20" s="187" t="s">
        <v>2050</v>
      </c>
      <c r="FR20" s="115" t="s">
        <v>2800</v>
      </c>
      <c r="FS20" s="187" t="s">
        <v>2812</v>
      </c>
      <c r="FT20" s="187" t="s">
        <v>2822</v>
      </c>
      <c r="FU20" s="187" t="s">
        <v>2832</v>
      </c>
      <c r="FV20" s="115" t="s">
        <v>2510</v>
      </c>
      <c r="FW20" s="115" t="s">
        <v>2510</v>
      </c>
      <c r="FX20" s="115" t="s">
        <v>2510</v>
      </c>
      <c r="FY20" s="115" t="s">
        <v>2709</v>
      </c>
      <c r="FZ20" s="115" t="s">
        <v>2306</v>
      </c>
      <c r="GA20" s="115" t="s">
        <v>1145</v>
      </c>
      <c r="GB20" s="115" t="s">
        <v>1145</v>
      </c>
      <c r="GC20" s="115" t="s">
        <v>1145</v>
      </c>
      <c r="GD20" s="187" t="s">
        <v>2935</v>
      </c>
      <c r="GE20" s="115" t="s">
        <v>2946</v>
      </c>
      <c r="GF20" s="159" t="s">
        <v>2964</v>
      </c>
      <c r="GG20" s="208" t="s">
        <v>2346</v>
      </c>
      <c r="GH20" s="159" t="s">
        <v>2995</v>
      </c>
      <c r="GI20" s="159" t="s">
        <v>3009</v>
      </c>
      <c r="GJ20" s="159" t="s">
        <v>3020</v>
      </c>
      <c r="GK20" s="159" t="s">
        <v>3033</v>
      </c>
      <c r="GL20" s="115" t="s">
        <v>2346</v>
      </c>
      <c r="GM20" s="115" t="s">
        <v>2709</v>
      </c>
      <c r="GN20" s="115" t="s">
        <v>1145</v>
      </c>
      <c r="GO20" s="115" t="s">
        <v>1145</v>
      </c>
      <c r="GP20" s="115" t="s">
        <v>3101</v>
      </c>
      <c r="GQ20" s="208" t="s">
        <v>3121</v>
      </c>
      <c r="GR20" s="115" t="s">
        <v>3101</v>
      </c>
      <c r="GS20" s="115" t="s">
        <v>2050</v>
      </c>
      <c r="GT20" s="115" t="s">
        <v>311</v>
      </c>
      <c r="GU20" s="115" t="s">
        <v>3183</v>
      </c>
      <c r="GV20" s="115" t="s">
        <v>3202</v>
      </c>
      <c r="GW20" s="115" t="s">
        <v>1145</v>
      </c>
      <c r="GX20" s="115" t="s">
        <v>1145</v>
      </c>
      <c r="GY20" s="115" t="s">
        <v>3246</v>
      </c>
      <c r="GZ20" s="187" t="s">
        <v>3258</v>
      </c>
      <c r="HA20" s="159" t="s">
        <v>1278</v>
      </c>
      <c r="HB20" s="159" t="s">
        <v>3288</v>
      </c>
      <c r="HC20" s="159" t="s">
        <v>1278</v>
      </c>
      <c r="HD20" s="187" t="s">
        <v>3307</v>
      </c>
      <c r="HE20" s="115" t="s">
        <v>3320</v>
      </c>
      <c r="HF20" s="115" t="s">
        <v>3335</v>
      </c>
      <c r="HG20" s="187" t="s">
        <v>3348</v>
      </c>
      <c r="HH20" s="115" t="s">
        <v>3335</v>
      </c>
      <c r="HI20" s="200" t="s">
        <v>1583</v>
      </c>
      <c r="HJ20" s="115" t="s">
        <v>1145</v>
      </c>
      <c r="HK20" s="115" t="s">
        <v>3396</v>
      </c>
      <c r="HL20" s="115" t="s">
        <v>2334</v>
      </c>
      <c r="HM20" s="115" t="s">
        <v>3427</v>
      </c>
      <c r="HN20" s="115" t="s">
        <v>3508</v>
      </c>
      <c r="HO20" s="115" t="s">
        <v>3454</v>
      </c>
      <c r="HP20" s="159" t="s">
        <v>3454</v>
      </c>
      <c r="HQ20" s="115" t="s">
        <v>3454</v>
      </c>
      <c r="HR20" s="159" t="s">
        <v>2676</v>
      </c>
      <c r="HS20" s="115" t="s">
        <v>3567</v>
      </c>
      <c r="HT20" s="115" t="s">
        <v>3582</v>
      </c>
      <c r="HU20" s="115" t="s">
        <v>3454</v>
      </c>
      <c r="HV20" s="115" t="s">
        <v>3454</v>
      </c>
      <c r="HW20" s="115" t="s">
        <v>3567</v>
      </c>
      <c r="HX20" s="115" t="s">
        <v>3454</v>
      </c>
      <c r="HY20" s="115" t="s">
        <v>1278</v>
      </c>
      <c r="HZ20" s="115" t="s">
        <v>1871</v>
      </c>
      <c r="IA20" s="115" t="s">
        <v>3454</v>
      </c>
      <c r="IB20" s="115" t="s">
        <v>3659</v>
      </c>
      <c r="IC20" s="115" t="s">
        <v>3671</v>
      </c>
      <c r="ID20" s="115" t="s">
        <v>3686</v>
      </c>
      <c r="IE20" s="159" t="s">
        <v>311</v>
      </c>
      <c r="IF20" s="183" t="s">
        <v>2676</v>
      </c>
      <c r="IG20" s="185" t="s">
        <v>1278</v>
      </c>
      <c r="IH20" s="185" t="s">
        <v>3733</v>
      </c>
      <c r="II20" s="185" t="s">
        <v>3747</v>
      </c>
      <c r="IJ20" s="185" t="s">
        <v>2676</v>
      </c>
      <c r="IK20" s="185" t="s">
        <v>3495</v>
      </c>
      <c r="IL20" s="183" t="s">
        <v>2676</v>
      </c>
      <c r="IM20" s="159" t="s">
        <v>2676</v>
      </c>
      <c r="IN20" s="159" t="s">
        <v>2676</v>
      </c>
      <c r="IO20" s="159" t="s">
        <v>1278</v>
      </c>
      <c r="IP20" s="159" t="s">
        <v>1278</v>
      </c>
      <c r="IQ20" s="115" t="s">
        <v>3829</v>
      </c>
      <c r="IR20" s="159" t="s">
        <v>2676</v>
      </c>
      <c r="IS20" s="115" t="s">
        <v>3847</v>
      </c>
      <c r="IT20" s="115" t="s">
        <v>1871</v>
      </c>
      <c r="IU20" s="115" t="s">
        <v>1871</v>
      </c>
      <c r="IV20" s="115" t="s">
        <v>1145</v>
      </c>
      <c r="IW20" s="115" t="s">
        <v>1145</v>
      </c>
      <c r="IX20" s="159"/>
      <c r="IY20" s="115" t="s">
        <v>2676</v>
      </c>
      <c r="IZ20" s="115" t="s">
        <v>2676</v>
      </c>
      <c r="JA20" s="115" t="s">
        <v>2334</v>
      </c>
      <c r="JB20" s="115" t="s">
        <v>4027</v>
      </c>
      <c r="JC20" s="115" t="s">
        <v>4040</v>
      </c>
      <c r="JD20" s="115" t="s">
        <v>2676</v>
      </c>
      <c r="JE20" s="115" t="s">
        <v>2676</v>
      </c>
      <c r="JF20" s="115" t="s">
        <v>4072</v>
      </c>
      <c r="JG20" s="115" t="s">
        <v>2676</v>
      </c>
      <c r="JH20" s="115" t="s">
        <v>4101</v>
      </c>
      <c r="JI20" s="115" t="s">
        <v>2334</v>
      </c>
      <c r="JJ20" s="244" t="s">
        <v>1145</v>
      </c>
      <c r="JK20" s="244" t="s">
        <v>1145</v>
      </c>
      <c r="JL20" s="244" t="s">
        <v>1145</v>
      </c>
      <c r="JM20" s="244" t="s">
        <v>1145</v>
      </c>
      <c r="JN20" s="115" t="s">
        <v>2050</v>
      </c>
      <c r="JO20" s="159" t="s">
        <v>4187</v>
      </c>
      <c r="JP20" s="115" t="s">
        <v>2334</v>
      </c>
      <c r="JQ20" s="159" t="s">
        <v>3033</v>
      </c>
      <c r="JR20" s="115" t="s">
        <v>3033</v>
      </c>
      <c r="JS20" s="115" t="s">
        <v>2676</v>
      </c>
      <c r="JT20" s="115" t="s">
        <v>2676</v>
      </c>
      <c r="JU20" s="115" t="s">
        <v>2676</v>
      </c>
      <c r="JV20" s="115" t="s">
        <v>2676</v>
      </c>
      <c r="JW20" s="115" t="s">
        <v>2676</v>
      </c>
      <c r="JX20" s="115" t="s">
        <v>4286</v>
      </c>
      <c r="JY20" s="115" t="s">
        <v>4286</v>
      </c>
      <c r="JZ20" s="115" t="s">
        <v>4286</v>
      </c>
      <c r="KA20" s="115" t="s">
        <v>4286</v>
      </c>
      <c r="KB20" s="115" t="s">
        <v>4286</v>
      </c>
      <c r="KC20" s="115" t="s">
        <v>4286</v>
      </c>
      <c r="KD20" s="115" t="s">
        <v>2676</v>
      </c>
      <c r="KE20" s="115" t="s">
        <v>2676</v>
      </c>
      <c r="KF20" s="115" t="s">
        <v>2676</v>
      </c>
      <c r="KG20" s="159" t="s">
        <v>4350</v>
      </c>
      <c r="KH20" s="115" t="s">
        <v>4368</v>
      </c>
      <c r="KI20" s="115" t="s">
        <v>4384</v>
      </c>
      <c r="KJ20" s="159" t="s">
        <v>311</v>
      </c>
      <c r="KK20" s="159" t="s">
        <v>311</v>
      </c>
      <c r="KL20" s="159" t="s">
        <v>4427</v>
      </c>
      <c r="KM20" s="115" t="s">
        <v>4443</v>
      </c>
      <c r="KN20" s="187" t="s">
        <v>11</v>
      </c>
      <c r="KO20" s="115" t="s">
        <v>4487</v>
      </c>
      <c r="KP20" s="115" t="s">
        <v>4487</v>
      </c>
      <c r="KQ20" s="115" t="s">
        <v>4487</v>
      </c>
      <c r="KR20" s="159" t="s">
        <v>2334</v>
      </c>
      <c r="KS20" s="159" t="s">
        <v>2334</v>
      </c>
      <c r="KT20" s="159" t="s">
        <v>2334</v>
      </c>
      <c r="KU20" s="159" t="s">
        <v>2334</v>
      </c>
      <c r="KV20" s="159" t="s">
        <v>2334</v>
      </c>
      <c r="KW20" s="115" t="s">
        <v>2334</v>
      </c>
      <c r="KX20" s="115" t="s">
        <v>2334</v>
      </c>
      <c r="KY20" s="257" t="s">
        <v>2334</v>
      </c>
      <c r="KZ20" s="257" t="s">
        <v>4629</v>
      </c>
      <c r="LA20" s="187" t="s">
        <v>4664</v>
      </c>
      <c r="LB20" s="115" t="s">
        <v>4690</v>
      </c>
      <c r="LC20" s="115" t="s">
        <v>4702</v>
      </c>
      <c r="LD20" s="115" t="s">
        <v>4718</v>
      </c>
      <c r="LE20" s="115" t="s">
        <v>4702</v>
      </c>
      <c r="LF20" s="115" t="s">
        <v>4718</v>
      </c>
      <c r="LG20" s="115" t="s">
        <v>4819</v>
      </c>
      <c r="LH20" s="115" t="s">
        <v>311</v>
      </c>
      <c r="LI20" s="115" t="s">
        <v>311</v>
      </c>
      <c r="LJ20" s="115" t="s">
        <v>311</v>
      </c>
      <c r="LK20" s="115" t="s">
        <v>4785</v>
      </c>
      <c r="LL20" s="187" t="s">
        <v>4796</v>
      </c>
      <c r="LM20" s="120" t="s">
        <v>311</v>
      </c>
      <c r="LN20" s="266" t="s">
        <v>4796</v>
      </c>
      <c r="LO20" s="115" t="s">
        <v>4835</v>
      </c>
      <c r="LP20" s="115" t="s">
        <v>2676</v>
      </c>
      <c r="LQ20" s="266" t="s">
        <v>4678</v>
      </c>
      <c r="LR20" s="115" t="s">
        <v>4819</v>
      </c>
      <c r="LS20" s="115" t="s">
        <v>311</v>
      </c>
      <c r="LT20" s="115" t="s">
        <v>11</v>
      </c>
      <c r="LU20" s="115" t="s">
        <v>11</v>
      </c>
      <c r="LV20" s="286" t="s">
        <v>11</v>
      </c>
      <c r="LW20" s="115" t="s">
        <v>11</v>
      </c>
      <c r="LX20" s="115" t="s">
        <v>11</v>
      </c>
      <c r="LY20" s="115" t="s">
        <v>2676</v>
      </c>
      <c r="LZ20" s="115" t="s">
        <v>311</v>
      </c>
      <c r="MA20" s="115" t="s">
        <v>311</v>
      </c>
      <c r="MB20" s="115" t="s">
        <v>4982</v>
      </c>
      <c r="MC20" s="115" t="s">
        <v>2334</v>
      </c>
      <c r="MD20" s="115" t="s">
        <v>2676</v>
      </c>
    </row>
    <row r="21" spans="1:342" ht="14.4" x14ac:dyDescent="0.3">
      <c r="A21" s="92">
        <v>18</v>
      </c>
      <c r="B21" s="310" t="s">
        <v>0</v>
      </c>
      <c r="C21" s="56" t="s">
        <v>436</v>
      </c>
      <c r="D21" s="29"/>
      <c r="E21" s="5" t="s">
        <v>22</v>
      </c>
      <c r="F21" s="1" t="s">
        <v>261</v>
      </c>
      <c r="G21" s="5" t="s">
        <v>51</v>
      </c>
      <c r="H21" s="5" t="s">
        <v>63</v>
      </c>
      <c r="I21" s="1" t="s">
        <v>103</v>
      </c>
      <c r="J21" s="2" t="s">
        <v>844</v>
      </c>
      <c r="K21" s="2" t="s">
        <v>716</v>
      </c>
      <c r="L21" s="5" t="s">
        <v>75</v>
      </c>
      <c r="M21" s="5" t="s">
        <v>87</v>
      </c>
      <c r="N21" s="5" t="s">
        <v>101</v>
      </c>
      <c r="O21" s="5" t="s">
        <v>120</v>
      </c>
      <c r="P21" s="5" t="s">
        <v>131</v>
      </c>
      <c r="Q21" s="5" t="s">
        <v>147</v>
      </c>
      <c r="R21" s="5" t="s">
        <v>159</v>
      </c>
      <c r="S21" s="5" t="s">
        <v>167</v>
      </c>
      <c r="T21" s="5" t="s">
        <v>175</v>
      </c>
      <c r="U21" s="1" t="s">
        <v>276</v>
      </c>
      <c r="V21" s="1" t="s">
        <v>276</v>
      </c>
      <c r="W21" s="1" t="s">
        <v>276</v>
      </c>
      <c r="X21" s="1" t="s">
        <v>295</v>
      </c>
      <c r="Y21" s="1" t="s">
        <v>330</v>
      </c>
      <c r="Z21" s="1" t="s">
        <v>305</v>
      </c>
      <c r="AA21" s="1" t="s">
        <v>331</v>
      </c>
      <c r="AB21" s="2" t="s">
        <v>350</v>
      </c>
      <c r="AC21" s="2" t="s">
        <v>362</v>
      </c>
      <c r="AD21" s="2" t="s">
        <v>373</v>
      </c>
      <c r="AE21" s="2" t="s">
        <v>374</v>
      </c>
      <c r="AF21" s="2" t="s">
        <v>392</v>
      </c>
      <c r="AG21" s="2" t="s">
        <v>402</v>
      </c>
      <c r="AH21" s="2" t="s">
        <v>416</v>
      </c>
      <c r="AI21" s="2" t="s">
        <v>511</v>
      </c>
      <c r="AJ21" s="2" t="s">
        <v>536</v>
      </c>
      <c r="AK21" s="2" t="s">
        <v>537</v>
      </c>
      <c r="AL21" s="2" t="s">
        <v>538</v>
      </c>
      <c r="AM21" s="2" t="s">
        <v>555</v>
      </c>
      <c r="AN21" s="2" t="s">
        <v>577</v>
      </c>
      <c r="AO21" s="2" t="s">
        <v>582</v>
      </c>
      <c r="AP21" s="2" t="s">
        <v>589</v>
      </c>
      <c r="AQ21" s="2" t="s">
        <v>603</v>
      </c>
      <c r="AT21" s="2" t="s">
        <v>632</v>
      </c>
      <c r="AU21" s="2" t="s">
        <v>654</v>
      </c>
      <c r="AV21" s="2" t="s">
        <v>655</v>
      </c>
      <c r="AW21" s="75" t="s">
        <v>656</v>
      </c>
      <c r="AX21" s="25" t="s">
        <v>685</v>
      </c>
      <c r="AY21" s="1" t="s">
        <v>735</v>
      </c>
      <c r="AZ21" s="1" t="s">
        <v>736</v>
      </c>
      <c r="BA21" s="2" t="s">
        <v>744</v>
      </c>
      <c r="BB21" s="2" t="s">
        <v>758</v>
      </c>
      <c r="BC21" s="2" t="s">
        <v>783</v>
      </c>
      <c r="BD21" s="2" t="s">
        <v>784</v>
      </c>
      <c r="BE21" s="2" t="s">
        <v>785</v>
      </c>
      <c r="BF21" s="2" t="s">
        <v>786</v>
      </c>
      <c r="BG21" s="2" t="s">
        <v>787</v>
      </c>
      <c r="BH21" s="2" t="s">
        <v>788</v>
      </c>
      <c r="BI21" s="12" t="s">
        <v>815</v>
      </c>
      <c r="BJ21" s="91" t="s">
        <v>831</v>
      </c>
      <c r="BK21" s="1" t="s">
        <v>220</v>
      </c>
      <c r="BL21" s="2" t="s">
        <v>1097</v>
      </c>
      <c r="BM21" s="12" t="s">
        <v>1031</v>
      </c>
      <c r="BN21" s="12" t="s">
        <v>1052</v>
      </c>
      <c r="BO21" s="12" t="s">
        <v>1064</v>
      </c>
      <c r="BP21" s="12" t="s">
        <v>1074</v>
      </c>
      <c r="BQ21" s="12" t="s">
        <v>1082</v>
      </c>
      <c r="BR21" s="117" t="s">
        <v>1395</v>
      </c>
      <c r="BS21" s="105" t="s">
        <v>1412</v>
      </c>
      <c r="BT21" s="105" t="s">
        <v>1425</v>
      </c>
      <c r="BU21" s="115" t="s">
        <v>1438</v>
      </c>
      <c r="BV21" s="115" t="s">
        <v>1452</v>
      </c>
      <c r="BW21" s="115" t="s">
        <v>1464</v>
      </c>
      <c r="BX21" s="115" t="s">
        <v>1478</v>
      </c>
      <c r="BY21" s="115" t="s">
        <v>1489</v>
      </c>
      <c r="BZ21" s="115" t="s">
        <v>1496</v>
      </c>
      <c r="CA21" s="41" t="s">
        <v>1566</v>
      </c>
      <c r="CB21" s="41" t="s">
        <v>1584</v>
      </c>
      <c r="CC21" s="41" t="s">
        <v>1602</v>
      </c>
      <c r="CD21" s="41" t="s">
        <v>1619</v>
      </c>
      <c r="CE21" s="41" t="s">
        <v>1637</v>
      </c>
      <c r="CF21" s="41" t="s">
        <v>331</v>
      </c>
      <c r="CG21" s="41" t="s">
        <v>1655</v>
      </c>
      <c r="CH21" s="41" t="s">
        <v>1666</v>
      </c>
      <c r="CI21" s="41" t="s">
        <v>1684</v>
      </c>
      <c r="CJ21" s="41" t="s">
        <v>1694</v>
      </c>
      <c r="CK21" s="41" t="s">
        <v>1553</v>
      </c>
      <c r="CL21" s="41" t="s">
        <v>1708</v>
      </c>
      <c r="CM21" s="41" t="s">
        <v>1719</v>
      </c>
      <c r="CN21" s="41" t="s">
        <v>1730</v>
      </c>
      <c r="CO21" s="41" t="s">
        <v>1741</v>
      </c>
      <c r="CP21" s="41" t="s">
        <v>1755</v>
      </c>
      <c r="CQ21" s="41" t="s">
        <v>1772</v>
      </c>
      <c r="CR21" s="41" t="s">
        <v>1780</v>
      </c>
      <c r="CS21" s="41" t="s">
        <v>1793</v>
      </c>
      <c r="CT21" s="41" t="s">
        <v>1806</v>
      </c>
      <c r="CU21" s="41" t="s">
        <v>1812</v>
      </c>
      <c r="CV21" s="41" t="s">
        <v>1818</v>
      </c>
      <c r="CW21" s="41" t="s">
        <v>1827</v>
      </c>
      <c r="CX21" s="41" t="s">
        <v>1838</v>
      </c>
      <c r="CY21" s="41" t="s">
        <v>1847</v>
      </c>
      <c r="CZ21" s="41" t="s">
        <v>1856</v>
      </c>
      <c r="DA21" s="41" t="s">
        <v>1863</v>
      </c>
      <c r="DB21" s="41" t="s">
        <v>1872</v>
      </c>
      <c r="DC21" s="41" t="s">
        <v>1882</v>
      </c>
      <c r="DD21" s="41" t="s">
        <v>1893</v>
      </c>
      <c r="DE21" s="41" t="s">
        <v>1900</v>
      </c>
      <c r="DF21" s="41" t="s">
        <v>1906</v>
      </c>
      <c r="DG21" s="41" t="s">
        <v>1914</v>
      </c>
      <c r="DH21" s="41" t="s">
        <v>1924</v>
      </c>
      <c r="DI21" s="41" t="s">
        <v>1932</v>
      </c>
      <c r="DJ21" s="41" t="s">
        <v>1941</v>
      </c>
      <c r="DK21" s="41" t="s">
        <v>1957</v>
      </c>
      <c r="DL21" s="105" t="s">
        <v>1975</v>
      </c>
      <c r="DM21" s="41" t="s">
        <v>2051</v>
      </c>
      <c r="DN21" s="41" t="s">
        <v>2064</v>
      </c>
      <c r="DO21" s="41" t="s">
        <v>2075</v>
      </c>
      <c r="DP21" s="105" t="s">
        <v>2021</v>
      </c>
      <c r="DQ21" s="105" t="s">
        <v>2022</v>
      </c>
      <c r="DR21" s="105" t="s">
        <v>2035</v>
      </c>
      <c r="DS21" s="105" t="s">
        <v>2037</v>
      </c>
      <c r="DT21" s="105" t="s">
        <v>2042</v>
      </c>
      <c r="DU21" s="41" t="s">
        <v>2096</v>
      </c>
      <c r="DV21" s="171" t="s">
        <v>2117</v>
      </c>
      <c r="DW21" s="115" t="s">
        <v>2173</v>
      </c>
      <c r="DX21" s="115" t="s">
        <v>2191</v>
      </c>
      <c r="DY21" s="115" t="s">
        <v>2208</v>
      </c>
      <c r="DZ21" s="115" t="s">
        <v>2223</v>
      </c>
      <c r="EA21" s="115" t="s">
        <v>2236</v>
      </c>
      <c r="EB21" s="115" t="s">
        <v>2248</v>
      </c>
      <c r="EC21" s="115" t="s">
        <v>2262</v>
      </c>
      <c r="ED21" s="115" t="s">
        <v>2275</v>
      </c>
      <c r="EE21" s="115" t="s">
        <v>2275</v>
      </c>
      <c r="EF21" s="115" t="s">
        <v>2293</v>
      </c>
      <c r="EG21" s="115" t="s">
        <v>2298</v>
      </c>
      <c r="EH21" s="115" t="s">
        <v>2307</v>
      </c>
      <c r="EI21" s="187" t="s">
        <v>2321</v>
      </c>
      <c r="EJ21" s="115" t="s">
        <v>2335</v>
      </c>
      <c r="EK21" s="187" t="s">
        <v>2347</v>
      </c>
      <c r="EL21" s="115" t="s">
        <v>2363</v>
      </c>
      <c r="EM21" s="187" t="s">
        <v>2377</v>
      </c>
      <c r="EN21" s="115" t="s">
        <v>2391</v>
      </c>
      <c r="EO21" s="115" t="s">
        <v>2406</v>
      </c>
      <c r="EP21" s="115" t="s">
        <v>2421</v>
      </c>
      <c r="EQ21" s="115" t="s">
        <v>2435</v>
      </c>
      <c r="ER21" s="115" t="s">
        <v>2451</v>
      </c>
      <c r="ES21" s="115" t="s">
        <v>2467</v>
      </c>
      <c r="ET21" s="115" t="s">
        <v>2478</v>
      </c>
      <c r="EU21" s="115" t="s">
        <v>2494</v>
      </c>
      <c r="EV21" s="115" t="s">
        <v>2511</v>
      </c>
      <c r="EW21" s="115" t="s">
        <v>2527</v>
      </c>
      <c r="EX21" s="115" t="s">
        <v>2541</v>
      </c>
      <c r="EY21" s="115" t="s">
        <v>2551</v>
      </c>
      <c r="EZ21" s="115" t="s">
        <v>2563</v>
      </c>
      <c r="FA21" s="41" t="s">
        <v>2611</v>
      </c>
      <c r="FB21" s="41" t="s">
        <v>2620</v>
      </c>
      <c r="FC21" s="41" t="s">
        <v>2611</v>
      </c>
      <c r="FD21" s="41" t="s">
        <v>2620</v>
      </c>
      <c r="FE21" s="41" t="s">
        <v>2643</v>
      </c>
      <c r="FF21" s="41" t="s">
        <v>2657</v>
      </c>
      <c r="FG21" s="41" t="s">
        <v>2669</v>
      </c>
      <c r="FH21" s="41" t="s">
        <v>2677</v>
      </c>
      <c r="FI21" s="41" t="s">
        <v>2687</v>
      </c>
      <c r="FJ21" s="41" t="s">
        <v>2699</v>
      </c>
      <c r="FK21" s="41" t="s">
        <v>2710</v>
      </c>
      <c r="FL21" s="41" t="s">
        <v>2722</v>
      </c>
      <c r="FM21" s="200" t="s">
        <v>2733</v>
      </c>
      <c r="FN21" s="187" t="s">
        <v>2744</v>
      </c>
      <c r="FO21" s="187" t="s">
        <v>2761</v>
      </c>
      <c r="FP21" s="187" t="s">
        <v>2776</v>
      </c>
      <c r="FQ21" s="187" t="s">
        <v>2784</v>
      </c>
      <c r="FR21" s="115" t="s">
        <v>2801</v>
      </c>
      <c r="FS21" s="187" t="s">
        <v>2813</v>
      </c>
      <c r="FT21" s="187" t="s">
        <v>2823</v>
      </c>
      <c r="FU21" s="187" t="s">
        <v>2833</v>
      </c>
      <c r="FV21" s="115" t="s">
        <v>2849</v>
      </c>
      <c r="FW21" s="115" t="s">
        <v>2863</v>
      </c>
      <c r="FX21" s="115" t="s">
        <v>2874</v>
      </c>
      <c r="FY21" s="115" t="s">
        <v>2883</v>
      </c>
      <c r="FZ21" s="115" t="s">
        <v>2893</v>
      </c>
      <c r="GA21" s="115" t="s">
        <v>2906</v>
      </c>
      <c r="GB21" s="115" t="s">
        <v>2916</v>
      </c>
      <c r="GC21" s="115" t="s">
        <v>2925</v>
      </c>
      <c r="GD21" s="187" t="s">
        <v>2936</v>
      </c>
      <c r="GE21" s="115" t="s">
        <v>2947</v>
      </c>
      <c r="GF21" s="159" t="s">
        <v>2965</v>
      </c>
      <c r="GG21" s="208" t="s">
        <v>2979</v>
      </c>
      <c r="GH21" s="159" t="s">
        <v>2996</v>
      </c>
      <c r="GI21" s="159" t="s">
        <v>3010</v>
      </c>
      <c r="GJ21" s="159" t="s">
        <v>3021</v>
      </c>
      <c r="GK21" s="159" t="s">
        <v>3034</v>
      </c>
      <c r="GL21" s="115" t="s">
        <v>3044</v>
      </c>
      <c r="GM21" s="115" t="s">
        <v>3055</v>
      </c>
      <c r="GN21" s="115" t="s">
        <v>3069</v>
      </c>
      <c r="GO21" s="115" t="s">
        <v>3086</v>
      </c>
      <c r="GP21" s="115" t="s">
        <v>3102</v>
      </c>
      <c r="GQ21" s="208" t="s">
        <v>3122</v>
      </c>
      <c r="GR21" s="115" t="s">
        <v>3138</v>
      </c>
      <c r="GS21" s="115" t="s">
        <v>3152</v>
      </c>
      <c r="GT21" s="115" t="s">
        <v>3168</v>
      </c>
      <c r="GU21" s="115" t="s">
        <v>3184</v>
      </c>
      <c r="GV21" s="115" t="s">
        <v>3203</v>
      </c>
      <c r="GW21" s="115" t="s">
        <v>3220</v>
      </c>
      <c r="GX21" s="115" t="s">
        <v>3234</v>
      </c>
      <c r="GY21" s="115" t="s">
        <v>3247</v>
      </c>
      <c r="GZ21" s="187" t="s">
        <v>3259</v>
      </c>
      <c r="HA21" s="159" t="s">
        <v>3270</v>
      </c>
      <c r="HB21" s="159" t="s">
        <v>3289</v>
      </c>
      <c r="HC21" s="159" t="s">
        <v>3298</v>
      </c>
      <c r="HD21" s="187" t="s">
        <v>3259</v>
      </c>
      <c r="HE21" s="115" t="s">
        <v>3321</v>
      </c>
      <c r="HF21" s="115" t="s">
        <v>3336</v>
      </c>
      <c r="HG21" s="187" t="s">
        <v>3349</v>
      </c>
      <c r="HH21" s="115" t="s">
        <v>3321</v>
      </c>
      <c r="HI21" s="200" t="s">
        <v>3368</v>
      </c>
      <c r="HJ21" s="115" t="s">
        <v>3379</v>
      </c>
      <c r="HK21" s="115" t="s">
        <v>3397</v>
      </c>
      <c r="HL21" s="115" t="s">
        <v>3411</v>
      </c>
      <c r="HM21" s="115" t="s">
        <v>3428</v>
      </c>
      <c r="HN21" s="115" t="s">
        <v>3509</v>
      </c>
      <c r="HO21" s="115" t="s">
        <v>3522</v>
      </c>
      <c r="HP21" s="159" t="s">
        <v>3532</v>
      </c>
      <c r="HQ21" s="115" t="s">
        <v>3541</v>
      </c>
      <c r="HR21" s="159" t="s">
        <v>3551</v>
      </c>
      <c r="HS21" s="115" t="s">
        <v>3568</v>
      </c>
      <c r="HT21" s="115" t="s">
        <v>3583</v>
      </c>
      <c r="HU21" s="115" t="s">
        <v>3596</v>
      </c>
      <c r="HV21" s="115" t="s">
        <v>3457</v>
      </c>
      <c r="HW21" s="115" t="s">
        <v>3609</v>
      </c>
      <c r="HX21" s="115" t="s">
        <v>3617</v>
      </c>
      <c r="HY21" s="115" t="s">
        <v>3627</v>
      </c>
      <c r="HZ21" s="115" t="s">
        <v>3639</v>
      </c>
      <c r="IA21" s="115" t="s">
        <v>3652</v>
      </c>
      <c r="IB21" s="115" t="s">
        <v>3660</v>
      </c>
      <c r="IC21" s="115" t="s">
        <v>3672</v>
      </c>
      <c r="ID21" s="115" t="s">
        <v>3687</v>
      </c>
      <c r="IE21" s="115" t="s">
        <v>3700</v>
      </c>
      <c r="IF21" s="183" t="s">
        <v>3716</v>
      </c>
      <c r="IG21" s="185" t="s">
        <v>3725</v>
      </c>
      <c r="IH21" s="185" t="s">
        <v>3734</v>
      </c>
      <c r="II21" s="185" t="s">
        <v>3748</v>
      </c>
      <c r="IJ21" s="185" t="s">
        <v>3759</v>
      </c>
      <c r="IK21" s="185" t="s">
        <v>3496</v>
      </c>
      <c r="IL21" s="183" t="s">
        <v>3776</v>
      </c>
      <c r="IM21" s="159" t="s">
        <v>3784</v>
      </c>
      <c r="IN21" s="159" t="s">
        <v>3793</v>
      </c>
      <c r="IO21" s="159" t="s">
        <v>3803</v>
      </c>
      <c r="IP21" s="159" t="s">
        <v>3817</v>
      </c>
      <c r="IQ21" s="115" t="s">
        <v>3830</v>
      </c>
      <c r="IR21" s="159" t="s">
        <v>3836</v>
      </c>
      <c r="IS21" s="115" t="s">
        <v>3848</v>
      </c>
      <c r="IT21" s="115" t="s">
        <v>3862</v>
      </c>
      <c r="IU21" s="115" t="s">
        <v>3874</v>
      </c>
      <c r="IV21" s="115" t="s">
        <v>3892</v>
      </c>
      <c r="IW21" s="115" t="s">
        <v>3996</v>
      </c>
      <c r="IX21" s="159"/>
      <c r="IY21" s="115" t="s">
        <v>3967</v>
      </c>
      <c r="IZ21" s="115" t="s">
        <v>3979</v>
      </c>
      <c r="JA21" s="115" t="s">
        <v>4015</v>
      </c>
      <c r="JB21" s="115" t="s">
        <v>4028</v>
      </c>
      <c r="JC21" s="115" t="s">
        <v>4041</v>
      </c>
      <c r="JD21" s="115" t="s">
        <v>4050</v>
      </c>
      <c r="JE21" s="115" t="s">
        <v>4060</v>
      </c>
      <c r="JF21" s="115" t="s">
        <v>4073</v>
      </c>
      <c r="JG21" s="115" t="s">
        <v>4088</v>
      </c>
      <c r="JH21" s="115" t="s">
        <v>4102</v>
      </c>
      <c r="JI21" s="115" t="s">
        <v>4116</v>
      </c>
      <c r="JJ21" s="245" t="s">
        <v>4130</v>
      </c>
      <c r="JK21" s="245" t="s">
        <v>4143</v>
      </c>
      <c r="JL21" s="245" t="s">
        <v>4156</v>
      </c>
      <c r="JM21" s="245" t="s">
        <v>4163</v>
      </c>
      <c r="JN21" s="115" t="s">
        <v>4172</v>
      </c>
      <c r="JO21" s="217" t="s">
        <v>4188</v>
      </c>
      <c r="JP21" s="115" t="s">
        <v>4221</v>
      </c>
      <c r="JQ21" s="159" t="s">
        <v>4236</v>
      </c>
      <c r="JR21" s="115" t="s">
        <v>4244</v>
      </c>
      <c r="JS21" s="115" t="s">
        <v>4254</v>
      </c>
      <c r="JT21" s="115" t="s">
        <v>4264</v>
      </c>
      <c r="JU21" s="115" t="s">
        <v>4254</v>
      </c>
      <c r="JV21" s="115" t="s">
        <v>4254</v>
      </c>
      <c r="JW21" s="115" t="s">
        <v>4278</v>
      </c>
      <c r="JX21" s="159" t="s">
        <v>4289</v>
      </c>
      <c r="JY21" s="159" t="s">
        <v>4307</v>
      </c>
      <c r="JZ21" s="159" t="s">
        <v>4315</v>
      </c>
      <c r="KA21" s="159" t="s">
        <v>4301</v>
      </c>
      <c r="KB21" s="159" t="s">
        <v>4311</v>
      </c>
      <c r="KC21" s="159" t="s">
        <v>4296</v>
      </c>
      <c r="KD21" s="115" t="s">
        <v>4323</v>
      </c>
      <c r="KE21" s="159" t="s">
        <v>4333</v>
      </c>
      <c r="KF21" s="159" t="s">
        <v>4340</v>
      </c>
      <c r="KG21" s="159" t="s">
        <v>4351</v>
      </c>
      <c r="KH21" s="115" t="s">
        <v>4369</v>
      </c>
      <c r="KI21" s="115" t="s">
        <v>4385</v>
      </c>
      <c r="KJ21" s="115" t="s">
        <v>4401</v>
      </c>
      <c r="KK21" s="115" t="s">
        <v>4415</v>
      </c>
      <c r="KL21" s="217" t="s">
        <v>4428</v>
      </c>
      <c r="KM21" s="115" t="s">
        <v>4444</v>
      </c>
      <c r="KN21" s="187" t="s">
        <v>4471</v>
      </c>
      <c r="KO21" s="115" t="s">
        <v>4488</v>
      </c>
      <c r="KP21" s="115" t="s">
        <v>4501</v>
      </c>
      <c r="KQ21" s="115" t="s">
        <v>4506</v>
      </c>
      <c r="KR21" s="159" t="s">
        <v>4518</v>
      </c>
      <c r="KS21" s="159" t="s">
        <v>4531</v>
      </c>
      <c r="KT21" s="159" t="s">
        <v>4541</v>
      </c>
      <c r="KU21" s="159" t="s">
        <v>4549</v>
      </c>
      <c r="KV21" s="159" t="s">
        <v>4555</v>
      </c>
      <c r="KW21" s="115" t="s">
        <v>4565</v>
      </c>
      <c r="KX21" s="115" t="s">
        <v>4576</v>
      </c>
      <c r="KY21" s="245" t="s">
        <v>4616</v>
      </c>
      <c r="KZ21" s="245" t="s">
        <v>4630</v>
      </c>
      <c r="LA21" s="187" t="s">
        <v>4665</v>
      </c>
      <c r="LB21" s="115" t="s">
        <v>4691</v>
      </c>
      <c r="LC21" s="115" t="s">
        <v>4703</v>
      </c>
      <c r="LD21" s="115" t="s">
        <v>4719</v>
      </c>
      <c r="LE21" s="115" t="s">
        <v>4725</v>
      </c>
      <c r="LF21" s="115" t="s">
        <v>4743</v>
      </c>
      <c r="LG21" s="115" t="s">
        <v>4820</v>
      </c>
      <c r="LH21" s="115" t="s">
        <v>4753</v>
      </c>
      <c r="LI21" s="115" t="s">
        <v>4763</v>
      </c>
      <c r="LJ21" s="115" t="s">
        <v>4773</v>
      </c>
      <c r="LK21" s="115" t="s">
        <v>4786</v>
      </c>
      <c r="LL21" s="187" t="s">
        <v>4797</v>
      </c>
      <c r="LM21" s="120" t="s">
        <v>4803</v>
      </c>
      <c r="LN21" s="265" t="s">
        <v>4811</v>
      </c>
      <c r="LO21" s="115" t="s">
        <v>4836</v>
      </c>
      <c r="LP21" s="115" t="s">
        <v>4854</v>
      </c>
      <c r="LQ21" s="263" t="s">
        <v>4865</v>
      </c>
      <c r="LR21" s="115" t="s">
        <v>4845</v>
      </c>
      <c r="LS21" s="115" t="s">
        <v>4875</v>
      </c>
      <c r="LT21" s="115" t="s">
        <v>4886</v>
      </c>
      <c r="LU21" s="115" t="s">
        <v>4900</v>
      </c>
      <c r="LV21" s="286" t="s">
        <v>4910</v>
      </c>
      <c r="LW21" s="115" t="s">
        <v>4921</v>
      </c>
      <c r="LX21" s="115" t="s">
        <v>4929</v>
      </c>
      <c r="LY21" s="115" t="s">
        <v>4943</v>
      </c>
      <c r="LZ21" s="115" t="s">
        <v>4955</v>
      </c>
      <c r="MA21" s="115" t="s">
        <v>4969</v>
      </c>
      <c r="MB21" s="115" t="s">
        <v>4983</v>
      </c>
      <c r="MC21" s="115" t="s">
        <v>4999</v>
      </c>
      <c r="MD21" s="115" t="s">
        <v>5016</v>
      </c>
    </row>
    <row r="22" spans="1:342" ht="69.599999999999994" x14ac:dyDescent="0.3">
      <c r="A22" s="92">
        <v>19</v>
      </c>
      <c r="B22" s="310"/>
      <c r="C22" s="56" t="s">
        <v>437</v>
      </c>
      <c r="D22" s="14" t="s">
        <v>442</v>
      </c>
      <c r="E22" s="5" t="s">
        <v>23</v>
      </c>
      <c r="F22" s="2" t="s">
        <v>262</v>
      </c>
      <c r="G22" s="2" t="s">
        <v>52</v>
      </c>
      <c r="H22" s="2" t="s">
        <v>64</v>
      </c>
      <c r="I22" s="2" t="s">
        <v>104</v>
      </c>
      <c r="J22" s="2" t="s">
        <v>123</v>
      </c>
      <c r="K22" s="2" t="s">
        <v>140</v>
      </c>
      <c r="L22" s="2" t="s">
        <v>76</v>
      </c>
      <c r="M22" s="2" t="s">
        <v>76</v>
      </c>
      <c r="N22" s="2" t="s">
        <v>102</v>
      </c>
      <c r="O22" s="2" t="s">
        <v>121</v>
      </c>
      <c r="P22" s="2" t="s">
        <v>132</v>
      </c>
      <c r="Q22" s="2" t="s">
        <v>148</v>
      </c>
      <c r="R22" s="2" t="s">
        <v>160</v>
      </c>
      <c r="S22" s="2" t="s">
        <v>168</v>
      </c>
      <c r="T22" s="2" t="s">
        <v>176</v>
      </c>
      <c r="U22" s="2" t="s">
        <v>277</v>
      </c>
      <c r="V22" s="2" t="s">
        <v>277</v>
      </c>
      <c r="W22" s="2" t="s">
        <v>277</v>
      </c>
      <c r="X22" s="2" t="s">
        <v>296</v>
      </c>
      <c r="Y22" s="2" t="s">
        <v>296</v>
      </c>
      <c r="Z22" s="2" t="s">
        <v>312</v>
      </c>
      <c r="AA22" s="2" t="s">
        <v>338</v>
      </c>
      <c r="AB22" s="2" t="s">
        <v>351</v>
      </c>
      <c r="AC22" s="2" t="s">
        <v>363</v>
      </c>
      <c r="AD22" s="2" t="s">
        <v>375</v>
      </c>
      <c r="AE22" s="2" t="s">
        <v>376</v>
      </c>
      <c r="AF22" s="2" t="s">
        <v>393</v>
      </c>
      <c r="AG22" s="2" t="s">
        <v>403</v>
      </c>
      <c r="AH22" s="2" t="s">
        <v>417</v>
      </c>
      <c r="AI22" s="2" t="s">
        <v>512</v>
      </c>
      <c r="AJ22" s="2" t="s">
        <v>539</v>
      </c>
      <c r="AK22" s="2" t="s">
        <v>539</v>
      </c>
      <c r="AL22" s="2" t="s">
        <v>540</v>
      </c>
      <c r="AM22" s="2" t="s">
        <v>541</v>
      </c>
      <c r="AN22" s="2" t="s">
        <v>570</v>
      </c>
      <c r="AO22" s="2" t="s">
        <v>583</v>
      </c>
      <c r="AP22" s="2" t="s">
        <v>590</v>
      </c>
      <c r="AQ22" s="2" t="s">
        <v>604</v>
      </c>
      <c r="AR22" s="2" t="s">
        <v>622</v>
      </c>
      <c r="AS22" s="2" t="s">
        <v>623</v>
      </c>
      <c r="AT22" s="2" t="s">
        <v>633</v>
      </c>
      <c r="AU22" s="2" t="s">
        <v>657</v>
      </c>
      <c r="AV22" s="2" t="s">
        <v>539</v>
      </c>
      <c r="AW22" s="75" t="s">
        <v>658</v>
      </c>
      <c r="AX22" s="25" t="s">
        <v>686</v>
      </c>
      <c r="AY22" s="2" t="s">
        <v>262</v>
      </c>
      <c r="AZ22" s="2" t="s">
        <v>262</v>
      </c>
      <c r="BA22" s="2" t="s">
        <v>760</v>
      </c>
      <c r="BB22" s="2" t="s">
        <v>759</v>
      </c>
      <c r="BC22" s="2" t="s">
        <v>794</v>
      </c>
      <c r="BD22" s="2" t="s">
        <v>789</v>
      </c>
      <c r="BE22" s="2" t="s">
        <v>790</v>
      </c>
      <c r="BF22" s="2" t="s">
        <v>791</v>
      </c>
      <c r="BG22" s="2" t="s">
        <v>792</v>
      </c>
      <c r="BH22" s="2" t="s">
        <v>793</v>
      </c>
      <c r="BI22" s="41" t="s">
        <v>821</v>
      </c>
      <c r="BJ22" s="89" t="s">
        <v>821</v>
      </c>
      <c r="BK22" s="2" t="s">
        <v>1117</v>
      </c>
      <c r="BL22" s="2" t="s">
        <v>1098</v>
      </c>
      <c r="BM22" s="2" t="s">
        <v>1032</v>
      </c>
      <c r="BN22" s="2" t="s">
        <v>1053</v>
      </c>
      <c r="BO22" s="2" t="s">
        <v>1065</v>
      </c>
      <c r="BP22" s="2" t="s">
        <v>1032</v>
      </c>
      <c r="BQ22" s="2" t="s">
        <v>1083</v>
      </c>
      <c r="BR22" s="117" t="s">
        <v>1396</v>
      </c>
      <c r="BS22" s="105" t="s">
        <v>1413</v>
      </c>
      <c r="BT22" s="105" t="s">
        <v>1426</v>
      </c>
      <c r="BU22" s="115" t="s">
        <v>1439</v>
      </c>
      <c r="BV22" s="115" t="s">
        <v>1453</v>
      </c>
      <c r="BW22" s="115" t="s">
        <v>1465</v>
      </c>
      <c r="BX22" s="115" t="s">
        <v>1479</v>
      </c>
      <c r="BY22" s="115" t="s">
        <v>1490</v>
      </c>
      <c r="BZ22" s="115" t="s">
        <v>1497</v>
      </c>
      <c r="CA22" s="41" t="s">
        <v>1567</v>
      </c>
      <c r="CB22" s="41" t="s">
        <v>1585</v>
      </c>
      <c r="CC22" s="41" t="s">
        <v>1603</v>
      </c>
      <c r="CD22" s="41" t="s">
        <v>1620</v>
      </c>
      <c r="CE22" s="41" t="s">
        <v>1638</v>
      </c>
      <c r="CF22" s="41" t="s">
        <v>338</v>
      </c>
      <c r="CG22" s="41" t="s">
        <v>1656</v>
      </c>
      <c r="CH22" s="41" t="s">
        <v>1667</v>
      </c>
      <c r="CI22" s="41" t="s">
        <v>1685</v>
      </c>
      <c r="CJ22" s="41" t="s">
        <v>1695</v>
      </c>
      <c r="CK22" s="41" t="s">
        <v>1554</v>
      </c>
      <c r="CL22" s="41" t="s">
        <v>1709</v>
      </c>
      <c r="CM22" s="41" t="s">
        <v>1720</v>
      </c>
      <c r="CN22" s="41" t="s">
        <v>1731</v>
      </c>
      <c r="CO22" s="41" t="s">
        <v>1742</v>
      </c>
      <c r="CP22" s="41" t="s">
        <v>1756</v>
      </c>
      <c r="CQ22" s="41" t="s">
        <v>1773</v>
      </c>
      <c r="CR22" s="41" t="s">
        <v>1781</v>
      </c>
      <c r="CS22" s="41" t="s">
        <v>1794</v>
      </c>
      <c r="CT22" s="41" t="s">
        <v>1807</v>
      </c>
      <c r="CU22" s="41" t="s">
        <v>1813</v>
      </c>
      <c r="CV22" s="41" t="s">
        <v>1819</v>
      </c>
      <c r="CW22" s="41" t="s">
        <v>1828</v>
      </c>
      <c r="CX22" s="41" t="s">
        <v>1839</v>
      </c>
      <c r="CY22" s="41" t="s">
        <v>1839</v>
      </c>
      <c r="CZ22" s="41" t="s">
        <v>1839</v>
      </c>
      <c r="DA22" s="41" t="s">
        <v>1839</v>
      </c>
      <c r="DB22" s="41" t="s">
        <v>1873</v>
      </c>
      <c r="DC22" s="41" t="s">
        <v>1883</v>
      </c>
      <c r="DD22" s="41" t="s">
        <v>1883</v>
      </c>
      <c r="DE22" s="41" t="s">
        <v>1839</v>
      </c>
      <c r="DF22" s="41" t="s">
        <v>1839</v>
      </c>
      <c r="DG22" s="41" t="s">
        <v>1839</v>
      </c>
      <c r="DH22" s="41" t="s">
        <v>1839</v>
      </c>
      <c r="DI22" s="41" t="s">
        <v>1839</v>
      </c>
      <c r="DJ22" s="41" t="s">
        <v>1942</v>
      </c>
      <c r="DK22" s="41" t="s">
        <v>1958</v>
      </c>
      <c r="DL22" s="41" t="s">
        <v>1976</v>
      </c>
      <c r="DM22" s="41" t="s">
        <v>2052</v>
      </c>
      <c r="DN22" s="41" t="s">
        <v>2065</v>
      </c>
      <c r="DO22" s="41" t="s">
        <v>2076</v>
      </c>
      <c r="DP22" s="68" t="s">
        <v>2013</v>
      </c>
      <c r="DQ22" s="68" t="s">
        <v>2023</v>
      </c>
      <c r="DR22" s="68" t="s">
        <v>2026</v>
      </c>
      <c r="DS22" s="68" t="s">
        <v>2026</v>
      </c>
      <c r="DT22" s="68" t="s">
        <v>2043</v>
      </c>
      <c r="DU22" s="41" t="s">
        <v>2097</v>
      </c>
      <c r="DV22" s="171" t="s">
        <v>2118</v>
      </c>
      <c r="DW22" s="115" t="s">
        <v>2174</v>
      </c>
      <c r="DX22" s="115" t="s">
        <v>2192</v>
      </c>
      <c r="DY22" s="115" t="s">
        <v>2209</v>
      </c>
      <c r="DZ22" s="115" t="s">
        <v>2224</v>
      </c>
      <c r="EA22" s="115" t="s">
        <v>2209</v>
      </c>
      <c r="EB22" s="115" t="s">
        <v>2209</v>
      </c>
      <c r="EC22" s="115" t="s">
        <v>2263</v>
      </c>
      <c r="ED22" s="115" t="s">
        <v>2276</v>
      </c>
      <c r="EE22" s="115" t="s">
        <v>2287</v>
      </c>
      <c r="EF22" s="115" t="s">
        <v>2294</v>
      </c>
      <c r="EG22" s="115" t="s">
        <v>2299</v>
      </c>
      <c r="EH22" s="115" t="s">
        <v>2023</v>
      </c>
      <c r="EI22" s="187" t="s">
        <v>2322</v>
      </c>
      <c r="EJ22" s="115" t="s">
        <v>2336</v>
      </c>
      <c r="EK22" s="187" t="s">
        <v>2348</v>
      </c>
      <c r="EL22" s="115" t="s">
        <v>2364</v>
      </c>
      <c r="EM22" s="187" t="s">
        <v>2378</v>
      </c>
      <c r="EN22" s="115" t="s">
        <v>2392</v>
      </c>
      <c r="EO22" s="115" t="s">
        <v>2407</v>
      </c>
      <c r="EP22" s="115" t="s">
        <v>2422</v>
      </c>
      <c r="EQ22" s="115" t="s">
        <v>2436</v>
      </c>
      <c r="ER22" s="115" t="s">
        <v>2452</v>
      </c>
      <c r="ES22" s="115" t="s">
        <v>2468</v>
      </c>
      <c r="ET22" s="115" t="s">
        <v>2479</v>
      </c>
      <c r="EU22" s="115" t="s">
        <v>2495</v>
      </c>
      <c r="EV22" s="115" t="s">
        <v>2512</v>
      </c>
      <c r="EW22" s="115" t="s">
        <v>2528</v>
      </c>
      <c r="EX22" s="115" t="s">
        <v>2542</v>
      </c>
      <c r="EY22" s="115" t="s">
        <v>2336</v>
      </c>
      <c r="EZ22" s="115" t="s">
        <v>2336</v>
      </c>
      <c r="FA22" s="41" t="s">
        <v>2612</v>
      </c>
      <c r="FB22" s="41" t="s">
        <v>2621</v>
      </c>
      <c r="FC22" s="41" t="s">
        <v>2630</v>
      </c>
      <c r="FD22" s="41" t="s">
        <v>2633</v>
      </c>
      <c r="FE22" s="41" t="s">
        <v>2644</v>
      </c>
      <c r="FF22" s="41" t="s">
        <v>2658</v>
      </c>
      <c r="FG22" s="41" t="s">
        <v>2670</v>
      </c>
      <c r="FH22" s="41" t="s">
        <v>2678</v>
      </c>
      <c r="FI22" s="41" t="s">
        <v>2688</v>
      </c>
      <c r="FJ22" s="41" t="s">
        <v>2700</v>
      </c>
      <c r="FK22" s="41" t="s">
        <v>2711</v>
      </c>
      <c r="FL22" s="41" t="s">
        <v>2711</v>
      </c>
      <c r="FM22" s="200" t="s">
        <v>2734</v>
      </c>
      <c r="FN22" s="187" t="s">
        <v>2745</v>
      </c>
      <c r="FO22" s="187" t="s">
        <v>2762</v>
      </c>
      <c r="FP22" s="187" t="s">
        <v>2777</v>
      </c>
      <c r="FQ22" s="187" t="s">
        <v>2785</v>
      </c>
      <c r="FR22" s="115" t="s">
        <v>2802</v>
      </c>
      <c r="FS22" s="187" t="s">
        <v>2814</v>
      </c>
      <c r="FT22" s="187" t="s">
        <v>2824</v>
      </c>
      <c r="FU22" s="187" t="s">
        <v>2834</v>
      </c>
      <c r="FV22" s="115" t="s">
        <v>2850</v>
      </c>
      <c r="FW22" s="115" t="s">
        <v>2850</v>
      </c>
      <c r="FX22" s="115" t="s">
        <v>2875</v>
      </c>
      <c r="FY22" s="115" t="s">
        <v>2884</v>
      </c>
      <c r="FZ22" s="115" t="s">
        <v>2894</v>
      </c>
      <c r="GA22" s="115" t="s">
        <v>2907</v>
      </c>
      <c r="GB22" s="115" t="s">
        <v>2917</v>
      </c>
      <c r="GC22" s="115" t="s">
        <v>2926</v>
      </c>
      <c r="GD22" s="208" t="s">
        <v>2937</v>
      </c>
      <c r="GE22" s="115" t="s">
        <v>2948</v>
      </c>
      <c r="GF22" s="159" t="s">
        <v>2966</v>
      </c>
      <c r="GG22" s="208" t="s">
        <v>2980</v>
      </c>
      <c r="GH22" s="159" t="s">
        <v>2997</v>
      </c>
      <c r="GI22" s="159" t="s">
        <v>3011</v>
      </c>
      <c r="GJ22" s="159" t="s">
        <v>3022</v>
      </c>
      <c r="GK22" s="159" t="s">
        <v>3035</v>
      </c>
      <c r="GL22" s="115" t="s">
        <v>3045</v>
      </c>
      <c r="GM22" s="115" t="s">
        <v>3056</v>
      </c>
      <c r="GN22" s="115" t="s">
        <v>3070</v>
      </c>
      <c r="GO22" s="115" t="s">
        <v>3087</v>
      </c>
      <c r="GP22" s="115" t="s">
        <v>3103</v>
      </c>
      <c r="GQ22" s="208" t="s">
        <v>3123</v>
      </c>
      <c r="GR22" s="115" t="s">
        <v>3139</v>
      </c>
      <c r="GS22" s="115" t="s">
        <v>3153</v>
      </c>
      <c r="GT22" s="115" t="s">
        <v>3169</v>
      </c>
      <c r="GU22" s="115" t="s">
        <v>3185</v>
      </c>
      <c r="GV22" s="115" t="s">
        <v>3204</v>
      </c>
      <c r="GW22" s="115" t="s">
        <v>3221</v>
      </c>
      <c r="GX22" s="115" t="s">
        <v>3235</v>
      </c>
      <c r="GY22" s="115" t="s">
        <v>3248</v>
      </c>
      <c r="GZ22" s="187" t="s">
        <v>3260</v>
      </c>
      <c r="HA22" s="159" t="s">
        <v>3271</v>
      </c>
      <c r="HB22" s="159" t="s">
        <v>3290</v>
      </c>
      <c r="HC22" s="159" t="s">
        <v>3299</v>
      </c>
      <c r="HD22" s="187" t="s">
        <v>3260</v>
      </c>
      <c r="HE22" s="115" t="s">
        <v>3322</v>
      </c>
      <c r="HF22" s="115" t="s">
        <v>3322</v>
      </c>
      <c r="HG22" s="187" t="s">
        <v>3350</v>
      </c>
      <c r="HH22" s="115" t="s">
        <v>3322</v>
      </c>
      <c r="HI22" s="200" t="s">
        <v>3369</v>
      </c>
      <c r="HJ22" s="115" t="s">
        <v>3380</v>
      </c>
      <c r="HK22" s="115" t="s">
        <v>3398</v>
      </c>
      <c r="HL22" s="115" t="s">
        <v>3412</v>
      </c>
      <c r="HM22" s="115" t="s">
        <v>3429</v>
      </c>
      <c r="HN22" s="115" t="s">
        <v>3510</v>
      </c>
      <c r="HO22" s="115" t="s">
        <v>3523</v>
      </c>
      <c r="HP22" s="159" t="s">
        <v>3533</v>
      </c>
      <c r="HQ22" s="115" t="s">
        <v>3542</v>
      </c>
      <c r="HR22" s="159" t="s">
        <v>3552</v>
      </c>
      <c r="HS22" s="115" t="s">
        <v>3569</v>
      </c>
      <c r="HT22" s="115" t="s">
        <v>3584</v>
      </c>
      <c r="HU22" s="115" t="s">
        <v>3597</v>
      </c>
      <c r="HV22" s="115" t="s">
        <v>3458</v>
      </c>
      <c r="HW22" s="115" t="s">
        <v>3610</v>
      </c>
      <c r="HX22" s="115" t="s">
        <v>3618</v>
      </c>
      <c r="HY22" s="115" t="s">
        <v>3628</v>
      </c>
      <c r="HZ22" s="115" t="s">
        <v>3640</v>
      </c>
      <c r="IA22" s="115" t="s">
        <v>3618</v>
      </c>
      <c r="IB22" s="115" t="s">
        <v>3661</v>
      </c>
      <c r="IC22" s="115" t="s">
        <v>3673</v>
      </c>
      <c r="ID22" s="115" t="s">
        <v>3688</v>
      </c>
      <c r="IE22" s="159" t="s">
        <v>3701</v>
      </c>
      <c r="IF22" s="183" t="s">
        <v>3717</v>
      </c>
      <c r="IG22" s="185" t="s">
        <v>3726</v>
      </c>
      <c r="IH22" s="185" t="s">
        <v>3735</v>
      </c>
      <c r="II22" s="185" t="s">
        <v>3749</v>
      </c>
      <c r="IJ22" s="185" t="s">
        <v>3760</v>
      </c>
      <c r="IK22" s="185" t="s">
        <v>3497</v>
      </c>
      <c r="IL22" s="183" t="s">
        <v>3777</v>
      </c>
      <c r="IM22" s="159" t="s">
        <v>3785</v>
      </c>
      <c r="IN22" s="159" t="s">
        <v>3794</v>
      </c>
      <c r="IO22" s="159" t="s">
        <v>3804</v>
      </c>
      <c r="IP22" s="159" t="s">
        <v>3818</v>
      </c>
      <c r="IQ22" s="115" t="s">
        <v>3831</v>
      </c>
      <c r="IR22" s="159" t="s">
        <v>3837</v>
      </c>
      <c r="IS22" s="115" t="s">
        <v>3849</v>
      </c>
      <c r="IT22" s="115" t="s">
        <v>3863</v>
      </c>
      <c r="IU22" s="115" t="s">
        <v>3875</v>
      </c>
      <c r="IV22" s="115" t="s">
        <v>3893</v>
      </c>
      <c r="IW22" s="115" t="s">
        <v>3997</v>
      </c>
      <c r="IX22" s="159"/>
      <c r="IY22" s="115" t="s">
        <v>3972</v>
      </c>
      <c r="IZ22" s="115" t="s">
        <v>3980</v>
      </c>
      <c r="JA22" s="115" t="s">
        <v>4016</v>
      </c>
      <c r="JB22" s="115" t="s">
        <v>4029</v>
      </c>
      <c r="JC22" s="115" t="s">
        <v>4042</v>
      </c>
      <c r="JD22" s="115" t="s">
        <v>4051</v>
      </c>
      <c r="JE22" s="115" t="s">
        <v>4061</v>
      </c>
      <c r="JF22" s="115" t="s">
        <v>4074</v>
      </c>
      <c r="JG22" s="115" t="s">
        <v>4089</v>
      </c>
      <c r="JH22" s="115" t="s">
        <v>4103</v>
      </c>
      <c r="JI22" s="115" t="s">
        <v>4117</v>
      </c>
      <c r="JJ22" s="245" t="s">
        <v>4131</v>
      </c>
      <c r="JK22" s="245" t="s">
        <v>4144</v>
      </c>
      <c r="JL22" s="245" t="s">
        <v>4157</v>
      </c>
      <c r="JM22" s="245" t="s">
        <v>4164</v>
      </c>
      <c r="JN22" s="115" t="s">
        <v>4173</v>
      </c>
      <c r="JO22" s="159" t="s">
        <v>4189</v>
      </c>
      <c r="JP22" s="115" t="s">
        <v>4222</v>
      </c>
      <c r="JQ22" s="159" t="s">
        <v>4237</v>
      </c>
      <c r="JR22" s="115" t="s">
        <v>4245</v>
      </c>
      <c r="JS22" s="115" t="s">
        <v>4255</v>
      </c>
      <c r="JT22" s="115" t="s">
        <v>4265</v>
      </c>
      <c r="JU22" s="115" t="s">
        <v>4255</v>
      </c>
      <c r="JV22" s="115" t="s">
        <v>4255</v>
      </c>
      <c r="JW22" s="115" t="s">
        <v>4279</v>
      </c>
      <c r="JX22" s="115" t="s">
        <v>4290</v>
      </c>
      <c r="JY22" s="115" t="s">
        <v>4308</v>
      </c>
      <c r="JZ22" s="115" t="s">
        <v>4316</v>
      </c>
      <c r="KA22" s="115" t="s">
        <v>4302</v>
      </c>
      <c r="KB22" s="115" t="s">
        <v>4312</v>
      </c>
      <c r="KC22" s="115" t="s">
        <v>4297</v>
      </c>
      <c r="KD22" s="115" t="s">
        <v>4324</v>
      </c>
      <c r="KE22" s="115" t="s">
        <v>4334</v>
      </c>
      <c r="KF22" s="115" t="s">
        <v>4341</v>
      </c>
      <c r="KG22" s="159" t="s">
        <v>4352</v>
      </c>
      <c r="KH22" s="115" t="s">
        <v>4370</v>
      </c>
      <c r="KI22" s="115" t="s">
        <v>4386</v>
      </c>
      <c r="KJ22" s="159" t="s">
        <v>4402</v>
      </c>
      <c r="KK22" s="159" t="s">
        <v>4416</v>
      </c>
      <c r="KL22" s="159" t="s">
        <v>4429</v>
      </c>
      <c r="KM22" s="115" t="s">
        <v>4445</v>
      </c>
      <c r="KN22" s="187" t="s">
        <v>4472</v>
      </c>
      <c r="KO22" s="115" t="s">
        <v>4489</v>
      </c>
      <c r="KP22" s="115" t="s">
        <v>4502</v>
      </c>
      <c r="KQ22" s="115" t="s">
        <v>4507</v>
      </c>
      <c r="KR22" s="159" t="s">
        <v>4519</v>
      </c>
      <c r="KS22" s="159" t="s">
        <v>4532</v>
      </c>
      <c r="KT22" s="159" t="s">
        <v>4542</v>
      </c>
      <c r="KU22" s="159" t="s">
        <v>4550</v>
      </c>
      <c r="KV22" s="159" t="s">
        <v>4556</v>
      </c>
      <c r="KW22" s="115" t="s">
        <v>4566</v>
      </c>
      <c r="KX22" s="115" t="s">
        <v>4566</v>
      </c>
      <c r="KY22" s="245" t="s">
        <v>4617</v>
      </c>
      <c r="KZ22" s="245" t="s">
        <v>4631</v>
      </c>
      <c r="LA22" s="187" t="s">
        <v>4666</v>
      </c>
      <c r="LB22" s="115" t="s">
        <v>4692</v>
      </c>
      <c r="LC22" s="115" t="s">
        <v>4704</v>
      </c>
      <c r="LD22" s="115" t="s">
        <v>4720</v>
      </c>
      <c r="LE22" s="115" t="s">
        <v>4726</v>
      </c>
      <c r="LF22" s="115" t="s">
        <v>4744</v>
      </c>
      <c r="LG22" s="115" t="s">
        <v>4821</v>
      </c>
      <c r="LH22" s="115" t="s">
        <v>4754</v>
      </c>
      <c r="LI22" s="115" t="s">
        <v>4764</v>
      </c>
      <c r="LJ22" s="115" t="s">
        <v>4774</v>
      </c>
      <c r="LK22" s="115" t="s">
        <v>4787</v>
      </c>
      <c r="LL22" s="187" t="s">
        <v>4798</v>
      </c>
      <c r="LM22" s="120" t="s">
        <v>4804</v>
      </c>
      <c r="LN22" s="278" t="s">
        <v>4812</v>
      </c>
      <c r="LO22" s="115" t="s">
        <v>4837</v>
      </c>
      <c r="LP22" s="115" t="s">
        <v>4855</v>
      </c>
      <c r="LQ22" s="263" t="s">
        <v>4679</v>
      </c>
      <c r="LR22" s="115" t="s">
        <v>4821</v>
      </c>
      <c r="LS22" s="115" t="s">
        <v>4876</v>
      </c>
      <c r="LT22" s="115" t="s">
        <v>4887</v>
      </c>
      <c r="LU22" s="115" t="s">
        <v>4901</v>
      </c>
      <c r="LV22" s="286" t="s">
        <v>4911</v>
      </c>
      <c r="LW22" s="115" t="s">
        <v>4922</v>
      </c>
      <c r="LX22" s="115" t="s">
        <v>4930</v>
      </c>
      <c r="LY22" s="115" t="s">
        <v>4944</v>
      </c>
      <c r="LZ22" s="115" t="s">
        <v>4956</v>
      </c>
      <c r="MA22" s="115" t="s">
        <v>4970</v>
      </c>
      <c r="MB22" s="115" t="s">
        <v>4984</v>
      </c>
      <c r="MC22" s="115" t="s">
        <v>5000</v>
      </c>
      <c r="MD22" s="115" t="s">
        <v>5017</v>
      </c>
    </row>
    <row r="23" spans="1:342" ht="14.4" x14ac:dyDescent="0.3">
      <c r="A23" s="92">
        <v>20</v>
      </c>
      <c r="B23" s="310"/>
      <c r="C23" s="55" t="s">
        <v>461</v>
      </c>
      <c r="D23" s="14" t="s">
        <v>442</v>
      </c>
      <c r="E23" s="2" t="s">
        <v>24</v>
      </c>
      <c r="F23" s="2" t="s">
        <v>263</v>
      </c>
      <c r="G23" s="5" t="s">
        <v>53</v>
      </c>
      <c r="H23" s="5" t="s">
        <v>65</v>
      </c>
      <c r="I23" s="2" t="s">
        <v>105</v>
      </c>
      <c r="J23" s="2" t="s">
        <v>105</v>
      </c>
      <c r="K23" s="2" t="s">
        <v>141</v>
      </c>
      <c r="L23" s="5" t="s">
        <v>77</v>
      </c>
      <c r="M23" s="5" t="s">
        <v>77</v>
      </c>
      <c r="N23" s="5" t="s">
        <v>77</v>
      </c>
      <c r="O23" s="5" t="s">
        <v>77</v>
      </c>
      <c r="P23" s="5" t="s">
        <v>77</v>
      </c>
      <c r="Q23" s="5" t="s">
        <v>77</v>
      </c>
      <c r="R23" s="5" t="s">
        <v>53</v>
      </c>
      <c r="S23" s="2" t="s">
        <v>169</v>
      </c>
      <c r="T23" s="2" t="s">
        <v>24</v>
      </c>
      <c r="U23" s="2" t="s">
        <v>105</v>
      </c>
      <c r="V23" s="2" t="s">
        <v>105</v>
      </c>
      <c r="W23" s="2" t="s">
        <v>105</v>
      </c>
      <c r="X23" s="2" t="s">
        <v>105</v>
      </c>
      <c r="Y23" s="2" t="s">
        <v>105</v>
      </c>
      <c r="Z23" s="2" t="s">
        <v>313</v>
      </c>
      <c r="AA23" s="2" t="s">
        <v>333</v>
      </c>
      <c r="AB23" s="2" t="s">
        <v>24</v>
      </c>
      <c r="AC23" s="2" t="s">
        <v>24</v>
      </c>
      <c r="AD23" s="2" t="s">
        <v>44</v>
      </c>
      <c r="AE23" s="2" t="s">
        <v>141</v>
      </c>
      <c r="AF23" s="2" t="s">
        <v>141</v>
      </c>
      <c r="AG23" s="2" t="s">
        <v>141</v>
      </c>
      <c r="AH23" s="2" t="s">
        <v>141</v>
      </c>
      <c r="AI23" s="2" t="s">
        <v>169</v>
      </c>
      <c r="AJ23" s="2" t="s">
        <v>169</v>
      </c>
      <c r="AK23" s="2" t="s">
        <v>169</v>
      </c>
      <c r="AL23" s="2" t="s">
        <v>169</v>
      </c>
      <c r="AM23" s="2" t="s">
        <v>169</v>
      </c>
      <c r="AN23" s="2" t="s">
        <v>169</v>
      </c>
      <c r="AO23" s="2" t="s">
        <v>169</v>
      </c>
      <c r="AP23" s="2" t="s">
        <v>24</v>
      </c>
      <c r="AQ23" s="2" t="s">
        <v>605</v>
      </c>
      <c r="AR23" s="2" t="s">
        <v>141</v>
      </c>
      <c r="AS23" s="2" t="s">
        <v>141</v>
      </c>
      <c r="AT23" s="2" t="s">
        <v>634</v>
      </c>
      <c r="AU23" s="2" t="s">
        <v>634</v>
      </c>
      <c r="AV23" s="2" t="s">
        <v>634</v>
      </c>
      <c r="AW23" s="75" t="s">
        <v>634</v>
      </c>
      <c r="AX23" s="75" t="s">
        <v>634</v>
      </c>
      <c r="AY23" s="2" t="s">
        <v>141</v>
      </c>
      <c r="AZ23" s="2" t="s">
        <v>141</v>
      </c>
      <c r="BA23" s="2" t="s">
        <v>745</v>
      </c>
      <c r="BB23" s="2" t="s">
        <v>745</v>
      </c>
      <c r="BC23" s="2" t="s">
        <v>745</v>
      </c>
      <c r="BD23" s="2" t="s">
        <v>745</v>
      </c>
      <c r="BE23" s="2" t="s">
        <v>745</v>
      </c>
      <c r="BF23" s="2" t="s">
        <v>745</v>
      </c>
      <c r="BG23" s="2" t="s">
        <v>745</v>
      </c>
      <c r="BH23" s="2" t="s">
        <v>745</v>
      </c>
      <c r="BI23" s="41" t="s">
        <v>848</v>
      </c>
      <c r="BJ23" s="92" t="s">
        <v>848</v>
      </c>
      <c r="BK23" s="2" t="s">
        <v>24</v>
      </c>
      <c r="BL23" s="2" t="s">
        <v>24</v>
      </c>
      <c r="BM23" s="26" t="s">
        <v>848</v>
      </c>
      <c r="BN23" s="26" t="s">
        <v>1054</v>
      </c>
      <c r="BO23" s="26" t="s">
        <v>848</v>
      </c>
      <c r="BP23" s="26" t="s">
        <v>848</v>
      </c>
      <c r="BQ23" s="26" t="s">
        <v>848</v>
      </c>
      <c r="BR23" s="117" t="s">
        <v>24</v>
      </c>
      <c r="BS23" s="105" t="s">
        <v>24</v>
      </c>
      <c r="BT23" s="105" t="s">
        <v>1427</v>
      </c>
      <c r="BU23" s="115" t="s">
        <v>24</v>
      </c>
      <c r="BV23" s="115" t="s">
        <v>634</v>
      </c>
      <c r="BW23" s="115" t="s">
        <v>634</v>
      </c>
      <c r="BX23" s="115" t="s">
        <v>24</v>
      </c>
      <c r="BY23" s="115" t="s">
        <v>24</v>
      </c>
      <c r="BZ23" s="115" t="s">
        <v>24</v>
      </c>
      <c r="CA23" s="41" t="s">
        <v>24</v>
      </c>
      <c r="CB23" s="41" t="s">
        <v>1586</v>
      </c>
      <c r="CC23" s="41" t="s">
        <v>24</v>
      </c>
      <c r="CD23" s="41" t="s">
        <v>263</v>
      </c>
      <c r="CE23" s="41" t="s">
        <v>24</v>
      </c>
      <c r="CF23" s="41" t="s">
        <v>24</v>
      </c>
      <c r="CG23" s="41" t="s">
        <v>1586</v>
      </c>
      <c r="CH23" s="41" t="s">
        <v>24</v>
      </c>
      <c r="CI23" s="41" t="s">
        <v>141</v>
      </c>
      <c r="CJ23" t="s">
        <v>313</v>
      </c>
      <c r="CK23" t="s">
        <v>313</v>
      </c>
      <c r="CL23" t="s">
        <v>313</v>
      </c>
      <c r="CM23" s="41" t="s">
        <v>141</v>
      </c>
      <c r="CN23" s="41" t="s">
        <v>263</v>
      </c>
      <c r="CO23" s="41" t="s">
        <v>141</v>
      </c>
      <c r="CP23" s="41" t="s">
        <v>141</v>
      </c>
      <c r="CQ23" s="41" t="s">
        <v>141</v>
      </c>
      <c r="CR23" s="41" t="s">
        <v>263</v>
      </c>
      <c r="CS23" s="41" t="s">
        <v>169</v>
      </c>
      <c r="CT23" s="41" t="s">
        <v>24</v>
      </c>
      <c r="CU23" s="41" t="s">
        <v>24</v>
      </c>
      <c r="CV23" s="41" t="s">
        <v>263</v>
      </c>
      <c r="CW23" s="41" t="s">
        <v>169</v>
      </c>
      <c r="CX23" s="41" t="s">
        <v>77</v>
      </c>
      <c r="CY23" s="41" t="s">
        <v>77</v>
      </c>
      <c r="CZ23" s="41" t="s">
        <v>263</v>
      </c>
      <c r="DA23" s="105" t="s">
        <v>77</v>
      </c>
      <c r="DB23" s="41" t="s">
        <v>263</v>
      </c>
      <c r="DC23" s="41" t="s">
        <v>77</v>
      </c>
      <c r="DD23" s="41" t="s">
        <v>77</v>
      </c>
      <c r="DE23" s="41" t="s">
        <v>77</v>
      </c>
      <c r="DF23" s="41" t="s">
        <v>77</v>
      </c>
      <c r="DG23" s="41" t="s">
        <v>77</v>
      </c>
      <c r="DH23" s="41" t="s">
        <v>263</v>
      </c>
      <c r="DI23" s="41" t="s">
        <v>263</v>
      </c>
      <c r="DJ23" s="41" t="s">
        <v>24</v>
      </c>
      <c r="DK23" s="41" t="s">
        <v>24</v>
      </c>
      <c r="DL23" s="105" t="s">
        <v>24</v>
      </c>
      <c r="DM23" s="41" t="s">
        <v>24</v>
      </c>
      <c r="DN23" s="41" t="s">
        <v>24</v>
      </c>
      <c r="DO23" s="41" t="s">
        <v>24</v>
      </c>
      <c r="DP23" s="105" t="s">
        <v>24</v>
      </c>
      <c r="DQ23" s="105" t="s">
        <v>24</v>
      </c>
      <c r="DR23" s="105" t="s">
        <v>24</v>
      </c>
      <c r="DS23" s="105" t="s">
        <v>24</v>
      </c>
      <c r="DT23" s="105" t="s">
        <v>24</v>
      </c>
      <c r="DU23" s="41" t="s">
        <v>24</v>
      </c>
      <c r="DV23" s="105" t="s">
        <v>24</v>
      </c>
      <c r="DW23" s="159" t="s">
        <v>634</v>
      </c>
      <c r="DX23" s="115" t="s">
        <v>24</v>
      </c>
      <c r="DY23" s="115" t="s">
        <v>2210</v>
      </c>
      <c r="DZ23" s="115" t="s">
        <v>24</v>
      </c>
      <c r="EA23" s="115" t="s">
        <v>2210</v>
      </c>
      <c r="EB23" s="115" t="s">
        <v>2210</v>
      </c>
      <c r="EC23" s="115" t="s">
        <v>24</v>
      </c>
      <c r="ED23" s="115" t="s">
        <v>2277</v>
      </c>
      <c r="EE23" s="115" t="s">
        <v>2277</v>
      </c>
      <c r="EF23" s="115" t="s">
        <v>2277</v>
      </c>
      <c r="EG23" s="115" t="s">
        <v>2277</v>
      </c>
      <c r="EH23" s="115" t="s">
        <v>24</v>
      </c>
      <c r="EI23" s="187" t="s">
        <v>24</v>
      </c>
      <c r="EJ23" s="115" t="s">
        <v>24</v>
      </c>
      <c r="EK23" s="187" t="s">
        <v>24</v>
      </c>
      <c r="EL23" s="115" t="s">
        <v>634</v>
      </c>
      <c r="EM23" s="187" t="s">
        <v>24</v>
      </c>
      <c r="EN23" s="115" t="s">
        <v>2210</v>
      </c>
      <c r="EO23" s="115" t="s">
        <v>24</v>
      </c>
      <c r="EP23" s="115" t="s">
        <v>24</v>
      </c>
      <c r="EQ23" s="115" t="s">
        <v>24</v>
      </c>
      <c r="ER23" s="169" t="s">
        <v>24</v>
      </c>
      <c r="ES23" s="115" t="s">
        <v>24</v>
      </c>
      <c r="ET23" s="115" t="s">
        <v>2210</v>
      </c>
      <c r="EU23" s="195" t="s">
        <v>1054</v>
      </c>
      <c r="EV23" s="195" t="s">
        <v>1054</v>
      </c>
      <c r="EW23" s="169" t="s">
        <v>263</v>
      </c>
      <c r="EX23" s="115" t="s">
        <v>2543</v>
      </c>
      <c r="EY23" s="115" t="s">
        <v>24</v>
      </c>
      <c r="EZ23" s="115" t="s">
        <v>2543</v>
      </c>
      <c r="FA23" s="41" t="s">
        <v>24</v>
      </c>
      <c r="FB23" s="41" t="s">
        <v>24</v>
      </c>
      <c r="FC23" s="41" t="s">
        <v>24</v>
      </c>
      <c r="FD23" s="41" t="s">
        <v>24</v>
      </c>
      <c r="FE23" s="41" t="s">
        <v>77</v>
      </c>
      <c r="FF23" s="41" t="s">
        <v>24</v>
      </c>
      <c r="FG23" s="41" t="s">
        <v>24</v>
      </c>
      <c r="FH23" s="41" t="s">
        <v>24</v>
      </c>
      <c r="FI23" s="41" t="s">
        <v>1586</v>
      </c>
      <c r="FJ23" s="41" t="s">
        <v>169</v>
      </c>
      <c r="FK23" s="41" t="s">
        <v>141</v>
      </c>
      <c r="FL23" s="41" t="s">
        <v>141</v>
      </c>
      <c r="FM23" s="200" t="s">
        <v>169</v>
      </c>
      <c r="FN23" s="187" t="s">
        <v>24</v>
      </c>
      <c r="FO23" s="187" t="s">
        <v>634</v>
      </c>
      <c r="FP23" s="187" t="s">
        <v>24</v>
      </c>
      <c r="FQ23" s="187" t="s">
        <v>634</v>
      </c>
      <c r="FR23" s="115" t="s">
        <v>24</v>
      </c>
      <c r="FS23" s="187" t="s">
        <v>24</v>
      </c>
      <c r="FT23" s="187" t="s">
        <v>24</v>
      </c>
      <c r="FU23" s="187" t="s">
        <v>24</v>
      </c>
      <c r="FV23" s="195" t="s">
        <v>1586</v>
      </c>
      <c r="FW23" s="195" t="s">
        <v>1586</v>
      </c>
      <c r="FX23" s="115" t="s">
        <v>1586</v>
      </c>
      <c r="FY23" s="115" t="s">
        <v>24</v>
      </c>
      <c r="FZ23" s="115" t="s">
        <v>24</v>
      </c>
      <c r="GA23" s="115" t="s">
        <v>169</v>
      </c>
      <c r="GB23" s="115" t="s">
        <v>605</v>
      </c>
      <c r="GC23" s="115" t="s">
        <v>313</v>
      </c>
      <c r="GD23" s="187" t="s">
        <v>24</v>
      </c>
      <c r="GE23" s="115" t="s">
        <v>1586</v>
      </c>
      <c r="GF23" s="159" t="s">
        <v>2543</v>
      </c>
      <c r="GG23" s="208" t="s">
        <v>24</v>
      </c>
      <c r="GH23" s="159" t="s">
        <v>105</v>
      </c>
      <c r="GI23" s="159" t="s">
        <v>105</v>
      </c>
      <c r="GJ23" s="159" t="s">
        <v>77</v>
      </c>
      <c r="GK23" s="159" t="s">
        <v>634</v>
      </c>
      <c r="GL23" s="115" t="s">
        <v>77</v>
      </c>
      <c r="GM23" s="115" t="s">
        <v>141</v>
      </c>
      <c r="GN23" s="115" t="s">
        <v>263</v>
      </c>
      <c r="GO23" s="115" t="s">
        <v>634</v>
      </c>
      <c r="GP23" s="115" t="s">
        <v>77</v>
      </c>
      <c r="GQ23" s="208" t="s">
        <v>24</v>
      </c>
      <c r="GR23" s="115" t="s">
        <v>77</v>
      </c>
      <c r="GS23" s="115" t="s">
        <v>1054</v>
      </c>
      <c r="GT23" s="115" t="s">
        <v>24</v>
      </c>
      <c r="GU23" s="115" t="s">
        <v>24</v>
      </c>
      <c r="GV23" s="115" t="s">
        <v>24</v>
      </c>
      <c r="GW23" s="115" t="s">
        <v>24</v>
      </c>
      <c r="GX23" s="115" t="s">
        <v>24</v>
      </c>
      <c r="GY23" s="115" t="s">
        <v>24</v>
      </c>
      <c r="GZ23" s="191" t="s">
        <v>24</v>
      </c>
      <c r="HA23" s="159" t="s">
        <v>141</v>
      </c>
      <c r="HB23" s="159" t="s">
        <v>24</v>
      </c>
      <c r="HC23" s="159" t="s">
        <v>141</v>
      </c>
      <c r="HD23" s="191" t="s">
        <v>24</v>
      </c>
      <c r="HE23" s="169" t="s">
        <v>24</v>
      </c>
      <c r="HF23" s="169" t="s">
        <v>24</v>
      </c>
      <c r="HG23" s="156" t="s">
        <v>24</v>
      </c>
      <c r="HH23" s="169" t="s">
        <v>24</v>
      </c>
      <c r="HI23" s="47" t="s">
        <v>24</v>
      </c>
      <c r="HJ23" s="115" t="s">
        <v>313</v>
      </c>
      <c r="HK23" s="115" t="s">
        <v>313</v>
      </c>
      <c r="HL23" s="115" t="s">
        <v>24</v>
      </c>
      <c r="HM23" s="115" t="s">
        <v>24</v>
      </c>
      <c r="HN23" s="115" t="s">
        <v>24</v>
      </c>
      <c r="HO23" s="195" t="s">
        <v>1054</v>
      </c>
      <c r="HP23" s="195" t="s">
        <v>1054</v>
      </c>
      <c r="HQ23" s="195" t="s">
        <v>1054</v>
      </c>
      <c r="HR23" s="195" t="s">
        <v>24</v>
      </c>
      <c r="HS23" s="159" t="s">
        <v>24</v>
      </c>
      <c r="HT23" s="233" t="s">
        <v>24</v>
      </c>
      <c r="HU23" s="195" t="s">
        <v>1054</v>
      </c>
      <c r="HV23" s="195" t="s">
        <v>24</v>
      </c>
      <c r="HW23" s="115" t="s">
        <v>24</v>
      </c>
      <c r="HX23" s="195" t="s">
        <v>1054</v>
      </c>
      <c r="HY23" s="115" t="s">
        <v>634</v>
      </c>
      <c r="HZ23" s="115" t="s">
        <v>1586</v>
      </c>
      <c r="IA23" s="195" t="s">
        <v>1054</v>
      </c>
      <c r="IB23" s="115" t="s">
        <v>24</v>
      </c>
      <c r="IC23" s="115" t="s">
        <v>634</v>
      </c>
      <c r="ID23" s="233" t="s">
        <v>24</v>
      </c>
      <c r="IE23" s="115" t="s">
        <v>24</v>
      </c>
      <c r="IF23" s="185" t="s">
        <v>24</v>
      </c>
      <c r="IG23" s="185" t="s">
        <v>141</v>
      </c>
      <c r="IH23" s="185" t="s">
        <v>169</v>
      </c>
      <c r="II23" s="185" t="s">
        <v>2543</v>
      </c>
      <c r="IJ23" s="185" t="s">
        <v>2543</v>
      </c>
      <c r="IK23" s="185" t="s">
        <v>24</v>
      </c>
      <c r="IL23" s="185" t="s">
        <v>24</v>
      </c>
      <c r="IM23" s="115" t="s">
        <v>24</v>
      </c>
      <c r="IN23" s="115" t="s">
        <v>24</v>
      </c>
      <c r="IO23" s="159" t="s">
        <v>141</v>
      </c>
      <c r="IP23" s="159" t="s">
        <v>141</v>
      </c>
      <c r="IQ23" s="115" t="s">
        <v>24</v>
      </c>
      <c r="IR23" s="115" t="s">
        <v>24</v>
      </c>
      <c r="IS23" s="115" t="s">
        <v>24</v>
      </c>
      <c r="IT23" s="115" t="s">
        <v>24</v>
      </c>
      <c r="IU23" s="115" t="s">
        <v>24</v>
      </c>
      <c r="IV23" s="115" t="s">
        <v>24</v>
      </c>
      <c r="IW23" s="115" t="s">
        <v>24</v>
      </c>
      <c r="IX23" s="159"/>
      <c r="IY23" s="115" t="s">
        <v>24</v>
      </c>
      <c r="IZ23" s="115" t="s">
        <v>24</v>
      </c>
      <c r="JA23" s="159" t="s">
        <v>1586</v>
      </c>
      <c r="JB23" s="115" t="s">
        <v>1427</v>
      </c>
      <c r="JC23" s="115" t="s">
        <v>1427</v>
      </c>
      <c r="JD23" s="159" t="s">
        <v>1586</v>
      </c>
      <c r="JE23" s="159" t="s">
        <v>1586</v>
      </c>
      <c r="JF23" s="115" t="s">
        <v>745</v>
      </c>
      <c r="JG23" s="159" t="s">
        <v>634</v>
      </c>
      <c r="JH23" s="115" t="s">
        <v>745</v>
      </c>
      <c r="JI23" s="159" t="s">
        <v>634</v>
      </c>
      <c r="JJ23" s="245" t="s">
        <v>313</v>
      </c>
      <c r="JK23" s="245" t="s">
        <v>313</v>
      </c>
      <c r="JL23" s="245" t="s">
        <v>313</v>
      </c>
      <c r="JM23" s="245" t="s">
        <v>313</v>
      </c>
      <c r="JN23" s="115" t="s">
        <v>1054</v>
      </c>
      <c r="JO23" s="115" t="s">
        <v>634</v>
      </c>
      <c r="JP23" s="159" t="s">
        <v>634</v>
      </c>
      <c r="JQ23" s="159" t="s">
        <v>2543</v>
      </c>
      <c r="JR23" s="159" t="s">
        <v>24</v>
      </c>
      <c r="JS23" s="159" t="s">
        <v>1586</v>
      </c>
      <c r="JT23" s="159" t="s">
        <v>1586</v>
      </c>
      <c r="JU23" s="159" t="s">
        <v>1586</v>
      </c>
      <c r="JV23" s="159" t="s">
        <v>1586</v>
      </c>
      <c r="JW23" s="159" t="s">
        <v>1586</v>
      </c>
      <c r="JX23" s="115" t="s">
        <v>24</v>
      </c>
      <c r="JY23" s="115" t="s">
        <v>634</v>
      </c>
      <c r="JZ23" s="115" t="s">
        <v>1586</v>
      </c>
      <c r="KA23" s="115" t="s">
        <v>634</v>
      </c>
      <c r="KB23" s="115" t="s">
        <v>24</v>
      </c>
      <c r="KC23" s="115" t="s">
        <v>24</v>
      </c>
      <c r="KD23" s="159" t="s">
        <v>1586</v>
      </c>
      <c r="KE23" s="159" t="s">
        <v>1586</v>
      </c>
      <c r="KF23" s="159" t="s">
        <v>1586</v>
      </c>
      <c r="KG23" s="115" t="s">
        <v>24</v>
      </c>
      <c r="KH23" s="115" t="s">
        <v>1054</v>
      </c>
      <c r="KI23" s="115" t="s">
        <v>24</v>
      </c>
      <c r="KJ23" s="115" t="s">
        <v>634</v>
      </c>
      <c r="KK23" s="115" t="s">
        <v>634</v>
      </c>
      <c r="KL23" s="115" t="s">
        <v>1427</v>
      </c>
      <c r="KM23" s="195" t="s">
        <v>24</v>
      </c>
      <c r="KN23" s="187" t="s">
        <v>2543</v>
      </c>
      <c r="KO23" s="159" t="s">
        <v>2543</v>
      </c>
      <c r="KP23" s="115" t="s">
        <v>2543</v>
      </c>
      <c r="KQ23" s="159" t="s">
        <v>2543</v>
      </c>
      <c r="KR23" s="115" t="s">
        <v>634</v>
      </c>
      <c r="KS23" s="115" t="s">
        <v>634</v>
      </c>
      <c r="KT23" s="115" t="s">
        <v>634</v>
      </c>
      <c r="KU23" s="115" t="s">
        <v>634</v>
      </c>
      <c r="KV23" s="115" t="s">
        <v>634</v>
      </c>
      <c r="KW23" s="115" t="s">
        <v>634</v>
      </c>
      <c r="KX23" s="115" t="s">
        <v>634</v>
      </c>
      <c r="KY23" s="245" t="s">
        <v>848</v>
      </c>
      <c r="KZ23" s="245" t="s">
        <v>848</v>
      </c>
      <c r="LA23" s="187" t="s">
        <v>24</v>
      </c>
      <c r="LB23" s="115" t="s">
        <v>634</v>
      </c>
      <c r="LC23" s="115" t="s">
        <v>2543</v>
      </c>
      <c r="LD23" s="115" t="s">
        <v>2543</v>
      </c>
      <c r="LE23" s="115" t="s">
        <v>2543</v>
      </c>
      <c r="LF23" s="115" t="s">
        <v>2543</v>
      </c>
      <c r="LG23" s="115" t="s">
        <v>2543</v>
      </c>
      <c r="LH23" s="115" t="s">
        <v>24</v>
      </c>
      <c r="LI23" s="115" t="s">
        <v>24</v>
      </c>
      <c r="LJ23" s="115" t="s">
        <v>1054</v>
      </c>
      <c r="LK23" s="115" t="s">
        <v>24</v>
      </c>
      <c r="LL23" s="187" t="s">
        <v>24</v>
      </c>
      <c r="LM23" s="120" t="s">
        <v>24</v>
      </c>
      <c r="LN23" s="265" t="s">
        <v>24</v>
      </c>
      <c r="LO23" s="195" t="s">
        <v>1054</v>
      </c>
      <c r="LP23" s="115" t="s">
        <v>24</v>
      </c>
      <c r="LQ23" s="263" t="s">
        <v>24</v>
      </c>
      <c r="LR23" s="115" t="s">
        <v>2543</v>
      </c>
      <c r="LS23" s="115" t="s">
        <v>634</v>
      </c>
      <c r="LT23" s="115" t="s">
        <v>848</v>
      </c>
      <c r="LU23" s="115" t="s">
        <v>848</v>
      </c>
      <c r="LV23" s="286" t="s">
        <v>848</v>
      </c>
      <c r="LW23" s="115" t="s">
        <v>848</v>
      </c>
      <c r="LX23" s="115" t="s">
        <v>24</v>
      </c>
      <c r="LY23" s="115" t="s">
        <v>24</v>
      </c>
      <c r="LZ23" s="115" t="s">
        <v>24</v>
      </c>
      <c r="MA23" s="115" t="s">
        <v>24</v>
      </c>
      <c r="MB23" s="115" t="s">
        <v>24</v>
      </c>
      <c r="MC23" s="115" t="s">
        <v>24</v>
      </c>
      <c r="MD23" s="115" t="s">
        <v>24</v>
      </c>
    </row>
    <row r="24" spans="1:342" ht="14.4" x14ac:dyDescent="0.3">
      <c r="A24" s="92">
        <v>21</v>
      </c>
      <c r="B24" s="310"/>
      <c r="C24" s="55" t="s">
        <v>462</v>
      </c>
      <c r="D24" s="14" t="s">
        <v>442</v>
      </c>
      <c r="E24" s="41">
        <v>0</v>
      </c>
      <c r="F24" s="41">
        <v>0</v>
      </c>
      <c r="G24" s="92">
        <v>0</v>
      </c>
      <c r="H24" s="92">
        <v>0</v>
      </c>
      <c r="I24" s="92">
        <v>0</v>
      </c>
      <c r="J24" s="92">
        <v>0</v>
      </c>
      <c r="K24" s="92">
        <v>0</v>
      </c>
      <c r="L24" s="92">
        <v>0</v>
      </c>
      <c r="M24" s="92">
        <v>0</v>
      </c>
      <c r="N24" s="92">
        <v>0</v>
      </c>
      <c r="O24" s="92">
        <v>0</v>
      </c>
      <c r="P24" s="92">
        <v>0</v>
      </c>
      <c r="Q24" s="92">
        <v>0</v>
      </c>
      <c r="R24" s="92">
        <v>0</v>
      </c>
      <c r="S24" s="92">
        <v>0</v>
      </c>
      <c r="T24" s="92">
        <v>0</v>
      </c>
      <c r="U24" s="92">
        <v>0</v>
      </c>
      <c r="V24" s="92">
        <v>0</v>
      </c>
      <c r="W24" s="92">
        <v>0</v>
      </c>
      <c r="X24" s="92">
        <v>0</v>
      </c>
      <c r="Y24" s="92">
        <v>0</v>
      </c>
      <c r="Z24" s="92">
        <v>0</v>
      </c>
      <c r="AA24" s="92">
        <v>0</v>
      </c>
      <c r="AB24" s="92">
        <v>0</v>
      </c>
      <c r="AC24" s="92">
        <v>0</v>
      </c>
      <c r="AD24" s="92">
        <v>0</v>
      </c>
      <c r="AE24" s="92">
        <v>0</v>
      </c>
      <c r="AF24" s="92">
        <v>0</v>
      </c>
      <c r="AG24" s="92">
        <v>0</v>
      </c>
      <c r="AH24" s="92">
        <v>0</v>
      </c>
      <c r="AI24" s="92">
        <v>0</v>
      </c>
      <c r="AJ24" s="92">
        <v>0</v>
      </c>
      <c r="AK24" s="92">
        <v>0</v>
      </c>
      <c r="AL24" s="92">
        <v>0</v>
      </c>
      <c r="AM24" s="92">
        <v>0</v>
      </c>
      <c r="AN24" s="92">
        <v>0</v>
      </c>
      <c r="AO24" s="92">
        <v>0</v>
      </c>
      <c r="AP24" s="92">
        <v>0</v>
      </c>
      <c r="AQ24" s="92">
        <v>0</v>
      </c>
      <c r="AR24" s="92">
        <v>0</v>
      </c>
      <c r="AS24" s="92">
        <v>0</v>
      </c>
      <c r="AT24" s="92">
        <v>0</v>
      </c>
      <c r="AU24" s="92">
        <v>0</v>
      </c>
      <c r="AV24" s="92">
        <v>0</v>
      </c>
      <c r="AW24" s="92">
        <v>0</v>
      </c>
      <c r="AX24" s="92">
        <v>0</v>
      </c>
      <c r="AY24" s="92">
        <v>0</v>
      </c>
      <c r="AZ24" s="92">
        <v>0</v>
      </c>
      <c r="BA24" s="92">
        <v>0</v>
      </c>
      <c r="BB24" s="92">
        <v>0</v>
      </c>
      <c r="BC24" s="92">
        <v>0</v>
      </c>
      <c r="BD24" s="92">
        <v>0</v>
      </c>
      <c r="BE24" s="92">
        <v>0</v>
      </c>
      <c r="BF24" s="92">
        <v>0</v>
      </c>
      <c r="BG24" s="92">
        <v>0</v>
      </c>
      <c r="BH24" s="92">
        <v>0</v>
      </c>
      <c r="BI24" s="92">
        <v>0</v>
      </c>
      <c r="BJ24" s="92">
        <v>0</v>
      </c>
      <c r="BK24" s="105">
        <v>0</v>
      </c>
      <c r="BL24" s="105">
        <v>0</v>
      </c>
      <c r="BM24" s="105">
        <v>0</v>
      </c>
      <c r="BN24" s="105">
        <v>0</v>
      </c>
      <c r="BO24" s="105">
        <v>0</v>
      </c>
      <c r="BP24" s="105">
        <v>0</v>
      </c>
      <c r="BQ24" s="105">
        <v>0</v>
      </c>
      <c r="BR24" s="117">
        <v>0</v>
      </c>
      <c r="BS24" s="105">
        <v>0</v>
      </c>
      <c r="BT24" s="105">
        <v>1242</v>
      </c>
      <c r="BU24" s="155">
        <v>0</v>
      </c>
      <c r="BV24" s="69">
        <v>0</v>
      </c>
      <c r="BW24" s="69">
        <v>0</v>
      </c>
      <c r="BX24" s="155">
        <v>0</v>
      </c>
      <c r="BY24" s="155">
        <v>0</v>
      </c>
      <c r="BZ24" s="155">
        <v>0</v>
      </c>
      <c r="CA24" s="41">
        <v>244</v>
      </c>
      <c r="CB24" s="41">
        <v>935</v>
      </c>
      <c r="CC24" s="41">
        <v>972</v>
      </c>
      <c r="CD24" s="41">
        <v>33652</v>
      </c>
      <c r="CE24" s="41">
        <v>1470</v>
      </c>
      <c r="CF24" s="41">
        <v>2562</v>
      </c>
      <c r="CG24" s="41">
        <v>2805</v>
      </c>
      <c r="CH24" s="41">
        <v>54612</v>
      </c>
      <c r="CI24" s="41">
        <v>540</v>
      </c>
      <c r="CJ24" s="41">
        <v>774</v>
      </c>
      <c r="CK24" s="41">
        <v>568</v>
      </c>
      <c r="CL24" s="41">
        <v>20</v>
      </c>
      <c r="CM24" s="41">
        <v>5576</v>
      </c>
      <c r="CN24" s="41">
        <v>6457</v>
      </c>
      <c r="CO24" s="41">
        <v>2544</v>
      </c>
      <c r="CP24" s="41">
        <v>21042</v>
      </c>
      <c r="CQ24" s="41">
        <v>120</v>
      </c>
      <c r="CR24" s="41">
        <v>7808</v>
      </c>
      <c r="CS24" s="41">
        <v>39</v>
      </c>
      <c r="CT24" s="41">
        <v>183</v>
      </c>
      <c r="CU24" s="41">
        <v>700</v>
      </c>
      <c r="CV24" s="41">
        <v>5050</v>
      </c>
      <c r="CW24" s="41">
        <v>5</v>
      </c>
      <c r="CX24" s="41">
        <v>20</v>
      </c>
      <c r="CY24" s="41">
        <v>20</v>
      </c>
      <c r="CZ24" s="41">
        <v>9</v>
      </c>
      <c r="DA24" s="41">
        <v>11</v>
      </c>
      <c r="DB24" s="41">
        <v>4</v>
      </c>
      <c r="DC24" s="41">
        <v>5</v>
      </c>
      <c r="DD24" s="41">
        <v>112</v>
      </c>
      <c r="DE24" s="41">
        <v>11</v>
      </c>
      <c r="DF24" s="41">
        <v>9</v>
      </c>
      <c r="DG24" s="41">
        <v>100</v>
      </c>
      <c r="DH24" s="41">
        <v>7</v>
      </c>
      <c r="DI24" s="41">
        <v>6</v>
      </c>
      <c r="DJ24" s="41">
        <v>21</v>
      </c>
      <c r="DK24" s="41">
        <v>0</v>
      </c>
      <c r="DL24" s="41">
        <v>0</v>
      </c>
      <c r="DM24" s="41">
        <v>384</v>
      </c>
      <c r="DN24" s="41">
        <v>48</v>
      </c>
      <c r="DO24" s="41">
        <v>336</v>
      </c>
      <c r="DP24" s="41">
        <v>0</v>
      </c>
      <c r="DQ24" s="105">
        <v>0</v>
      </c>
      <c r="DR24" s="105">
        <v>0</v>
      </c>
      <c r="DS24" s="105">
        <v>0</v>
      </c>
      <c r="DT24" s="105">
        <v>0</v>
      </c>
      <c r="DU24" s="41">
        <v>8130</v>
      </c>
      <c r="DV24" s="105">
        <v>0</v>
      </c>
      <c r="DW24" s="115">
        <v>3839</v>
      </c>
      <c r="DX24" s="115">
        <v>910</v>
      </c>
      <c r="DY24" s="115">
        <v>520</v>
      </c>
      <c r="DZ24" s="115">
        <v>312</v>
      </c>
      <c r="EA24" s="115">
        <v>1170</v>
      </c>
      <c r="EB24" s="115">
        <v>624</v>
      </c>
      <c r="EC24" s="115">
        <v>1450</v>
      </c>
      <c r="ED24" s="115">
        <v>598</v>
      </c>
      <c r="EE24" s="115">
        <v>598</v>
      </c>
      <c r="EF24" s="115">
        <v>1150</v>
      </c>
      <c r="EG24" s="115">
        <v>1150</v>
      </c>
      <c r="EH24" s="115">
        <v>59472</v>
      </c>
      <c r="EI24" s="187">
        <v>88</v>
      </c>
      <c r="EJ24" s="115">
        <v>604</v>
      </c>
      <c r="EK24" s="155">
        <v>20</v>
      </c>
      <c r="EL24" s="115">
        <v>1545</v>
      </c>
      <c r="EM24" s="155">
        <v>2091</v>
      </c>
      <c r="EN24" s="115">
        <v>490</v>
      </c>
      <c r="EO24" s="115">
        <v>27</v>
      </c>
      <c r="EP24" s="115">
        <v>27</v>
      </c>
      <c r="EQ24" s="115">
        <v>1134</v>
      </c>
      <c r="ER24" s="115">
        <v>116</v>
      </c>
      <c r="ES24" s="115">
        <v>56</v>
      </c>
      <c r="ET24" s="115">
        <v>49</v>
      </c>
      <c r="EU24" s="184">
        <v>128</v>
      </c>
      <c r="EV24" s="184">
        <v>56</v>
      </c>
      <c r="EW24" s="185">
        <v>90</v>
      </c>
      <c r="EX24" s="155">
        <v>52</v>
      </c>
      <c r="EY24" s="155">
        <v>258</v>
      </c>
      <c r="EZ24" s="155">
        <v>53</v>
      </c>
      <c r="FA24" s="41">
        <v>2436</v>
      </c>
      <c r="FB24" s="41">
        <v>812</v>
      </c>
      <c r="FC24" s="41">
        <v>3654</v>
      </c>
      <c r="FD24" s="41">
        <v>1218</v>
      </c>
      <c r="FE24" s="41">
        <v>24</v>
      </c>
      <c r="FF24" s="41">
        <v>293</v>
      </c>
      <c r="FG24" s="41">
        <v>121</v>
      </c>
      <c r="FH24" s="41">
        <v>228</v>
      </c>
      <c r="FI24" s="41">
        <v>32</v>
      </c>
      <c r="FJ24" s="41">
        <v>72</v>
      </c>
      <c r="FK24" s="41">
        <v>72</v>
      </c>
      <c r="FL24" s="41">
        <v>137</v>
      </c>
      <c r="FM24" s="200">
        <v>1111</v>
      </c>
      <c r="FN24" s="155">
        <v>75</v>
      </c>
      <c r="FO24" s="187">
        <v>7</v>
      </c>
      <c r="FP24" s="187">
        <v>51</v>
      </c>
      <c r="FQ24" s="187">
        <v>18</v>
      </c>
      <c r="FR24" s="115">
        <v>121</v>
      </c>
      <c r="FS24" s="187">
        <v>1607</v>
      </c>
      <c r="FT24" s="155">
        <v>2964</v>
      </c>
      <c r="FU24" s="69">
        <v>7</v>
      </c>
      <c r="FV24" s="184">
        <v>40</v>
      </c>
      <c r="FW24" s="184">
        <v>374</v>
      </c>
      <c r="FX24" s="185">
        <v>64</v>
      </c>
      <c r="FY24" s="115">
        <v>135</v>
      </c>
      <c r="FZ24" s="115">
        <v>59472</v>
      </c>
      <c r="GA24" s="115">
        <v>24</v>
      </c>
      <c r="GB24" s="115">
        <v>420</v>
      </c>
      <c r="GC24" s="115">
        <v>145</v>
      </c>
      <c r="GD24" s="155">
        <v>747</v>
      </c>
      <c r="GE24" s="115">
        <v>3960</v>
      </c>
      <c r="GF24" s="183">
        <v>128</v>
      </c>
      <c r="GG24" s="208">
        <v>15</v>
      </c>
      <c r="GH24" s="212">
        <v>14</v>
      </c>
      <c r="GI24" s="213">
        <v>60</v>
      </c>
      <c r="GJ24" s="183">
        <v>194</v>
      </c>
      <c r="GK24" s="159">
        <v>180</v>
      </c>
      <c r="GL24" s="183">
        <v>232</v>
      </c>
      <c r="GM24" s="185">
        <v>79</v>
      </c>
      <c r="GN24" s="115">
        <v>371</v>
      </c>
      <c r="GO24" s="185">
        <v>4473</v>
      </c>
      <c r="GP24" s="183">
        <v>32</v>
      </c>
      <c r="GQ24" s="208">
        <v>25</v>
      </c>
      <c r="GR24" s="183">
        <v>36</v>
      </c>
      <c r="GS24" s="115">
        <v>45</v>
      </c>
      <c r="GT24" s="69">
        <v>419</v>
      </c>
      <c r="GU24" s="115">
        <v>94</v>
      </c>
      <c r="GV24" s="115">
        <v>134</v>
      </c>
      <c r="GW24" s="115">
        <v>105</v>
      </c>
      <c r="GX24" s="115">
        <v>549</v>
      </c>
      <c r="GY24" s="115">
        <v>59</v>
      </c>
      <c r="GZ24" s="187">
        <v>122</v>
      </c>
      <c r="HA24" s="183">
        <v>1220</v>
      </c>
      <c r="HB24" s="159">
        <v>1890</v>
      </c>
      <c r="HC24" s="183">
        <v>1561</v>
      </c>
      <c r="HD24" s="115">
        <v>72</v>
      </c>
      <c r="HE24" s="115">
        <v>340</v>
      </c>
      <c r="HF24" s="115">
        <v>84</v>
      </c>
      <c r="HG24" s="155">
        <v>12</v>
      </c>
      <c r="HH24" s="115">
        <v>52</v>
      </c>
      <c r="HI24" s="226">
        <v>117</v>
      </c>
      <c r="HJ24" s="185">
        <v>108</v>
      </c>
      <c r="HK24" s="185">
        <v>232</v>
      </c>
      <c r="HL24" s="212">
        <v>144</v>
      </c>
      <c r="HM24" s="155">
        <v>709</v>
      </c>
      <c r="HN24" s="115">
        <v>1900</v>
      </c>
      <c r="HO24" s="184">
        <v>360</v>
      </c>
      <c r="HP24" s="184">
        <v>80</v>
      </c>
      <c r="HQ24" s="184">
        <v>324</v>
      </c>
      <c r="HR24" s="184">
        <v>592</v>
      </c>
      <c r="HS24" s="115">
        <v>3030</v>
      </c>
      <c r="HT24" s="115">
        <v>18119</v>
      </c>
      <c r="HU24" s="184">
        <v>144</v>
      </c>
      <c r="HV24" s="184">
        <v>875</v>
      </c>
      <c r="HW24" s="115">
        <v>30</v>
      </c>
      <c r="HX24" s="184">
        <v>638</v>
      </c>
      <c r="HY24" s="115">
        <v>644</v>
      </c>
      <c r="HZ24" s="115">
        <v>240</v>
      </c>
      <c r="IA24" s="184">
        <v>1408</v>
      </c>
      <c r="IB24" s="69">
        <v>219</v>
      </c>
      <c r="IC24" s="115">
        <v>238</v>
      </c>
      <c r="ID24" s="115">
        <v>504</v>
      </c>
      <c r="IE24" s="115">
        <v>7</v>
      </c>
      <c r="IF24" s="185">
        <v>2688</v>
      </c>
      <c r="IG24" s="185">
        <v>16720</v>
      </c>
      <c r="IH24" s="185">
        <v>55130</v>
      </c>
      <c r="II24" s="185">
        <v>30</v>
      </c>
      <c r="IJ24" s="185">
        <v>429</v>
      </c>
      <c r="IK24" s="185">
        <v>12</v>
      </c>
      <c r="IL24" s="185">
        <v>2520</v>
      </c>
      <c r="IM24" s="115">
        <v>3</v>
      </c>
      <c r="IN24" s="115">
        <v>768</v>
      </c>
      <c r="IO24" s="183">
        <v>11648</v>
      </c>
      <c r="IP24" s="213">
        <v>13200</v>
      </c>
      <c r="IQ24" s="69">
        <v>176</v>
      </c>
      <c r="IR24" s="115">
        <v>720</v>
      </c>
      <c r="IS24" s="115">
        <v>92</v>
      </c>
      <c r="IT24" s="159">
        <v>308</v>
      </c>
      <c r="IU24" s="115">
        <v>192</v>
      </c>
      <c r="IV24" s="115">
        <v>21345</v>
      </c>
      <c r="IW24" s="115">
        <v>51</v>
      </c>
      <c r="IX24" s="159"/>
      <c r="IY24" s="115">
        <v>63</v>
      </c>
      <c r="IZ24" s="115">
        <v>63</v>
      </c>
      <c r="JA24" s="115">
        <v>720</v>
      </c>
      <c r="JB24" s="115">
        <v>108</v>
      </c>
      <c r="JC24" s="115">
        <v>24</v>
      </c>
      <c r="JD24" s="115">
        <v>86</v>
      </c>
      <c r="JE24" s="115">
        <v>2041</v>
      </c>
      <c r="JF24" s="115">
        <v>11</v>
      </c>
      <c r="JG24" s="115">
        <v>57</v>
      </c>
      <c r="JH24" s="115">
        <v>736</v>
      </c>
      <c r="JI24" s="115">
        <v>33</v>
      </c>
      <c r="JJ24" s="246">
        <v>196</v>
      </c>
      <c r="JK24" s="246">
        <v>41</v>
      </c>
      <c r="JL24" s="246">
        <v>37</v>
      </c>
      <c r="JM24" s="246">
        <v>257</v>
      </c>
      <c r="JN24" s="115">
        <v>47</v>
      </c>
      <c r="JO24" s="115">
        <v>12</v>
      </c>
      <c r="JP24" s="115">
        <v>225</v>
      </c>
      <c r="JQ24" s="213">
        <v>59</v>
      </c>
      <c r="JR24" s="115">
        <v>118</v>
      </c>
      <c r="JS24" s="115">
        <v>840</v>
      </c>
      <c r="JT24" s="115">
        <v>55</v>
      </c>
      <c r="JU24" s="115">
        <v>45</v>
      </c>
      <c r="JV24" s="115">
        <v>40</v>
      </c>
      <c r="JW24" s="115">
        <v>40</v>
      </c>
      <c r="JX24" s="159">
        <v>22</v>
      </c>
      <c r="JY24" s="159">
        <v>101</v>
      </c>
      <c r="JZ24" s="159">
        <v>23</v>
      </c>
      <c r="KA24" s="159">
        <v>307</v>
      </c>
      <c r="KB24" s="159">
        <v>20</v>
      </c>
      <c r="KC24" s="159">
        <v>17</v>
      </c>
      <c r="KD24" s="115">
        <v>66</v>
      </c>
      <c r="KE24" s="159">
        <v>10080</v>
      </c>
      <c r="KF24" s="115">
        <v>60</v>
      </c>
      <c r="KG24" s="115">
        <v>46</v>
      </c>
      <c r="KH24" s="115">
        <v>34</v>
      </c>
      <c r="KI24" s="115">
        <v>2191</v>
      </c>
      <c r="KJ24" s="115">
        <v>6</v>
      </c>
      <c r="KK24" s="115">
        <v>147</v>
      </c>
      <c r="KL24" s="115">
        <v>157</v>
      </c>
      <c r="KM24" s="115">
        <v>1938</v>
      </c>
      <c r="KN24" s="187">
        <v>91</v>
      </c>
      <c r="KO24" s="115">
        <v>147</v>
      </c>
      <c r="KP24" s="155">
        <v>34</v>
      </c>
      <c r="KQ24" s="115">
        <v>371</v>
      </c>
      <c r="KR24" s="115">
        <v>750</v>
      </c>
      <c r="KS24" s="115">
        <v>2162</v>
      </c>
      <c r="KT24" s="115">
        <v>9214</v>
      </c>
      <c r="KU24" s="115">
        <v>17087</v>
      </c>
      <c r="KV24" s="115">
        <v>20654</v>
      </c>
      <c r="KW24" s="115">
        <v>2070</v>
      </c>
      <c r="KX24" s="115">
        <v>93</v>
      </c>
      <c r="KY24" s="245">
        <v>159</v>
      </c>
      <c r="KZ24" s="243">
        <v>39</v>
      </c>
      <c r="LA24" s="155">
        <v>504</v>
      </c>
      <c r="LB24" s="115">
        <v>44</v>
      </c>
      <c r="LC24" s="115">
        <v>126</v>
      </c>
      <c r="LD24" s="115">
        <v>200</v>
      </c>
      <c r="LE24" s="115">
        <v>136</v>
      </c>
      <c r="LF24" s="115">
        <v>597</v>
      </c>
      <c r="LG24" s="115">
        <v>5763</v>
      </c>
      <c r="LH24" s="155">
        <v>35</v>
      </c>
      <c r="LI24" s="185">
        <v>19</v>
      </c>
      <c r="LJ24" s="155">
        <v>20</v>
      </c>
      <c r="LK24" s="115">
        <v>1463</v>
      </c>
      <c r="LL24" s="155">
        <v>4836</v>
      </c>
      <c r="LM24" s="274">
        <v>372</v>
      </c>
      <c r="LN24" s="263">
        <v>21</v>
      </c>
      <c r="LO24" s="184">
        <v>36960</v>
      </c>
      <c r="LP24" s="115">
        <v>564</v>
      </c>
      <c r="LQ24" s="263">
        <v>102</v>
      </c>
      <c r="LR24" s="115">
        <v>46</v>
      </c>
      <c r="LS24" s="155">
        <v>2</v>
      </c>
      <c r="LT24" s="115">
        <v>301</v>
      </c>
      <c r="LU24" s="115">
        <v>1064</v>
      </c>
      <c r="LV24" s="286">
        <v>3000</v>
      </c>
      <c r="LW24" s="115">
        <v>473</v>
      </c>
      <c r="LX24" s="115">
        <v>1638</v>
      </c>
      <c r="LY24" s="115">
        <v>448</v>
      </c>
      <c r="LZ24" s="185">
        <v>405</v>
      </c>
      <c r="MA24" s="185">
        <v>9423</v>
      </c>
      <c r="MB24" s="115">
        <v>4531</v>
      </c>
      <c r="MC24" s="115">
        <v>81</v>
      </c>
      <c r="MD24" s="115">
        <v>96</v>
      </c>
    </row>
    <row r="25" spans="1:342" ht="14.4" x14ac:dyDescent="0.3">
      <c r="A25" s="92">
        <v>22</v>
      </c>
      <c r="B25" s="310"/>
      <c r="C25" s="56" t="s">
        <v>438</v>
      </c>
      <c r="D25" s="29"/>
      <c r="E25" s="95" t="s">
        <v>11</v>
      </c>
      <c r="F25" s="96" t="s">
        <v>11</v>
      </c>
      <c r="G25" s="96" t="s">
        <v>11</v>
      </c>
      <c r="H25" s="97" t="s">
        <v>66</v>
      </c>
      <c r="I25" s="96" t="s">
        <v>11</v>
      </c>
      <c r="J25" s="96" t="s">
        <v>11</v>
      </c>
      <c r="K25" s="96" t="s">
        <v>11</v>
      </c>
      <c r="L25" s="96" t="s">
        <v>11</v>
      </c>
      <c r="M25" s="96" t="s">
        <v>11</v>
      </c>
      <c r="N25" s="96" t="s">
        <v>11</v>
      </c>
      <c r="O25" s="96" t="s">
        <v>11</v>
      </c>
      <c r="P25" s="96" t="s">
        <v>11</v>
      </c>
      <c r="Q25" s="96" t="s">
        <v>11</v>
      </c>
      <c r="R25" s="96" t="s">
        <v>11</v>
      </c>
      <c r="S25" s="98" t="s">
        <v>170</v>
      </c>
      <c r="T25" s="98" t="s">
        <v>170</v>
      </c>
      <c r="U25" s="96" t="s">
        <v>11</v>
      </c>
      <c r="V25" s="96" t="s">
        <v>11</v>
      </c>
      <c r="W25" s="96" t="s">
        <v>11</v>
      </c>
      <c r="X25" s="96" t="s">
        <v>11</v>
      </c>
      <c r="Y25" s="96" t="s">
        <v>11</v>
      </c>
      <c r="Z25" s="96" t="s">
        <v>11</v>
      </c>
      <c r="AA25" s="96" t="s">
        <v>11</v>
      </c>
      <c r="AB25" s="99" t="s">
        <v>11</v>
      </c>
      <c r="AC25" s="99" t="s">
        <v>11</v>
      </c>
      <c r="AD25" s="99" t="s">
        <v>11</v>
      </c>
      <c r="AE25" s="99" t="s">
        <v>11</v>
      </c>
      <c r="AF25" s="99" t="s">
        <v>11</v>
      </c>
      <c r="AG25" s="99" t="s">
        <v>11</v>
      </c>
      <c r="AH25" s="99" t="s">
        <v>11</v>
      </c>
      <c r="AI25" s="99" t="s">
        <v>11</v>
      </c>
      <c r="AJ25" s="99" t="s">
        <v>11</v>
      </c>
      <c r="AK25" s="99" t="s">
        <v>11</v>
      </c>
      <c r="AL25" s="99" t="s">
        <v>11</v>
      </c>
      <c r="AM25" s="99" t="s">
        <v>11</v>
      </c>
      <c r="AN25" s="99" t="s">
        <v>11</v>
      </c>
      <c r="AO25" s="99" t="s">
        <v>11</v>
      </c>
      <c r="AP25" s="99" t="s">
        <v>11</v>
      </c>
      <c r="AQ25" s="99" t="s">
        <v>11</v>
      </c>
      <c r="AR25" s="99" t="s">
        <v>1135</v>
      </c>
      <c r="AS25" s="99" t="s">
        <v>11</v>
      </c>
      <c r="AT25" s="96" t="s">
        <v>11</v>
      </c>
      <c r="AU25" s="99" t="s">
        <v>11</v>
      </c>
      <c r="AV25" s="99" t="s">
        <v>11</v>
      </c>
      <c r="AW25" s="99" t="s">
        <v>11</v>
      </c>
      <c r="AX25" s="100" t="s">
        <v>11</v>
      </c>
      <c r="AY25" s="96" t="s">
        <v>11</v>
      </c>
      <c r="AZ25" s="96" t="s">
        <v>11</v>
      </c>
      <c r="BA25" s="97" t="s">
        <v>11</v>
      </c>
      <c r="BB25" s="97" t="s">
        <v>11</v>
      </c>
      <c r="BC25" s="97" t="s">
        <v>11</v>
      </c>
      <c r="BD25" s="101" t="s">
        <v>11</v>
      </c>
      <c r="BE25" s="101" t="s">
        <v>11</v>
      </c>
      <c r="BF25" s="101" t="s">
        <v>11</v>
      </c>
      <c r="BG25" s="101" t="s">
        <v>11</v>
      </c>
      <c r="BH25" s="101" t="s">
        <v>11</v>
      </c>
      <c r="BI25" s="101" t="s">
        <v>11</v>
      </c>
      <c r="BJ25" s="101" t="s">
        <v>11</v>
      </c>
      <c r="BK25" s="97" t="s">
        <v>1122</v>
      </c>
      <c r="BL25" s="97" t="s">
        <v>11</v>
      </c>
      <c r="BM25" s="116" t="s">
        <v>1043</v>
      </c>
      <c r="BN25" s="116" t="s">
        <v>1051</v>
      </c>
      <c r="BO25" s="116" t="s">
        <v>1066</v>
      </c>
      <c r="BP25" s="116" t="s">
        <v>1075</v>
      </c>
      <c r="BQ25" s="116" t="s">
        <v>1084</v>
      </c>
      <c r="BR25" s="117" t="s">
        <v>1397</v>
      </c>
      <c r="BS25" s="105" t="s">
        <v>11</v>
      </c>
      <c r="BT25" s="105" t="s">
        <v>11</v>
      </c>
      <c r="BU25" s="115" t="s">
        <v>11</v>
      </c>
      <c r="BV25" s="115" t="s">
        <v>1454</v>
      </c>
      <c r="BW25" s="115" t="s">
        <v>1466</v>
      </c>
      <c r="BX25" s="115" t="s">
        <v>1480</v>
      </c>
      <c r="BY25" s="115" t="s">
        <v>11</v>
      </c>
      <c r="BZ25" s="115" t="s">
        <v>11</v>
      </c>
      <c r="CA25" s="41" t="s">
        <v>11</v>
      </c>
      <c r="CB25" s="41" t="s">
        <v>1587</v>
      </c>
      <c r="CC25" s="41" t="s">
        <v>11</v>
      </c>
      <c r="CD25" s="41" t="s">
        <v>11</v>
      </c>
      <c r="CE25" s="41" t="s">
        <v>1639</v>
      </c>
      <c r="CF25" s="41" t="s">
        <v>11</v>
      </c>
      <c r="CG25" s="41" t="s">
        <v>1587</v>
      </c>
      <c r="CH25" s="41" t="s">
        <v>11</v>
      </c>
      <c r="CI25" s="41" t="s">
        <v>1686</v>
      </c>
      <c r="CJ25" s="41" t="s">
        <v>1696</v>
      </c>
      <c r="CK25" s="41" t="s">
        <v>1555</v>
      </c>
      <c r="CL25" s="41" t="s">
        <v>1555</v>
      </c>
      <c r="CM25" s="41" t="s">
        <v>1721</v>
      </c>
      <c r="CN25" s="41" t="s">
        <v>11</v>
      </c>
      <c r="CO25" s="41" t="s">
        <v>1743</v>
      </c>
      <c r="CP25" s="41" t="s">
        <v>1757</v>
      </c>
      <c r="CQ25" s="41" t="s">
        <v>1774</v>
      </c>
      <c r="CR25" s="41" t="s">
        <v>11</v>
      </c>
      <c r="CS25" s="41" t="s">
        <v>11</v>
      </c>
      <c r="CT25" s="41" t="s">
        <v>11</v>
      </c>
      <c r="CU25" s="41" t="s">
        <v>11</v>
      </c>
      <c r="CV25" s="41" t="s">
        <v>11</v>
      </c>
      <c r="CW25" s="41" t="s">
        <v>1829</v>
      </c>
      <c r="CX25" s="41" t="s">
        <v>11</v>
      </c>
      <c r="CY25" s="41" t="s">
        <v>11</v>
      </c>
      <c r="CZ25" s="41" t="s">
        <v>11</v>
      </c>
      <c r="DA25" s="41" t="s">
        <v>11</v>
      </c>
      <c r="DB25" s="41" t="s">
        <v>11</v>
      </c>
      <c r="DC25" s="41" t="s">
        <v>11</v>
      </c>
      <c r="DD25" s="41" t="s">
        <v>11</v>
      </c>
      <c r="DE25" s="41" t="s">
        <v>11</v>
      </c>
      <c r="DF25" s="41" t="s">
        <v>11</v>
      </c>
      <c r="DG25" s="41" t="s">
        <v>1915</v>
      </c>
      <c r="DH25" s="41" t="s">
        <v>11</v>
      </c>
      <c r="DI25" s="41" t="s">
        <v>11</v>
      </c>
      <c r="DJ25" s="41" t="s">
        <v>1943</v>
      </c>
      <c r="DK25" s="41" t="s">
        <v>1959</v>
      </c>
      <c r="DL25" s="41" t="s">
        <v>1977</v>
      </c>
      <c r="DM25" s="41" t="s">
        <v>2053</v>
      </c>
      <c r="DN25" s="41" t="s">
        <v>2053</v>
      </c>
      <c r="DO25" s="41" t="s">
        <v>2077</v>
      </c>
      <c r="DP25" s="105" t="s">
        <v>2014</v>
      </c>
      <c r="DQ25" s="105" t="s">
        <v>2024</v>
      </c>
      <c r="DR25" s="105" t="s">
        <v>2027</v>
      </c>
      <c r="DS25" s="105" t="s">
        <v>2036</v>
      </c>
      <c r="DT25" s="105" t="s">
        <v>2044</v>
      </c>
      <c r="DU25" s="41" t="s">
        <v>11</v>
      </c>
      <c r="DV25" s="105" t="s">
        <v>2107</v>
      </c>
      <c r="DW25" s="115" t="s">
        <v>2175</v>
      </c>
      <c r="DX25" s="115" t="s">
        <v>2193</v>
      </c>
      <c r="DY25" s="115" t="s">
        <v>2211</v>
      </c>
      <c r="DZ25" s="115" t="s">
        <v>2225</v>
      </c>
      <c r="EA25" s="115" t="s">
        <v>2237</v>
      </c>
      <c r="EB25" s="115" t="s">
        <v>2249</v>
      </c>
      <c r="EC25" s="115" t="s">
        <v>2264</v>
      </c>
      <c r="ED25" s="115" t="s">
        <v>2278</v>
      </c>
      <c r="EE25" s="115" t="s">
        <v>2288</v>
      </c>
      <c r="EF25" s="115" t="s">
        <v>2295</v>
      </c>
      <c r="EG25" s="115" t="s">
        <v>2300</v>
      </c>
      <c r="EH25" s="115" t="s">
        <v>2308</v>
      </c>
      <c r="EI25" s="187" t="s">
        <v>2323</v>
      </c>
      <c r="EJ25" s="115" t="s">
        <v>11</v>
      </c>
      <c r="EK25" s="155" t="s">
        <v>2349</v>
      </c>
      <c r="EL25" s="185" t="s">
        <v>2365</v>
      </c>
      <c r="EM25" s="155" t="s">
        <v>2379</v>
      </c>
      <c r="EN25" s="115" t="s">
        <v>2393</v>
      </c>
      <c r="EO25" s="115" t="s">
        <v>2408</v>
      </c>
      <c r="EP25" s="115" t="s">
        <v>2423</v>
      </c>
      <c r="EQ25" s="115" t="s">
        <v>2437</v>
      </c>
      <c r="ER25" s="115" t="s">
        <v>2453</v>
      </c>
      <c r="ES25" s="115" t="s">
        <v>2469</v>
      </c>
      <c r="ET25" s="115" t="s">
        <v>2480</v>
      </c>
      <c r="EU25" s="115" t="s">
        <v>2496</v>
      </c>
      <c r="EV25" s="115" t="s">
        <v>2513</v>
      </c>
      <c r="EW25" s="115" t="s">
        <v>2529</v>
      </c>
      <c r="EX25" s="115" t="s">
        <v>11</v>
      </c>
      <c r="EY25" s="115" t="s">
        <v>2552</v>
      </c>
      <c r="EZ25" s="115" t="s">
        <v>11</v>
      </c>
      <c r="FA25" s="41" t="s">
        <v>2613</v>
      </c>
      <c r="FB25" s="41" t="s">
        <v>2622</v>
      </c>
      <c r="FC25" s="41" t="s">
        <v>2613</v>
      </c>
      <c r="FD25" s="41" t="s">
        <v>2622</v>
      </c>
      <c r="FE25" s="41" t="s">
        <v>11</v>
      </c>
      <c r="FF25" s="41" t="s">
        <v>2659</v>
      </c>
      <c r="FG25" s="41" t="s">
        <v>2671</v>
      </c>
      <c r="FH25" s="41" t="s">
        <v>2679</v>
      </c>
      <c r="FI25" s="41" t="s">
        <v>2689</v>
      </c>
      <c r="FK25" s="41" t="s">
        <v>2712</v>
      </c>
      <c r="FL25" s="41" t="s">
        <v>2723</v>
      </c>
      <c r="FM25" s="201" t="s">
        <v>11</v>
      </c>
      <c r="FN25" s="155" t="s">
        <v>2746</v>
      </c>
      <c r="FO25" s="187" t="s">
        <v>11</v>
      </c>
      <c r="FP25" s="187" t="s">
        <v>11</v>
      </c>
      <c r="FQ25" s="187" t="s">
        <v>11</v>
      </c>
      <c r="FR25" s="185" t="s">
        <v>2803</v>
      </c>
      <c r="FS25" s="155" t="s">
        <v>11</v>
      </c>
      <c r="FT25" s="155" t="s">
        <v>2825</v>
      </c>
      <c r="FU25" s="69" t="s">
        <v>2835</v>
      </c>
      <c r="FV25" s="115" t="s">
        <v>2851</v>
      </c>
      <c r="FW25" s="115" t="s">
        <v>2864</v>
      </c>
      <c r="FX25" s="115" t="s">
        <v>11</v>
      </c>
      <c r="FY25" s="115" t="s">
        <v>2885</v>
      </c>
      <c r="FZ25" s="115" t="s">
        <v>2895</v>
      </c>
      <c r="GA25" s="115" t="s">
        <v>11</v>
      </c>
      <c r="GB25" s="115" t="s">
        <v>11</v>
      </c>
      <c r="GC25" s="115" t="s">
        <v>11</v>
      </c>
      <c r="GD25" s="155" t="s">
        <v>2379</v>
      </c>
      <c r="GE25" s="115" t="s">
        <v>2949</v>
      </c>
      <c r="GF25" s="159" t="s">
        <v>11</v>
      </c>
      <c r="GG25" s="208"/>
      <c r="GH25" s="159" t="s">
        <v>2998</v>
      </c>
      <c r="GI25" s="159" t="s">
        <v>11</v>
      </c>
      <c r="GJ25" s="159" t="s">
        <v>11</v>
      </c>
      <c r="GK25" s="159" t="s">
        <v>3036</v>
      </c>
      <c r="GL25" s="115" t="s">
        <v>11</v>
      </c>
      <c r="GM25" s="115" t="s">
        <v>3057</v>
      </c>
      <c r="GN25" s="217" t="s">
        <v>3071</v>
      </c>
      <c r="GO25" s="115" t="s">
        <v>11</v>
      </c>
      <c r="GP25" s="115" t="s">
        <v>11</v>
      </c>
      <c r="GQ25" s="208" t="s">
        <v>3124</v>
      </c>
      <c r="GR25" s="115" t="s">
        <v>3140</v>
      </c>
      <c r="GS25" s="115" t="s">
        <v>3154</v>
      </c>
      <c r="GT25" s="115" t="s">
        <v>3170</v>
      </c>
      <c r="GU25" s="115" t="s">
        <v>3186</v>
      </c>
      <c r="GV25" s="115" t="s">
        <v>3205</v>
      </c>
      <c r="GW25" s="115" t="s">
        <v>3222</v>
      </c>
      <c r="GX25" s="115" t="s">
        <v>3236</v>
      </c>
      <c r="GY25" s="115" t="s">
        <v>3205</v>
      </c>
      <c r="GZ25" s="187" t="s">
        <v>11</v>
      </c>
      <c r="HA25" s="159" t="s">
        <v>11</v>
      </c>
      <c r="HB25" s="115" t="s">
        <v>3291</v>
      </c>
      <c r="HC25" s="159" t="s">
        <v>11</v>
      </c>
      <c r="HD25" s="115" t="s">
        <v>11</v>
      </c>
      <c r="HE25" s="185" t="s">
        <v>3323</v>
      </c>
      <c r="HF25" s="185" t="s">
        <v>3337</v>
      </c>
      <c r="HG25" s="187" t="s">
        <v>3291</v>
      </c>
      <c r="HH25" s="115" t="s">
        <v>11</v>
      </c>
      <c r="HI25" s="200" t="s">
        <v>3291</v>
      </c>
      <c r="HJ25" s="115" t="s">
        <v>11</v>
      </c>
      <c r="HK25" s="115" t="s">
        <v>11</v>
      </c>
      <c r="HL25" s="115" t="s">
        <v>3413</v>
      </c>
      <c r="HM25" s="115" t="s">
        <v>3430</v>
      </c>
      <c r="HN25" s="115" t="s">
        <v>3511</v>
      </c>
      <c r="HO25" s="115" t="s">
        <v>3524</v>
      </c>
      <c r="HP25" s="159" t="s">
        <v>3534</v>
      </c>
      <c r="HQ25" s="115" t="s">
        <v>3543</v>
      </c>
      <c r="HR25" s="159" t="s">
        <v>3553</v>
      </c>
      <c r="HS25" s="115" t="s">
        <v>3570</v>
      </c>
      <c r="HT25" s="115" t="s">
        <v>3585</v>
      </c>
      <c r="HU25" s="159" t="s">
        <v>3598</v>
      </c>
      <c r="HV25" s="115" t="s">
        <v>3603</v>
      </c>
      <c r="HW25" s="115" t="s">
        <v>3611</v>
      </c>
      <c r="HX25" s="115" t="s">
        <v>3619</v>
      </c>
      <c r="HY25" s="185" t="s">
        <v>3629</v>
      </c>
      <c r="HZ25" s="115" t="s">
        <v>3641</v>
      </c>
      <c r="IA25" s="115" t="s">
        <v>3653</v>
      </c>
      <c r="IB25" s="217" t="s">
        <v>3662</v>
      </c>
      <c r="IC25" s="185" t="s">
        <v>3674</v>
      </c>
      <c r="ID25" s="115" t="s">
        <v>11</v>
      </c>
      <c r="IE25" s="115" t="s">
        <v>3702</v>
      </c>
      <c r="IF25" s="185" t="s">
        <v>3718</v>
      </c>
      <c r="IG25" s="185" t="s">
        <v>11</v>
      </c>
      <c r="IH25" s="185" t="s">
        <v>3736</v>
      </c>
      <c r="II25" s="185" t="s">
        <v>3750</v>
      </c>
      <c r="IJ25" s="185" t="s">
        <v>3761</v>
      </c>
      <c r="IK25" s="236" t="s">
        <v>3770</v>
      </c>
      <c r="IL25" s="185" t="s">
        <v>3778</v>
      </c>
      <c r="IM25" s="115" t="s">
        <v>3786</v>
      </c>
      <c r="IN25" s="115" t="s">
        <v>3795</v>
      </c>
      <c r="IO25" s="159" t="s">
        <v>3805</v>
      </c>
      <c r="IP25" s="159" t="s">
        <v>3819</v>
      </c>
      <c r="IQ25" s="217" t="s">
        <v>3832</v>
      </c>
      <c r="IR25" s="115" t="s">
        <v>3838</v>
      </c>
      <c r="IS25" s="159" t="s">
        <v>3850</v>
      </c>
      <c r="IT25" s="217" t="s">
        <v>3864</v>
      </c>
      <c r="IU25" s="217" t="s">
        <v>3876</v>
      </c>
      <c r="IV25" s="159" t="s">
        <v>3894</v>
      </c>
      <c r="IW25" s="217" t="s">
        <v>3998</v>
      </c>
      <c r="IX25" s="159"/>
      <c r="IY25" s="159" t="s">
        <v>3973</v>
      </c>
      <c r="IZ25" s="159" t="s">
        <v>3981</v>
      </c>
      <c r="JA25" s="115" t="s">
        <v>4017</v>
      </c>
      <c r="JB25" s="159" t="s">
        <v>4030</v>
      </c>
      <c r="JC25" s="115" t="s">
        <v>4043</v>
      </c>
      <c r="JD25" s="115" t="s">
        <v>4043</v>
      </c>
      <c r="JE25" s="115" t="s">
        <v>4062</v>
      </c>
      <c r="JF25" s="115" t="s">
        <v>4075</v>
      </c>
      <c r="JG25" s="185" t="s">
        <v>4090</v>
      </c>
      <c r="JH25" s="115" t="s">
        <v>4104</v>
      </c>
      <c r="JI25" s="115" t="s">
        <v>4118</v>
      </c>
      <c r="JJ25" s="244" t="s">
        <v>4132</v>
      </c>
      <c r="JK25" s="244" t="s">
        <v>4132</v>
      </c>
      <c r="JL25" s="244" t="s">
        <v>4132</v>
      </c>
      <c r="JM25" s="244" t="s">
        <v>4132</v>
      </c>
      <c r="JN25" s="115" t="s">
        <v>4174</v>
      </c>
      <c r="JO25" s="217" t="s">
        <v>4190</v>
      </c>
      <c r="JP25" s="115" t="s">
        <v>4223</v>
      </c>
      <c r="JQ25" s="159" t="s">
        <v>4238</v>
      </c>
      <c r="JR25" s="115" t="s">
        <v>4242</v>
      </c>
      <c r="JS25" s="115" t="s">
        <v>4256</v>
      </c>
      <c r="JT25" s="115" t="s">
        <v>4266</v>
      </c>
      <c r="JU25" s="115" t="s">
        <v>4266</v>
      </c>
      <c r="JV25" s="115" t="s">
        <v>4266</v>
      </c>
      <c r="JW25" s="115" t="s">
        <v>4266</v>
      </c>
      <c r="JX25" s="159" t="s">
        <v>4291</v>
      </c>
      <c r="JY25" s="159" t="s">
        <v>4291</v>
      </c>
      <c r="JZ25" s="159" t="s">
        <v>4291</v>
      </c>
      <c r="KA25" s="159" t="s">
        <v>4291</v>
      </c>
      <c r="KB25" s="159" t="s">
        <v>4291</v>
      </c>
      <c r="KC25" s="159" t="s">
        <v>4291</v>
      </c>
      <c r="KD25" s="185" t="s">
        <v>4325</v>
      </c>
      <c r="KE25" s="115" t="s">
        <v>4335</v>
      </c>
      <c r="KF25" s="115" t="s">
        <v>4335</v>
      </c>
      <c r="KG25" s="115" t="s">
        <v>4353</v>
      </c>
      <c r="KH25" s="159" t="s">
        <v>4371</v>
      </c>
      <c r="KI25" s="159" t="s">
        <v>4387</v>
      </c>
      <c r="KJ25" s="115" t="s">
        <v>4403</v>
      </c>
      <c r="KK25" s="115" t="s">
        <v>4417</v>
      </c>
      <c r="KL25" s="217" t="s">
        <v>4430</v>
      </c>
      <c r="KM25" s="159" t="s">
        <v>4446</v>
      </c>
      <c r="KN25" s="187" t="s">
        <v>4473</v>
      </c>
      <c r="KO25" s="115" t="s">
        <v>4490</v>
      </c>
      <c r="KP25" s="115" t="s">
        <v>11</v>
      </c>
      <c r="KQ25" s="115" t="s">
        <v>4508</v>
      </c>
      <c r="KR25" s="115" t="s">
        <v>4520</v>
      </c>
      <c r="KS25" s="115" t="s">
        <v>4533</v>
      </c>
      <c r="KT25" s="115" t="s">
        <v>4543</v>
      </c>
      <c r="KU25" s="115" t="s">
        <v>4543</v>
      </c>
      <c r="KV25" s="115" t="s">
        <v>4557</v>
      </c>
      <c r="KW25" s="115" t="s">
        <v>4567</v>
      </c>
      <c r="KX25" s="115" t="s">
        <v>4577</v>
      </c>
      <c r="KY25" s="257" t="s">
        <v>4618</v>
      </c>
      <c r="KZ25" s="257" t="s">
        <v>4632</v>
      </c>
      <c r="LA25" s="187" t="s">
        <v>4667</v>
      </c>
      <c r="LB25" s="115" t="s">
        <v>11</v>
      </c>
      <c r="LC25" s="115" t="s">
        <v>4705</v>
      </c>
      <c r="LD25" s="115" t="s">
        <v>4705</v>
      </c>
      <c r="LE25" s="115" t="s">
        <v>4705</v>
      </c>
      <c r="LF25" s="115" t="s">
        <v>4705</v>
      </c>
      <c r="LG25" s="115" t="s">
        <v>4822</v>
      </c>
      <c r="LH25" s="206" t="s">
        <v>11</v>
      </c>
      <c r="LI25" s="206" t="s">
        <v>4765</v>
      </c>
      <c r="LJ25" s="206" t="s">
        <v>4775</v>
      </c>
      <c r="LK25" s="115" t="s">
        <v>4788</v>
      </c>
      <c r="LL25" s="187" t="s">
        <v>4799</v>
      </c>
      <c r="LM25" s="120" t="s">
        <v>4799</v>
      </c>
      <c r="LN25" s="266" t="s">
        <v>11</v>
      </c>
      <c r="LO25" s="115" t="s">
        <v>4838</v>
      </c>
      <c r="LP25" s="206" t="s">
        <v>4856</v>
      </c>
      <c r="LQ25" s="266" t="s">
        <v>4866</v>
      </c>
      <c r="LR25" s="115" t="s">
        <v>4822</v>
      </c>
      <c r="LS25" s="206" t="s">
        <v>4877</v>
      </c>
      <c r="LT25" s="115" t="s">
        <v>4888</v>
      </c>
      <c r="LU25" s="115" t="s">
        <v>4902</v>
      </c>
      <c r="LV25" s="286" t="s">
        <v>4912</v>
      </c>
      <c r="LW25" s="115" t="s">
        <v>4923</v>
      </c>
      <c r="LX25" s="115" t="s">
        <v>4931</v>
      </c>
      <c r="LY25" s="206" t="s">
        <v>4945</v>
      </c>
      <c r="LZ25" s="206" t="s">
        <v>4957</v>
      </c>
      <c r="MA25" s="206" t="s">
        <v>4971</v>
      </c>
      <c r="MB25" s="115" t="s">
        <v>4985</v>
      </c>
      <c r="MC25" s="291" t="s">
        <v>11</v>
      </c>
      <c r="MD25" s="206" t="s">
        <v>5022</v>
      </c>
    </row>
    <row r="26" spans="1:342" s="68" customFormat="1" ht="13.8" customHeight="1" x14ac:dyDescent="0.3">
      <c r="A26" s="92">
        <v>23</v>
      </c>
      <c r="B26" s="311" t="s">
        <v>7</v>
      </c>
      <c r="C26" s="64" t="s">
        <v>463</v>
      </c>
      <c r="D26" s="65" t="s">
        <v>442</v>
      </c>
      <c r="E26" s="66" t="s">
        <v>699</v>
      </c>
      <c r="F26" s="66" t="s">
        <v>698</v>
      </c>
      <c r="G26" s="66" t="s">
        <v>849</v>
      </c>
      <c r="H26" s="66" t="s">
        <v>696</v>
      </c>
      <c r="I26" s="66" t="s">
        <v>697</v>
      </c>
      <c r="J26" s="66" t="s">
        <v>697</v>
      </c>
      <c r="K26" s="66" t="s">
        <v>697</v>
      </c>
      <c r="L26" s="66" t="s">
        <v>696</v>
      </c>
      <c r="M26" s="66" t="s">
        <v>696</v>
      </c>
      <c r="N26" s="66" t="s">
        <v>696</v>
      </c>
      <c r="O26" s="66" t="s">
        <v>696</v>
      </c>
      <c r="P26" s="66" t="s">
        <v>696</v>
      </c>
      <c r="Q26" s="66" t="s">
        <v>696</v>
      </c>
      <c r="R26" s="66" t="s">
        <v>696</v>
      </c>
      <c r="S26" s="66" t="s">
        <v>696</v>
      </c>
      <c r="T26" s="66" t="s">
        <v>696</v>
      </c>
      <c r="U26" s="66" t="s">
        <v>852</v>
      </c>
      <c r="V26" s="66" t="s">
        <v>852</v>
      </c>
      <c r="W26" s="66" t="s">
        <v>852</v>
      </c>
      <c r="X26" s="66" t="s">
        <v>852</v>
      </c>
      <c r="Y26" s="66" t="s">
        <v>852</v>
      </c>
      <c r="Z26" s="66" t="s">
        <v>713</v>
      </c>
      <c r="AA26" s="66" t="s">
        <v>701</v>
      </c>
      <c r="AB26" s="66" t="s">
        <v>849</v>
      </c>
      <c r="AC26" s="66" t="s">
        <v>696</v>
      </c>
      <c r="AD26" s="66" t="s">
        <v>696</v>
      </c>
      <c r="AE26" s="66" t="s">
        <v>696</v>
      </c>
      <c r="AF26" s="66" t="s">
        <v>696</v>
      </c>
      <c r="AG26" s="66" t="s">
        <v>696</v>
      </c>
      <c r="AH26" s="67" t="s">
        <v>853</v>
      </c>
      <c r="AI26" s="66" t="s">
        <v>849</v>
      </c>
      <c r="AJ26" s="66" t="s">
        <v>849</v>
      </c>
      <c r="AK26" s="66" t="s">
        <v>849</v>
      </c>
      <c r="AL26" s="66" t="s">
        <v>849</v>
      </c>
      <c r="AM26" s="66" t="s">
        <v>849</v>
      </c>
      <c r="AN26" s="66" t="s">
        <v>701</v>
      </c>
      <c r="AO26" s="66" t="s">
        <v>849</v>
      </c>
      <c r="AP26" s="66" t="s">
        <v>849</v>
      </c>
      <c r="AQ26" s="66" t="s">
        <v>697</v>
      </c>
      <c r="AR26" s="66" t="s">
        <v>696</v>
      </c>
      <c r="AS26" s="66" t="s">
        <v>696</v>
      </c>
      <c r="AT26" s="66" t="s">
        <v>699</v>
      </c>
      <c r="AU26" s="66" t="s">
        <v>849</v>
      </c>
      <c r="AV26" s="66" t="s">
        <v>849</v>
      </c>
      <c r="AW26" s="66" t="s">
        <v>849</v>
      </c>
      <c r="AX26" s="93" t="s">
        <v>696</v>
      </c>
      <c r="AY26" s="66" t="s">
        <v>698</v>
      </c>
      <c r="AZ26" s="66" t="s">
        <v>698</v>
      </c>
      <c r="BA26" s="66" t="s">
        <v>849</v>
      </c>
      <c r="BB26" s="66" t="s">
        <v>696</v>
      </c>
      <c r="BC26" s="66" t="s">
        <v>698</v>
      </c>
      <c r="BD26" s="66" t="s">
        <v>698</v>
      </c>
      <c r="BE26" s="66" t="s">
        <v>804</v>
      </c>
      <c r="BF26" s="66" t="s">
        <v>804</v>
      </c>
      <c r="BG26" s="66" t="s">
        <v>698</v>
      </c>
      <c r="BH26" s="66" t="s">
        <v>698</v>
      </c>
      <c r="BI26" s="66" t="s">
        <v>849</v>
      </c>
      <c r="BJ26" s="66" t="s">
        <v>849</v>
      </c>
      <c r="BK26" s="38" t="s">
        <v>697</v>
      </c>
      <c r="BL26" s="111" t="s">
        <v>696</v>
      </c>
      <c r="BM26" s="66" t="s">
        <v>1033</v>
      </c>
      <c r="BN26" s="66" t="s">
        <v>1033</v>
      </c>
      <c r="BO26" s="66" t="s">
        <v>1033</v>
      </c>
      <c r="BP26" s="66" t="s">
        <v>1033</v>
      </c>
      <c r="BQ26" s="66" t="s">
        <v>1033</v>
      </c>
      <c r="BR26" s="117" t="s">
        <v>804</v>
      </c>
      <c r="BS26" s="105" t="s">
        <v>698</v>
      </c>
      <c r="BT26" s="105" t="s">
        <v>702</v>
      </c>
      <c r="BU26" s="115" t="s">
        <v>698</v>
      </c>
      <c r="BV26" s="159" t="s">
        <v>853</v>
      </c>
      <c r="BW26" s="159" t="s">
        <v>702</v>
      </c>
      <c r="BX26" s="115" t="s">
        <v>698</v>
      </c>
      <c r="BY26" s="115" t="s">
        <v>698</v>
      </c>
      <c r="BZ26" s="115" t="s">
        <v>698</v>
      </c>
      <c r="CA26" s="68" t="s">
        <v>701</v>
      </c>
      <c r="CB26" s="68" t="s">
        <v>698</v>
      </c>
      <c r="CC26" s="68" t="s">
        <v>698</v>
      </c>
      <c r="CD26" s="68" t="s">
        <v>698</v>
      </c>
      <c r="CE26" s="68" t="s">
        <v>698</v>
      </c>
      <c r="CF26" s="68" t="s">
        <v>851</v>
      </c>
      <c r="CG26" s="68" t="s">
        <v>702</v>
      </c>
      <c r="CH26" s="68" t="s">
        <v>698</v>
      </c>
      <c r="CI26" s="68" t="s">
        <v>1033</v>
      </c>
      <c r="CJ26" s="68" t="s">
        <v>697</v>
      </c>
      <c r="CK26" s="68" t="s">
        <v>697</v>
      </c>
      <c r="CL26" s="68" t="s">
        <v>697</v>
      </c>
      <c r="CM26" s="68" t="s">
        <v>698</v>
      </c>
      <c r="CN26" s="68" t="s">
        <v>1732</v>
      </c>
      <c r="CO26" s="68" t="s">
        <v>698</v>
      </c>
      <c r="CP26" s="68" t="s">
        <v>1033</v>
      </c>
      <c r="CQ26" s="68" t="s">
        <v>1033</v>
      </c>
      <c r="CR26" s="68" t="s">
        <v>697</v>
      </c>
      <c r="CS26" s="68" t="s">
        <v>696</v>
      </c>
      <c r="CT26" s="68" t="s">
        <v>701</v>
      </c>
      <c r="CU26" s="68" t="s">
        <v>698</v>
      </c>
      <c r="CV26" s="68" t="s">
        <v>698</v>
      </c>
      <c r="CW26" s="68" t="s">
        <v>696</v>
      </c>
      <c r="CX26" s="68" t="s">
        <v>696</v>
      </c>
      <c r="CY26" s="68" t="s">
        <v>696</v>
      </c>
      <c r="CZ26" s="68" t="s">
        <v>696</v>
      </c>
      <c r="DA26" s="68" t="s">
        <v>696</v>
      </c>
      <c r="DB26" s="68" t="s">
        <v>696</v>
      </c>
      <c r="DC26" s="68" t="s">
        <v>696</v>
      </c>
      <c r="DD26" s="68" t="s">
        <v>696</v>
      </c>
      <c r="DE26" s="68" t="s">
        <v>696</v>
      </c>
      <c r="DF26" s="68" t="s">
        <v>696</v>
      </c>
      <c r="DG26" s="68" t="s">
        <v>696</v>
      </c>
      <c r="DH26" s="68" t="s">
        <v>696</v>
      </c>
      <c r="DI26" s="68" t="s">
        <v>696</v>
      </c>
      <c r="DJ26" s="68" t="s">
        <v>849</v>
      </c>
      <c r="DK26" s="68" t="s">
        <v>849</v>
      </c>
      <c r="DL26" s="68" t="s">
        <v>696</v>
      </c>
      <c r="DM26" s="68" t="s">
        <v>696</v>
      </c>
      <c r="DN26" s="68" t="s">
        <v>696</v>
      </c>
      <c r="DO26" s="68" t="s">
        <v>713</v>
      </c>
      <c r="DP26" s="68" t="s">
        <v>1033</v>
      </c>
      <c r="DQ26" s="68" t="s">
        <v>1033</v>
      </c>
      <c r="DR26" s="68" t="s">
        <v>1033</v>
      </c>
      <c r="DS26" s="68" t="s">
        <v>1033</v>
      </c>
      <c r="DT26" s="68" t="s">
        <v>1033</v>
      </c>
      <c r="DU26" s="68" t="s">
        <v>698</v>
      </c>
      <c r="DV26" s="68" t="s">
        <v>698</v>
      </c>
      <c r="DW26" s="159" t="s">
        <v>698</v>
      </c>
      <c r="DX26" s="159" t="s">
        <v>1133</v>
      </c>
      <c r="DY26" s="159" t="s">
        <v>696</v>
      </c>
      <c r="DZ26" s="159" t="s">
        <v>1133</v>
      </c>
      <c r="EA26" s="159" t="s">
        <v>701</v>
      </c>
      <c r="EB26" s="159" t="s">
        <v>696</v>
      </c>
      <c r="EC26" s="159" t="s">
        <v>696</v>
      </c>
      <c r="ED26" s="184" t="s">
        <v>698</v>
      </c>
      <c r="EE26" s="184" t="s">
        <v>698</v>
      </c>
      <c r="EF26" s="184" t="s">
        <v>698</v>
      </c>
      <c r="EG26" s="184" t="s">
        <v>698</v>
      </c>
      <c r="EH26" s="184" t="s">
        <v>849</v>
      </c>
      <c r="EI26" s="187" t="s">
        <v>696</v>
      </c>
      <c r="EJ26" s="115" t="s">
        <v>696</v>
      </c>
      <c r="EK26" s="187" t="s">
        <v>696</v>
      </c>
      <c r="EL26" s="115" t="s">
        <v>696</v>
      </c>
      <c r="EM26" s="187" t="s">
        <v>696</v>
      </c>
      <c r="EN26" s="159" t="s">
        <v>696</v>
      </c>
      <c r="EO26" s="159" t="s">
        <v>698</v>
      </c>
      <c r="EP26" s="159" t="s">
        <v>698</v>
      </c>
      <c r="EQ26" s="159" t="s">
        <v>698</v>
      </c>
      <c r="ER26" s="115" t="s">
        <v>698</v>
      </c>
      <c r="ES26" s="159" t="s">
        <v>698</v>
      </c>
      <c r="ET26" s="184" t="s">
        <v>849</v>
      </c>
      <c r="EU26" s="159" t="s">
        <v>701</v>
      </c>
      <c r="EV26" s="159" t="s">
        <v>1033</v>
      </c>
      <c r="EW26" s="159" t="s">
        <v>713</v>
      </c>
      <c r="EX26" s="115" t="s">
        <v>696</v>
      </c>
      <c r="EY26" s="115" t="s">
        <v>696</v>
      </c>
      <c r="EZ26" s="115" t="s">
        <v>696</v>
      </c>
      <c r="FA26" s="68" t="s">
        <v>713</v>
      </c>
      <c r="FB26" s="68" t="s">
        <v>1440</v>
      </c>
      <c r="FC26" s="68" t="s">
        <v>713</v>
      </c>
      <c r="FD26" s="68" t="s">
        <v>1440</v>
      </c>
      <c r="FE26" s="68" t="s">
        <v>852</v>
      </c>
      <c r="FF26" s="68" t="s">
        <v>699</v>
      </c>
      <c r="FG26" s="68" t="s">
        <v>699</v>
      </c>
      <c r="FH26" s="68" t="s">
        <v>697</v>
      </c>
      <c r="FI26" s="68" t="s">
        <v>696</v>
      </c>
      <c r="FJ26" s="68" t="s">
        <v>1440</v>
      </c>
      <c r="FK26" s="68" t="s">
        <v>1033</v>
      </c>
      <c r="FL26" s="68" t="s">
        <v>1033</v>
      </c>
      <c r="FM26" s="200" t="s">
        <v>1440</v>
      </c>
      <c r="FN26" s="156" t="s">
        <v>849</v>
      </c>
      <c r="FO26" s="187" t="s">
        <v>713</v>
      </c>
      <c r="FP26" s="156" t="s">
        <v>1441</v>
      </c>
      <c r="FQ26" s="156" t="s">
        <v>852</v>
      </c>
      <c r="FR26" s="115" t="s">
        <v>849</v>
      </c>
      <c r="FS26" s="187" t="s">
        <v>849</v>
      </c>
      <c r="FT26" s="187" t="s">
        <v>1440</v>
      </c>
      <c r="FU26" s="187" t="s">
        <v>1440</v>
      </c>
      <c r="FV26" s="159" t="s">
        <v>1657</v>
      </c>
      <c r="FW26" s="159" t="s">
        <v>1657</v>
      </c>
      <c r="FX26" s="159" t="s">
        <v>698</v>
      </c>
      <c r="FY26" s="169" t="s">
        <v>1033</v>
      </c>
      <c r="FZ26" s="184" t="s">
        <v>849</v>
      </c>
      <c r="GA26" s="159" t="s">
        <v>699</v>
      </c>
      <c r="GB26" s="115" t="s">
        <v>697</v>
      </c>
      <c r="GC26" s="115" t="s">
        <v>697</v>
      </c>
      <c r="GD26" s="208" t="s">
        <v>1440</v>
      </c>
      <c r="GE26" s="184" t="s">
        <v>849</v>
      </c>
      <c r="GF26" s="159" t="s">
        <v>696</v>
      </c>
      <c r="GG26" s="208" t="s">
        <v>849</v>
      </c>
      <c r="GH26" s="159" t="s">
        <v>849</v>
      </c>
      <c r="GI26" s="159" t="s">
        <v>849</v>
      </c>
      <c r="GJ26" s="159" t="s">
        <v>713</v>
      </c>
      <c r="GK26" s="159" t="s">
        <v>696</v>
      </c>
      <c r="GL26" s="115" t="s">
        <v>696</v>
      </c>
      <c r="GM26" s="169" t="s">
        <v>1033</v>
      </c>
      <c r="GN26" s="159" t="s">
        <v>699</v>
      </c>
      <c r="GO26" s="159" t="s">
        <v>1133</v>
      </c>
      <c r="GP26" s="115" t="s">
        <v>849</v>
      </c>
      <c r="GQ26" s="208" t="s">
        <v>849</v>
      </c>
      <c r="GR26" s="115" t="s">
        <v>696</v>
      </c>
      <c r="GS26" s="159" t="s">
        <v>698</v>
      </c>
      <c r="GT26" s="159" t="s">
        <v>849</v>
      </c>
      <c r="GU26" s="159" t="s">
        <v>698</v>
      </c>
      <c r="GV26" s="159" t="s">
        <v>849</v>
      </c>
      <c r="GW26" s="159" t="s">
        <v>849</v>
      </c>
      <c r="GX26" s="159" t="s">
        <v>849</v>
      </c>
      <c r="GY26" s="115" t="s">
        <v>849</v>
      </c>
      <c r="GZ26" s="218" t="s">
        <v>1440</v>
      </c>
      <c r="HA26" s="159" t="s">
        <v>853</v>
      </c>
      <c r="HB26" s="159" t="s">
        <v>1440</v>
      </c>
      <c r="HC26" s="159" t="s">
        <v>853</v>
      </c>
      <c r="HD26" s="222" t="s">
        <v>1440</v>
      </c>
      <c r="HE26" s="224" t="s">
        <v>1440</v>
      </c>
      <c r="HF26" s="224" t="s">
        <v>1440</v>
      </c>
      <c r="HG26" s="187" t="s">
        <v>849</v>
      </c>
      <c r="HH26" s="224" t="s">
        <v>1440</v>
      </c>
      <c r="HI26" s="47" t="s">
        <v>849</v>
      </c>
      <c r="HJ26" s="115" t="s">
        <v>1033</v>
      </c>
      <c r="HK26" s="115" t="s">
        <v>1697</v>
      </c>
      <c r="HL26" s="159" t="s">
        <v>2908</v>
      </c>
      <c r="HM26" s="115" t="s">
        <v>699</v>
      </c>
      <c r="HN26" s="159" t="s">
        <v>851</v>
      </c>
      <c r="HO26" s="159" t="s">
        <v>853</v>
      </c>
      <c r="HP26" s="159" t="s">
        <v>849</v>
      </c>
      <c r="HQ26" s="159" t="s">
        <v>853</v>
      </c>
      <c r="HR26" s="159" t="s">
        <v>696</v>
      </c>
      <c r="HS26" s="159" t="s">
        <v>1697</v>
      </c>
      <c r="HT26" s="185" t="s">
        <v>696</v>
      </c>
      <c r="HU26" s="159" t="s">
        <v>849</v>
      </c>
      <c r="HV26" s="159" t="s">
        <v>698</v>
      </c>
      <c r="HW26" s="159" t="s">
        <v>1697</v>
      </c>
      <c r="HX26" s="159" t="s">
        <v>853</v>
      </c>
      <c r="HY26" s="115" t="s">
        <v>696</v>
      </c>
      <c r="HZ26" s="159" t="s">
        <v>1697</v>
      </c>
      <c r="IA26" s="159" t="s">
        <v>853</v>
      </c>
      <c r="IB26" s="159" t="s">
        <v>849</v>
      </c>
      <c r="IC26" s="115" t="s">
        <v>696</v>
      </c>
      <c r="ID26" s="233" t="s">
        <v>849</v>
      </c>
      <c r="IE26" s="159" t="s">
        <v>849</v>
      </c>
      <c r="IF26" s="185" t="s">
        <v>713</v>
      </c>
      <c r="IG26" s="185" t="s">
        <v>696</v>
      </c>
      <c r="IH26" s="185" t="s">
        <v>696</v>
      </c>
      <c r="II26" s="185" t="s">
        <v>713</v>
      </c>
      <c r="IJ26" s="185" t="s">
        <v>713</v>
      </c>
      <c r="IK26" s="183" t="s">
        <v>696</v>
      </c>
      <c r="IL26" s="185" t="s">
        <v>713</v>
      </c>
      <c r="IM26" s="159" t="s">
        <v>713</v>
      </c>
      <c r="IN26" s="184" t="s">
        <v>702</v>
      </c>
      <c r="IO26" s="159" t="s">
        <v>696</v>
      </c>
      <c r="IP26" s="159" t="s">
        <v>696</v>
      </c>
      <c r="IQ26" s="115" t="s">
        <v>696</v>
      </c>
      <c r="IR26" s="184" t="s">
        <v>702</v>
      </c>
      <c r="IS26" s="159" t="s">
        <v>698</v>
      </c>
      <c r="IT26" s="159" t="s">
        <v>696</v>
      </c>
      <c r="IU26" s="159" t="s">
        <v>696</v>
      </c>
      <c r="IV26" s="159" t="s">
        <v>696</v>
      </c>
      <c r="IW26" s="159" t="s">
        <v>696</v>
      </c>
      <c r="IX26" s="159"/>
      <c r="IY26" s="159" t="s">
        <v>696</v>
      </c>
      <c r="IZ26" s="159" t="s">
        <v>696</v>
      </c>
      <c r="JA26" s="159" t="s">
        <v>1697</v>
      </c>
      <c r="JB26" s="159" t="s">
        <v>696</v>
      </c>
      <c r="JC26" s="159" t="s">
        <v>1697</v>
      </c>
      <c r="JD26" s="159" t="s">
        <v>1697</v>
      </c>
      <c r="JE26" s="159" t="s">
        <v>1657</v>
      </c>
      <c r="JF26" s="159" t="s">
        <v>1697</v>
      </c>
      <c r="JG26" s="159" t="s">
        <v>696</v>
      </c>
      <c r="JH26" s="159" t="s">
        <v>1697</v>
      </c>
      <c r="JI26" s="159" t="s">
        <v>1697</v>
      </c>
      <c r="JJ26" s="247" t="s">
        <v>1033</v>
      </c>
      <c r="JK26" s="243" t="s">
        <v>1640</v>
      </c>
      <c r="JL26" s="247" t="s">
        <v>804</v>
      </c>
      <c r="JM26" s="247" t="s">
        <v>697</v>
      </c>
      <c r="JN26" s="184" t="s">
        <v>849</v>
      </c>
      <c r="JO26" s="159" t="s">
        <v>1657</v>
      </c>
      <c r="JP26" s="159" t="s">
        <v>1697</v>
      </c>
      <c r="JQ26" s="159" t="s">
        <v>849</v>
      </c>
      <c r="JR26" s="159" t="s">
        <v>1657</v>
      </c>
      <c r="JS26" s="159" t="s">
        <v>1697</v>
      </c>
      <c r="JT26" s="159" t="s">
        <v>1657</v>
      </c>
      <c r="JU26" s="159" t="s">
        <v>1697</v>
      </c>
      <c r="JV26" s="159" t="s">
        <v>1697</v>
      </c>
      <c r="JW26" s="159" t="s">
        <v>1697</v>
      </c>
      <c r="JX26" s="159" t="s">
        <v>1697</v>
      </c>
      <c r="JY26" s="159" t="s">
        <v>1697</v>
      </c>
      <c r="JZ26" s="159" t="s">
        <v>1697</v>
      </c>
      <c r="KA26" s="159" t="s">
        <v>1697</v>
      </c>
      <c r="KB26" s="159" t="s">
        <v>1697</v>
      </c>
      <c r="KC26" s="159" t="s">
        <v>1697</v>
      </c>
      <c r="KD26" s="159" t="s">
        <v>1657</v>
      </c>
      <c r="KE26" s="159" t="s">
        <v>1697</v>
      </c>
      <c r="KF26" s="159" t="s">
        <v>1697</v>
      </c>
      <c r="KG26" s="159" t="s">
        <v>696</v>
      </c>
      <c r="KH26" s="159" t="s">
        <v>698</v>
      </c>
      <c r="KI26" s="159" t="s">
        <v>701</v>
      </c>
      <c r="KJ26" s="159" t="s">
        <v>849</v>
      </c>
      <c r="KK26" s="159" t="s">
        <v>713</v>
      </c>
      <c r="KL26" s="159" t="s">
        <v>1657</v>
      </c>
      <c r="KM26" s="159" t="s">
        <v>1697</v>
      </c>
      <c r="KN26" s="187" t="s">
        <v>713</v>
      </c>
      <c r="KO26" s="159" t="s">
        <v>1697</v>
      </c>
      <c r="KP26" s="159" t="s">
        <v>696</v>
      </c>
      <c r="KQ26" s="159" t="s">
        <v>697</v>
      </c>
      <c r="KR26" s="184" t="s">
        <v>698</v>
      </c>
      <c r="KS26" s="184" t="s">
        <v>1697</v>
      </c>
      <c r="KT26" s="184" t="s">
        <v>698</v>
      </c>
      <c r="KU26" s="184" t="s">
        <v>698</v>
      </c>
      <c r="KV26" s="184" t="s">
        <v>696</v>
      </c>
      <c r="KW26" s="115" t="s">
        <v>1697</v>
      </c>
      <c r="KX26" s="115" t="s">
        <v>1697</v>
      </c>
      <c r="KY26" s="243" t="s">
        <v>699</v>
      </c>
      <c r="KZ26" s="243" t="s">
        <v>697</v>
      </c>
      <c r="LA26" s="187" t="s">
        <v>697</v>
      </c>
      <c r="LB26" s="115" t="s">
        <v>1697</v>
      </c>
      <c r="LC26" s="115" t="s">
        <v>853</v>
      </c>
      <c r="LD26" s="115" t="s">
        <v>853</v>
      </c>
      <c r="LE26" s="115" t="s">
        <v>853</v>
      </c>
      <c r="LF26" s="115" t="s">
        <v>853</v>
      </c>
      <c r="LG26" s="115" t="s">
        <v>853</v>
      </c>
      <c r="LH26" s="115" t="s">
        <v>849</v>
      </c>
      <c r="LI26" s="115" t="s">
        <v>696</v>
      </c>
      <c r="LJ26" s="115" t="s">
        <v>696</v>
      </c>
      <c r="LK26" s="115" t="s">
        <v>696</v>
      </c>
      <c r="LL26" s="187" t="s">
        <v>697</v>
      </c>
      <c r="LM26" s="120" t="s">
        <v>697</v>
      </c>
      <c r="LN26" s="263" t="s">
        <v>697</v>
      </c>
      <c r="LO26" s="115" t="s">
        <v>1657</v>
      </c>
      <c r="LP26" s="184" t="s">
        <v>698</v>
      </c>
      <c r="LQ26" s="263" t="s">
        <v>697</v>
      </c>
      <c r="LR26" s="115" t="s">
        <v>853</v>
      </c>
      <c r="LS26" s="115" t="s">
        <v>696</v>
      </c>
      <c r="LT26" s="115" t="s">
        <v>849</v>
      </c>
      <c r="LU26" s="115" t="s">
        <v>849</v>
      </c>
      <c r="LV26" s="286" t="s">
        <v>849</v>
      </c>
      <c r="LW26" s="115" t="s">
        <v>849</v>
      </c>
      <c r="LX26" s="115" t="s">
        <v>849</v>
      </c>
      <c r="LY26" s="115" t="s">
        <v>696</v>
      </c>
      <c r="LZ26" s="115" t="s">
        <v>1640</v>
      </c>
      <c r="MA26" s="115" t="s">
        <v>696</v>
      </c>
      <c r="MB26" s="115" t="s">
        <v>2176</v>
      </c>
      <c r="MC26" s="115" t="s">
        <v>696</v>
      </c>
      <c r="MD26" s="115" t="s">
        <v>696</v>
      </c>
    </row>
    <row r="27" spans="1:342" s="68" customFormat="1" ht="14.4" x14ac:dyDescent="0.3">
      <c r="A27" s="92">
        <v>24</v>
      </c>
      <c r="B27" s="311"/>
      <c r="C27" s="64" t="s">
        <v>464</v>
      </c>
      <c r="D27" s="65" t="s">
        <v>442</v>
      </c>
      <c r="E27" s="66" t="s">
        <v>708</v>
      </c>
      <c r="F27" s="66">
        <v>2</v>
      </c>
      <c r="G27" s="66">
        <v>4</v>
      </c>
      <c r="H27" s="66" t="s">
        <v>708</v>
      </c>
      <c r="I27" s="66">
        <v>6</v>
      </c>
      <c r="J27" s="66">
        <v>6</v>
      </c>
      <c r="K27" s="66">
        <v>6</v>
      </c>
      <c r="L27" s="66" t="s">
        <v>708</v>
      </c>
      <c r="M27" s="66" t="s">
        <v>708</v>
      </c>
      <c r="N27" s="66" t="s">
        <v>708</v>
      </c>
      <c r="O27" s="66" t="s">
        <v>708</v>
      </c>
      <c r="P27" s="66" t="s">
        <v>708</v>
      </c>
      <c r="Q27" s="66" t="s">
        <v>708</v>
      </c>
      <c r="R27" s="66">
        <v>7</v>
      </c>
      <c r="S27" s="66">
        <v>7</v>
      </c>
      <c r="T27" s="66">
        <v>7</v>
      </c>
      <c r="U27" s="66">
        <v>4</v>
      </c>
      <c r="V27" s="66">
        <v>4</v>
      </c>
      <c r="W27" s="66">
        <v>4</v>
      </c>
      <c r="X27" s="66">
        <v>4</v>
      </c>
      <c r="Y27" s="66">
        <v>4</v>
      </c>
      <c r="Z27" s="66">
        <v>10</v>
      </c>
      <c r="AA27" s="66">
        <v>1</v>
      </c>
      <c r="AB27" s="66">
        <v>4</v>
      </c>
      <c r="AC27" s="66">
        <v>7</v>
      </c>
      <c r="AD27" s="66">
        <v>7</v>
      </c>
      <c r="AE27" s="66">
        <v>7</v>
      </c>
      <c r="AF27" s="66">
        <v>7</v>
      </c>
      <c r="AG27" s="66">
        <v>7</v>
      </c>
      <c r="AH27" s="66">
        <v>12</v>
      </c>
      <c r="AI27" s="66">
        <v>4</v>
      </c>
      <c r="AJ27" s="66">
        <v>4</v>
      </c>
      <c r="AK27" s="66">
        <v>4</v>
      </c>
      <c r="AL27" s="66">
        <v>4</v>
      </c>
      <c r="AM27" s="66">
        <v>4</v>
      </c>
      <c r="AN27" s="66">
        <v>1</v>
      </c>
      <c r="AO27" s="66">
        <v>4</v>
      </c>
      <c r="AP27" s="66">
        <v>4</v>
      </c>
      <c r="AQ27" s="66">
        <v>6</v>
      </c>
      <c r="AR27" s="66">
        <v>7</v>
      </c>
      <c r="AS27" s="66">
        <v>7</v>
      </c>
      <c r="AT27" s="66" t="s">
        <v>708</v>
      </c>
      <c r="AU27" s="66">
        <v>4</v>
      </c>
      <c r="AV27" s="66">
        <v>4</v>
      </c>
      <c r="AW27" s="76">
        <v>4</v>
      </c>
      <c r="AX27" s="66" t="s">
        <v>708</v>
      </c>
      <c r="AY27" s="66">
        <v>2</v>
      </c>
      <c r="AZ27" s="66">
        <v>2</v>
      </c>
      <c r="BA27" s="94">
        <v>4</v>
      </c>
      <c r="BB27" s="66">
        <v>13</v>
      </c>
      <c r="BC27" s="66">
        <v>2</v>
      </c>
      <c r="BD27" s="66">
        <v>2</v>
      </c>
      <c r="BE27" s="66">
        <v>2</v>
      </c>
      <c r="BF27" s="66">
        <v>2</v>
      </c>
      <c r="BG27" s="66">
        <v>2</v>
      </c>
      <c r="BH27" s="66">
        <v>2</v>
      </c>
      <c r="BI27" s="94">
        <v>4</v>
      </c>
      <c r="BJ27" s="94">
        <v>4</v>
      </c>
      <c r="BK27" s="42">
        <v>16</v>
      </c>
      <c r="BL27" s="111" t="s">
        <v>708</v>
      </c>
      <c r="BM27" s="66">
        <v>17</v>
      </c>
      <c r="BN27" s="66">
        <v>17</v>
      </c>
      <c r="BO27" s="66">
        <v>17</v>
      </c>
      <c r="BP27" s="66">
        <v>17</v>
      </c>
      <c r="BQ27" s="66">
        <v>17</v>
      </c>
      <c r="BR27" s="117">
        <v>2</v>
      </c>
      <c r="BS27" s="105">
        <v>2</v>
      </c>
      <c r="BT27" s="105">
        <v>3</v>
      </c>
      <c r="BU27" s="115">
        <v>77</v>
      </c>
      <c r="BV27" s="159">
        <v>12</v>
      </c>
      <c r="BW27" s="159">
        <v>3</v>
      </c>
      <c r="BX27" s="115">
        <v>77</v>
      </c>
      <c r="BY27" s="115">
        <v>77</v>
      </c>
      <c r="BZ27" s="115">
        <v>77</v>
      </c>
      <c r="CA27" s="68">
        <v>1</v>
      </c>
      <c r="CB27" s="68">
        <v>2</v>
      </c>
      <c r="CC27" s="68">
        <v>2</v>
      </c>
      <c r="CD27" s="68">
        <v>2</v>
      </c>
      <c r="CE27" s="68">
        <v>2</v>
      </c>
      <c r="CF27" s="68">
        <v>10086</v>
      </c>
      <c r="CG27" s="68">
        <v>3</v>
      </c>
      <c r="CH27" s="68">
        <v>2</v>
      </c>
      <c r="CI27" s="68">
        <v>4</v>
      </c>
      <c r="CJ27" s="68">
        <v>82</v>
      </c>
      <c r="CK27" s="68">
        <v>82</v>
      </c>
      <c r="CL27" s="68">
        <v>82</v>
      </c>
      <c r="CM27" s="68">
        <v>2</v>
      </c>
      <c r="CN27" s="68">
        <v>10</v>
      </c>
      <c r="CO27" s="68">
        <v>2</v>
      </c>
      <c r="CP27" s="68">
        <v>4</v>
      </c>
      <c r="CQ27" s="68">
        <v>4</v>
      </c>
      <c r="CR27" s="68">
        <v>6</v>
      </c>
      <c r="CS27" s="68">
        <v>13</v>
      </c>
      <c r="CT27" s="68">
        <v>1</v>
      </c>
      <c r="CU27" s="68">
        <v>2</v>
      </c>
      <c r="CV27" s="68">
        <v>2</v>
      </c>
      <c r="CW27" s="68">
        <v>13</v>
      </c>
      <c r="CX27" s="68">
        <v>7</v>
      </c>
      <c r="CY27" s="68">
        <v>7</v>
      </c>
      <c r="CZ27" s="68">
        <v>7</v>
      </c>
      <c r="DA27" s="68">
        <v>7</v>
      </c>
      <c r="DB27" s="68">
        <v>7</v>
      </c>
      <c r="DC27" s="68">
        <v>7</v>
      </c>
      <c r="DD27" s="68">
        <v>7</v>
      </c>
      <c r="DE27" s="68">
        <v>7</v>
      </c>
      <c r="DF27" s="68">
        <v>7</v>
      </c>
      <c r="DG27" s="68">
        <v>7</v>
      </c>
      <c r="DH27" s="68">
        <v>7</v>
      </c>
      <c r="DI27" s="68">
        <v>7</v>
      </c>
      <c r="DJ27" s="68">
        <v>4</v>
      </c>
      <c r="DK27" s="68">
        <v>4</v>
      </c>
      <c r="DL27" s="68">
        <v>7</v>
      </c>
      <c r="DM27" s="68">
        <v>7</v>
      </c>
      <c r="DN27" s="68">
        <v>7</v>
      </c>
      <c r="DO27" s="68">
        <v>10</v>
      </c>
      <c r="DP27" s="68">
        <v>72</v>
      </c>
      <c r="DQ27" s="68">
        <v>72</v>
      </c>
      <c r="DR27" s="68">
        <v>72</v>
      </c>
      <c r="DS27" s="68">
        <v>72</v>
      </c>
      <c r="DT27" s="68">
        <v>72</v>
      </c>
      <c r="DU27" s="68">
        <v>85</v>
      </c>
      <c r="DV27" s="68">
        <v>2</v>
      </c>
      <c r="DW27" s="159">
        <v>2</v>
      </c>
      <c r="DX27" s="159">
        <v>11</v>
      </c>
      <c r="DY27" s="159">
        <v>94</v>
      </c>
      <c r="DZ27" s="159">
        <v>11</v>
      </c>
      <c r="EA27" s="159">
        <v>1</v>
      </c>
      <c r="EB27" s="159">
        <v>94</v>
      </c>
      <c r="EC27" s="182">
        <v>7</v>
      </c>
      <c r="ED27" s="159">
        <v>2</v>
      </c>
      <c r="EE27" s="159">
        <v>2</v>
      </c>
      <c r="EF27" s="159">
        <v>2</v>
      </c>
      <c r="EG27" s="159">
        <v>2</v>
      </c>
      <c r="EH27" s="159">
        <v>4</v>
      </c>
      <c r="EI27" s="187">
        <v>7</v>
      </c>
      <c r="EJ27" s="115">
        <v>7</v>
      </c>
      <c r="EK27" s="187">
        <v>7</v>
      </c>
      <c r="EL27" s="115">
        <v>7</v>
      </c>
      <c r="EM27" s="187">
        <v>7</v>
      </c>
      <c r="EN27" s="159">
        <v>94</v>
      </c>
      <c r="EO27" s="159">
        <v>2</v>
      </c>
      <c r="EP27" s="159">
        <v>2</v>
      </c>
      <c r="EQ27" s="159">
        <v>2</v>
      </c>
      <c r="ER27" s="115">
        <v>2</v>
      </c>
      <c r="ES27" s="159">
        <v>2</v>
      </c>
      <c r="ET27" s="159">
        <v>4</v>
      </c>
      <c r="EU27" s="159">
        <v>1</v>
      </c>
      <c r="EV27" s="159">
        <v>4</v>
      </c>
      <c r="EW27" s="159">
        <v>10</v>
      </c>
      <c r="EX27" s="115">
        <v>7</v>
      </c>
      <c r="EY27" s="115">
        <v>7</v>
      </c>
      <c r="EZ27" s="115">
        <v>7</v>
      </c>
      <c r="FA27" s="68">
        <v>10</v>
      </c>
      <c r="FB27" s="68">
        <v>6</v>
      </c>
      <c r="FC27" s="68">
        <v>10</v>
      </c>
      <c r="FD27" s="68">
        <v>6</v>
      </c>
      <c r="FE27" s="68">
        <v>4</v>
      </c>
      <c r="FF27" s="68">
        <v>6</v>
      </c>
      <c r="FG27" s="68">
        <v>6</v>
      </c>
      <c r="FH27" s="68">
        <v>6</v>
      </c>
      <c r="FI27" s="68">
        <v>7</v>
      </c>
      <c r="FJ27" s="68">
        <v>6</v>
      </c>
      <c r="FK27" s="68">
        <v>4</v>
      </c>
      <c r="FL27" s="68">
        <v>4</v>
      </c>
      <c r="FM27" s="201">
        <v>6</v>
      </c>
      <c r="FN27" s="155">
        <v>4</v>
      </c>
      <c r="FO27" s="187">
        <v>10</v>
      </c>
      <c r="FP27" s="155">
        <v>86</v>
      </c>
      <c r="FQ27" s="155">
        <v>4</v>
      </c>
      <c r="FR27" s="115">
        <v>4</v>
      </c>
      <c r="FS27" s="155">
        <v>4</v>
      </c>
      <c r="FT27" s="155">
        <v>6</v>
      </c>
      <c r="FU27" s="69">
        <v>6</v>
      </c>
      <c r="FV27" s="159">
        <v>79</v>
      </c>
      <c r="FW27" s="159">
        <v>79</v>
      </c>
      <c r="FX27" s="184">
        <v>2</v>
      </c>
      <c r="FY27" s="115">
        <v>4</v>
      </c>
      <c r="FZ27" s="159">
        <v>4</v>
      </c>
      <c r="GA27" s="159">
        <v>6</v>
      </c>
      <c r="GB27" s="115">
        <v>6</v>
      </c>
      <c r="GC27" s="115">
        <v>6</v>
      </c>
      <c r="GD27" s="210">
        <v>6</v>
      </c>
      <c r="GE27" s="159">
        <v>4</v>
      </c>
      <c r="GF27" s="159">
        <v>7</v>
      </c>
      <c r="GG27" s="210">
        <v>4</v>
      </c>
      <c r="GH27" s="159">
        <v>4</v>
      </c>
      <c r="GI27" s="159">
        <v>4</v>
      </c>
      <c r="GJ27" s="159">
        <v>10</v>
      </c>
      <c r="GK27" s="159">
        <v>7</v>
      </c>
      <c r="GL27" s="115">
        <v>7</v>
      </c>
      <c r="GM27" s="115">
        <v>4</v>
      </c>
      <c r="GN27" s="159">
        <v>6</v>
      </c>
      <c r="GO27" s="159">
        <v>11</v>
      </c>
      <c r="GP27" s="115">
        <v>4</v>
      </c>
      <c r="GQ27" s="210">
        <v>4</v>
      </c>
      <c r="GR27" s="115">
        <v>7</v>
      </c>
      <c r="GS27" s="159">
        <v>2</v>
      </c>
      <c r="GT27" s="159">
        <v>4</v>
      </c>
      <c r="GU27" s="159">
        <v>2</v>
      </c>
      <c r="GV27" s="159">
        <v>4</v>
      </c>
      <c r="GW27" s="159">
        <v>4</v>
      </c>
      <c r="GX27" s="159">
        <v>4</v>
      </c>
      <c r="GY27" s="115">
        <v>4</v>
      </c>
      <c r="GZ27" s="218">
        <v>6</v>
      </c>
      <c r="HA27" s="159">
        <v>12</v>
      </c>
      <c r="HB27" s="159">
        <v>6</v>
      </c>
      <c r="HC27" s="159">
        <v>12</v>
      </c>
      <c r="HD27" s="222">
        <v>6</v>
      </c>
      <c r="HE27" s="224">
        <v>6</v>
      </c>
      <c r="HF27" s="224">
        <v>6</v>
      </c>
      <c r="HG27" s="187">
        <v>4</v>
      </c>
      <c r="HH27" s="224">
        <v>6</v>
      </c>
      <c r="HI27" s="201">
        <v>4</v>
      </c>
      <c r="HJ27" s="115">
        <v>4</v>
      </c>
      <c r="HK27" s="115">
        <v>28</v>
      </c>
      <c r="HL27" s="159">
        <v>92</v>
      </c>
      <c r="HM27" s="115">
        <v>6</v>
      </c>
      <c r="HN27" s="159">
        <v>13</v>
      </c>
      <c r="HO27" s="159">
        <v>12</v>
      </c>
      <c r="HP27" s="159">
        <v>4</v>
      </c>
      <c r="HQ27" s="159">
        <v>12</v>
      </c>
      <c r="HR27" s="159">
        <v>7</v>
      </c>
      <c r="HS27" s="182">
        <v>28</v>
      </c>
      <c r="HT27" s="115">
        <v>13</v>
      </c>
      <c r="HU27" s="159">
        <v>4</v>
      </c>
      <c r="HV27" s="159">
        <v>2</v>
      </c>
      <c r="HW27" s="159">
        <v>28</v>
      </c>
      <c r="HX27" s="159">
        <v>12</v>
      </c>
      <c r="HY27" s="115">
        <v>7</v>
      </c>
      <c r="HZ27" s="159">
        <v>28</v>
      </c>
      <c r="IA27" s="159">
        <v>12</v>
      </c>
      <c r="IB27" s="159">
        <v>4</v>
      </c>
      <c r="IC27" s="115">
        <v>7</v>
      </c>
      <c r="ID27" s="185">
        <v>4</v>
      </c>
      <c r="IE27" s="159">
        <v>4</v>
      </c>
      <c r="IF27" s="185">
        <v>10</v>
      </c>
      <c r="IG27" s="185">
        <v>7</v>
      </c>
      <c r="IH27" s="185">
        <v>7</v>
      </c>
      <c r="II27" s="185">
        <v>10</v>
      </c>
      <c r="IJ27" s="185">
        <v>10</v>
      </c>
      <c r="IK27" s="183">
        <v>7</v>
      </c>
      <c r="IL27" s="185">
        <v>10</v>
      </c>
      <c r="IM27" s="159">
        <v>10</v>
      </c>
      <c r="IN27" s="184">
        <v>3</v>
      </c>
      <c r="IO27" s="159">
        <v>7</v>
      </c>
      <c r="IP27" s="159">
        <v>7</v>
      </c>
      <c r="IQ27" s="115">
        <v>7</v>
      </c>
      <c r="IR27" s="184">
        <v>3</v>
      </c>
      <c r="IS27" s="159">
        <v>2</v>
      </c>
      <c r="IT27" s="159">
        <v>7</v>
      </c>
      <c r="IU27" s="159">
        <v>7</v>
      </c>
      <c r="IV27" s="159">
        <v>7</v>
      </c>
      <c r="IW27" s="159">
        <v>7</v>
      </c>
      <c r="IX27" s="159"/>
      <c r="IY27" s="159">
        <v>7</v>
      </c>
      <c r="IZ27" s="159">
        <v>7</v>
      </c>
      <c r="JA27" s="159">
        <v>28</v>
      </c>
      <c r="JB27" s="159">
        <v>7</v>
      </c>
      <c r="JC27" s="159">
        <v>28</v>
      </c>
      <c r="JD27" s="159">
        <v>28</v>
      </c>
      <c r="JE27" s="182">
        <v>28</v>
      </c>
      <c r="JF27" s="159">
        <v>28</v>
      </c>
      <c r="JG27" s="159">
        <v>7</v>
      </c>
      <c r="JH27" s="159">
        <v>28</v>
      </c>
      <c r="JI27" s="159">
        <v>28</v>
      </c>
      <c r="JJ27" s="243">
        <v>4</v>
      </c>
      <c r="JK27" s="243">
        <v>90</v>
      </c>
      <c r="JL27" s="243">
        <v>2</v>
      </c>
      <c r="JM27" s="243">
        <v>6</v>
      </c>
      <c r="JN27" s="159">
        <v>4</v>
      </c>
      <c r="JO27" s="159">
        <v>28</v>
      </c>
      <c r="JP27" s="159">
        <v>28</v>
      </c>
      <c r="JQ27" s="159">
        <v>4</v>
      </c>
      <c r="JR27" s="159">
        <v>28</v>
      </c>
      <c r="JS27" s="159">
        <v>28</v>
      </c>
      <c r="JT27" s="159">
        <v>28</v>
      </c>
      <c r="JU27" s="159">
        <v>28</v>
      </c>
      <c r="JV27" s="159">
        <v>28</v>
      </c>
      <c r="JW27" s="159">
        <v>28</v>
      </c>
      <c r="JX27" s="159">
        <v>28</v>
      </c>
      <c r="JY27" s="159">
        <v>28</v>
      </c>
      <c r="JZ27" s="159">
        <v>28</v>
      </c>
      <c r="KA27" s="159">
        <v>28</v>
      </c>
      <c r="KB27" s="159">
        <v>28</v>
      </c>
      <c r="KC27" s="159">
        <v>28</v>
      </c>
      <c r="KD27" s="159">
        <v>79</v>
      </c>
      <c r="KE27" s="159">
        <v>28</v>
      </c>
      <c r="KF27" s="159">
        <v>28</v>
      </c>
      <c r="KG27" s="159">
        <v>94</v>
      </c>
      <c r="KH27" s="159">
        <v>2</v>
      </c>
      <c r="KI27" s="159">
        <v>1</v>
      </c>
      <c r="KJ27" s="159">
        <v>4</v>
      </c>
      <c r="KK27" s="159">
        <v>10</v>
      </c>
      <c r="KL27" s="159">
        <v>28</v>
      </c>
      <c r="KM27" s="159">
        <v>28</v>
      </c>
      <c r="KN27" s="187">
        <v>10</v>
      </c>
      <c r="KO27" s="159">
        <v>28</v>
      </c>
      <c r="KP27" s="159">
        <v>7</v>
      </c>
      <c r="KQ27" s="159">
        <v>6</v>
      </c>
      <c r="KR27" s="184">
        <v>2</v>
      </c>
      <c r="KS27" s="184">
        <v>28</v>
      </c>
      <c r="KT27" s="184">
        <v>2</v>
      </c>
      <c r="KU27" s="184">
        <v>2</v>
      </c>
      <c r="KV27" s="184">
        <v>7</v>
      </c>
      <c r="KW27" s="115">
        <v>28</v>
      </c>
      <c r="KX27" s="115">
        <v>28</v>
      </c>
      <c r="KY27" s="248">
        <v>6</v>
      </c>
      <c r="KZ27" s="248">
        <v>6</v>
      </c>
      <c r="LA27" s="187">
        <v>6</v>
      </c>
      <c r="LB27" s="115">
        <v>28</v>
      </c>
      <c r="LC27" s="115">
        <v>12</v>
      </c>
      <c r="LD27" s="115">
        <v>12</v>
      </c>
      <c r="LE27" s="115">
        <v>12</v>
      </c>
      <c r="LF27" s="115">
        <v>12</v>
      </c>
      <c r="LG27" s="115">
        <v>12</v>
      </c>
      <c r="LH27" s="115">
        <v>4</v>
      </c>
      <c r="LI27" s="115">
        <v>7</v>
      </c>
      <c r="LJ27" s="115">
        <v>7</v>
      </c>
      <c r="LK27" s="115">
        <v>7</v>
      </c>
      <c r="LL27" s="187">
        <v>6</v>
      </c>
      <c r="LM27" s="120">
        <v>6</v>
      </c>
      <c r="LN27" s="267">
        <v>6</v>
      </c>
      <c r="LO27" s="115">
        <v>79</v>
      </c>
      <c r="LP27" s="184">
        <v>2</v>
      </c>
      <c r="LQ27" s="267">
        <v>6</v>
      </c>
      <c r="LR27" s="115">
        <v>12</v>
      </c>
      <c r="LS27" s="115">
        <v>7</v>
      </c>
      <c r="LT27" s="115">
        <v>103</v>
      </c>
      <c r="LU27" s="115">
        <v>103</v>
      </c>
      <c r="LV27" s="286">
        <v>103</v>
      </c>
      <c r="LW27" s="115">
        <v>103</v>
      </c>
      <c r="LX27" s="115">
        <v>103</v>
      </c>
      <c r="LY27" s="115">
        <v>7</v>
      </c>
      <c r="LZ27" s="115">
        <v>90</v>
      </c>
      <c r="MA27" s="115">
        <v>7</v>
      </c>
      <c r="MB27" s="185">
        <v>98</v>
      </c>
      <c r="MC27" s="115">
        <v>7</v>
      </c>
      <c r="MD27" s="115">
        <v>7</v>
      </c>
    </row>
    <row r="28" spans="1:342" s="68" customFormat="1" ht="14.4" x14ac:dyDescent="0.3">
      <c r="A28" s="92">
        <v>25</v>
      </c>
      <c r="B28" s="311"/>
      <c r="C28" s="64" t="s">
        <v>465</v>
      </c>
      <c r="D28" s="69"/>
      <c r="E28" s="66" t="s">
        <v>700</v>
      </c>
      <c r="F28" s="66" t="s">
        <v>702</v>
      </c>
      <c r="G28" s="66" t="s">
        <v>696</v>
      </c>
      <c r="H28" s="66" t="s">
        <v>697</v>
      </c>
      <c r="I28" s="66" t="s">
        <v>849</v>
      </c>
      <c r="J28" s="66" t="s">
        <v>849</v>
      </c>
      <c r="K28" s="66" t="s">
        <v>702</v>
      </c>
      <c r="L28" s="66" t="s">
        <v>697</v>
      </c>
      <c r="M28" s="66" t="s">
        <v>697</v>
      </c>
      <c r="N28" s="66" t="s">
        <v>697</v>
      </c>
      <c r="O28" s="66" t="s">
        <v>697</v>
      </c>
      <c r="P28" s="66" t="s">
        <v>697</v>
      </c>
      <c r="Q28" s="66" t="s">
        <v>701</v>
      </c>
      <c r="R28" s="66" t="s">
        <v>849</v>
      </c>
      <c r="S28" s="66" t="s">
        <v>849</v>
      </c>
      <c r="T28" s="66" t="s">
        <v>849</v>
      </c>
      <c r="U28" s="66" t="s">
        <v>706</v>
      </c>
      <c r="V28" s="66" t="s">
        <v>706</v>
      </c>
      <c r="W28" s="66" t="s">
        <v>706</v>
      </c>
      <c r="X28" s="66" t="s">
        <v>706</v>
      </c>
      <c r="Y28" s="66" t="s">
        <v>706</v>
      </c>
      <c r="Z28" s="66" t="s">
        <v>697</v>
      </c>
      <c r="AA28" s="66" t="s">
        <v>696</v>
      </c>
      <c r="AB28" s="66" t="s">
        <v>696</v>
      </c>
      <c r="AC28" s="66" t="s">
        <v>702</v>
      </c>
      <c r="AD28" s="66" t="s">
        <v>702</v>
      </c>
      <c r="AE28" s="66" t="s">
        <v>702</v>
      </c>
      <c r="AF28" s="66" t="s">
        <v>702</v>
      </c>
      <c r="AG28" s="66" t="s">
        <v>697</v>
      </c>
      <c r="AH28" s="66" t="s">
        <v>696</v>
      </c>
      <c r="AI28" s="66" t="s">
        <v>696</v>
      </c>
      <c r="AJ28" s="66" t="s">
        <v>696</v>
      </c>
      <c r="AK28" s="66" t="s">
        <v>696</v>
      </c>
      <c r="AL28" s="66" t="s">
        <v>696</v>
      </c>
      <c r="AM28" s="66" t="s">
        <v>696</v>
      </c>
      <c r="AN28" s="66" t="s">
        <v>849</v>
      </c>
      <c r="AO28" s="66" t="s">
        <v>850</v>
      </c>
      <c r="AP28" s="66" t="s">
        <v>850</v>
      </c>
      <c r="AQ28" s="66" t="s">
        <v>698</v>
      </c>
      <c r="AR28" s="66" t="s">
        <v>697</v>
      </c>
      <c r="AS28" s="66" t="s">
        <v>697</v>
      </c>
      <c r="AT28" s="66" t="s">
        <v>700</v>
      </c>
      <c r="AU28" s="66" t="s">
        <v>696</v>
      </c>
      <c r="AV28" s="66" t="s">
        <v>696</v>
      </c>
      <c r="AW28" s="66" t="s">
        <v>696</v>
      </c>
      <c r="AX28" s="94" t="s">
        <v>699</v>
      </c>
      <c r="AY28" s="66" t="s">
        <v>702</v>
      </c>
      <c r="AZ28" s="66" t="s">
        <v>702</v>
      </c>
      <c r="BA28" s="66" t="s">
        <v>696</v>
      </c>
      <c r="BB28" s="66" t="s">
        <v>697</v>
      </c>
      <c r="BC28" s="66" t="s">
        <v>702</v>
      </c>
      <c r="BD28" s="66" t="s">
        <v>702</v>
      </c>
      <c r="BE28" s="94" t="s">
        <v>805</v>
      </c>
      <c r="BF28" s="94" t="s">
        <v>805</v>
      </c>
      <c r="BG28" s="66" t="s">
        <v>702</v>
      </c>
      <c r="BH28" s="66" t="s">
        <v>702</v>
      </c>
      <c r="BI28" s="94" t="s">
        <v>696</v>
      </c>
      <c r="BJ28" s="94" t="s">
        <v>696</v>
      </c>
      <c r="BK28" s="38" t="s">
        <v>701</v>
      </c>
      <c r="BL28" s="38" t="s">
        <v>699</v>
      </c>
      <c r="BM28" s="111" t="s">
        <v>1087</v>
      </c>
      <c r="BN28" s="111" t="s">
        <v>1087</v>
      </c>
      <c r="BO28" s="111" t="s">
        <v>1087</v>
      </c>
      <c r="BP28" s="111" t="s">
        <v>1087</v>
      </c>
      <c r="BQ28" s="111" t="s">
        <v>1087</v>
      </c>
      <c r="BR28" s="117" t="s">
        <v>805</v>
      </c>
      <c r="BS28" s="105" t="s">
        <v>851</v>
      </c>
      <c r="BT28" s="105" t="s">
        <v>698</v>
      </c>
      <c r="BU28" s="115" t="s">
        <v>1440</v>
      </c>
      <c r="BV28" s="159" t="s">
        <v>1440</v>
      </c>
      <c r="BW28" s="159" t="s">
        <v>1467</v>
      </c>
      <c r="BX28" s="115" t="s">
        <v>849</v>
      </c>
      <c r="BY28" s="115" t="s">
        <v>1467</v>
      </c>
      <c r="BZ28" s="115" t="s">
        <v>849</v>
      </c>
      <c r="CA28" s="68" t="s">
        <v>852</v>
      </c>
      <c r="CB28" s="68" t="s">
        <v>702</v>
      </c>
      <c r="CC28" s="68" t="s">
        <v>702</v>
      </c>
      <c r="CD28" s="68" t="s">
        <v>702</v>
      </c>
      <c r="CE28" s="68" t="s">
        <v>851</v>
      </c>
      <c r="CF28" s="68" t="s">
        <v>704</v>
      </c>
      <c r="CG28" s="68" t="s">
        <v>698</v>
      </c>
      <c r="CH28" s="68" t="s">
        <v>701</v>
      </c>
      <c r="CI28" s="68" t="s">
        <v>698</v>
      </c>
      <c r="CJ28" s="68" t="s">
        <v>1697</v>
      </c>
      <c r="CK28" s="68" t="s">
        <v>698</v>
      </c>
      <c r="CL28" s="68" t="s">
        <v>719</v>
      </c>
      <c r="CM28" s="68" t="s">
        <v>697</v>
      </c>
      <c r="CN28" s="68" t="s">
        <v>1733</v>
      </c>
      <c r="CO28" s="68" t="s">
        <v>699</v>
      </c>
      <c r="CP28" s="68" t="s">
        <v>804</v>
      </c>
      <c r="CQ28" s="68" t="s">
        <v>698</v>
      </c>
      <c r="CR28" s="68" t="s">
        <v>698</v>
      </c>
      <c r="CS28" s="68" t="s">
        <v>702</v>
      </c>
      <c r="CT28" s="68" t="s">
        <v>697</v>
      </c>
      <c r="CU28" s="68" t="s">
        <v>696</v>
      </c>
      <c r="CV28" s="68" t="s">
        <v>702</v>
      </c>
      <c r="CW28" s="68" t="s">
        <v>702</v>
      </c>
      <c r="CX28" s="68" t="s">
        <v>697</v>
      </c>
      <c r="CY28" s="68" t="s">
        <v>697</v>
      </c>
      <c r="CZ28" s="68" t="s">
        <v>697</v>
      </c>
      <c r="DA28" s="68" t="s">
        <v>697</v>
      </c>
      <c r="DB28" s="68" t="s">
        <v>697</v>
      </c>
      <c r="DC28" s="68" t="s">
        <v>697</v>
      </c>
      <c r="DD28" s="68" t="s">
        <v>697</v>
      </c>
      <c r="DE28" s="68" t="s">
        <v>697</v>
      </c>
      <c r="DF28" s="68" t="s">
        <v>697</v>
      </c>
      <c r="DG28" s="68" t="s">
        <v>697</v>
      </c>
      <c r="DH28" s="68" t="s">
        <v>697</v>
      </c>
      <c r="DI28" s="68" t="s">
        <v>697</v>
      </c>
      <c r="DJ28" s="68" t="s">
        <v>851</v>
      </c>
      <c r="DK28" s="68" t="s">
        <v>851</v>
      </c>
      <c r="DL28" s="68" t="s">
        <v>697</v>
      </c>
      <c r="DM28" s="68" t="s">
        <v>698</v>
      </c>
      <c r="DN28" s="68" t="s">
        <v>698</v>
      </c>
      <c r="DO28" s="68" t="s">
        <v>696</v>
      </c>
      <c r="DP28" s="68" t="s">
        <v>696</v>
      </c>
      <c r="DQ28" s="68" t="s">
        <v>696</v>
      </c>
      <c r="DR28" s="68" t="s">
        <v>696</v>
      </c>
      <c r="DS28" s="68" t="s">
        <v>696</v>
      </c>
      <c r="DT28" s="68" t="s">
        <v>696</v>
      </c>
      <c r="DU28" s="68" t="s">
        <v>851</v>
      </c>
      <c r="DV28" s="68" t="s">
        <v>1033</v>
      </c>
      <c r="DW28" s="159" t="s">
        <v>702</v>
      </c>
      <c r="DX28" s="159" t="s">
        <v>696</v>
      </c>
      <c r="DY28" s="159" t="s">
        <v>704</v>
      </c>
      <c r="DZ28" s="159" t="s">
        <v>696</v>
      </c>
      <c r="EA28" s="159" t="s">
        <v>1640</v>
      </c>
      <c r="EB28" s="159" t="s">
        <v>704</v>
      </c>
      <c r="EC28" s="159" t="s">
        <v>698</v>
      </c>
      <c r="ED28" s="159" t="s">
        <v>704</v>
      </c>
      <c r="EE28" s="159" t="s">
        <v>704</v>
      </c>
      <c r="EF28" s="159" t="s">
        <v>704</v>
      </c>
      <c r="EG28" s="159" t="s">
        <v>704</v>
      </c>
      <c r="EH28" s="159" t="s">
        <v>699</v>
      </c>
      <c r="EI28" s="187" t="s">
        <v>853</v>
      </c>
      <c r="EJ28" s="115" t="s">
        <v>697</v>
      </c>
      <c r="EK28" s="187" t="s">
        <v>704</v>
      </c>
      <c r="EL28" s="115" t="s">
        <v>697</v>
      </c>
      <c r="EM28" s="187" t="s">
        <v>704</v>
      </c>
      <c r="EN28" s="159" t="s">
        <v>701</v>
      </c>
      <c r="EO28" s="159" t="s">
        <v>696</v>
      </c>
      <c r="EP28" s="159" t="s">
        <v>696</v>
      </c>
      <c r="EQ28" s="184" t="s">
        <v>849</v>
      </c>
      <c r="ER28" s="115" t="s">
        <v>696</v>
      </c>
      <c r="ES28" s="159" t="s">
        <v>696</v>
      </c>
      <c r="ET28" s="159" t="s">
        <v>1640</v>
      </c>
      <c r="EU28" s="159" t="s">
        <v>1657</v>
      </c>
      <c r="EV28" s="159" t="s">
        <v>1657</v>
      </c>
      <c r="EW28" s="159" t="s">
        <v>1467</v>
      </c>
      <c r="EX28" s="115" t="s">
        <v>697</v>
      </c>
      <c r="EY28" s="115" t="s">
        <v>697</v>
      </c>
      <c r="EZ28" s="115" t="s">
        <v>697</v>
      </c>
      <c r="FA28" s="68" t="s">
        <v>853</v>
      </c>
      <c r="FB28" s="68" t="s">
        <v>698</v>
      </c>
      <c r="FC28" s="68" t="s">
        <v>853</v>
      </c>
      <c r="FD28" s="68" t="s">
        <v>698</v>
      </c>
      <c r="FE28" s="68" t="s">
        <v>707</v>
      </c>
      <c r="FF28" s="68" t="s">
        <v>700</v>
      </c>
      <c r="FG28" s="68" t="s">
        <v>700</v>
      </c>
      <c r="FH28" s="68" t="s">
        <v>1033</v>
      </c>
      <c r="FI28" s="68" t="s">
        <v>697</v>
      </c>
      <c r="FJ28" s="68" t="s">
        <v>696</v>
      </c>
      <c r="FK28" s="68" t="s">
        <v>1087</v>
      </c>
      <c r="FL28" s="68" t="s">
        <v>1087</v>
      </c>
      <c r="FM28" s="200" t="s">
        <v>696</v>
      </c>
      <c r="FN28" s="187" t="s">
        <v>696</v>
      </c>
      <c r="FO28" s="187" t="s">
        <v>696</v>
      </c>
      <c r="FP28" s="156" t="s">
        <v>852</v>
      </c>
      <c r="FQ28" s="187" t="s">
        <v>1640</v>
      </c>
      <c r="FR28" s="115" t="s">
        <v>696</v>
      </c>
      <c r="FS28" s="187" t="s">
        <v>696</v>
      </c>
      <c r="FT28" s="187" t="s">
        <v>696</v>
      </c>
      <c r="FU28" s="187" t="s">
        <v>696</v>
      </c>
      <c r="FV28" s="159" t="s">
        <v>698</v>
      </c>
      <c r="FW28" s="159" t="s">
        <v>698</v>
      </c>
      <c r="FX28" s="159" t="s">
        <v>704</v>
      </c>
      <c r="FY28" s="115" t="s">
        <v>1697</v>
      </c>
      <c r="FZ28" s="159" t="s">
        <v>699</v>
      </c>
      <c r="GA28" s="159" t="s">
        <v>700</v>
      </c>
      <c r="GB28" s="115" t="s">
        <v>702</v>
      </c>
      <c r="GC28" s="115" t="s">
        <v>702</v>
      </c>
      <c r="GD28" s="208" t="s">
        <v>696</v>
      </c>
      <c r="GE28" s="159" t="s">
        <v>699</v>
      </c>
      <c r="GF28" s="159" t="s">
        <v>698</v>
      </c>
      <c r="GG28" s="208" t="s">
        <v>696</v>
      </c>
      <c r="GH28" s="159" t="s">
        <v>696</v>
      </c>
      <c r="GI28" s="159" t="s">
        <v>696</v>
      </c>
      <c r="GJ28" s="159" t="s">
        <v>696</v>
      </c>
      <c r="GK28" s="159" t="s">
        <v>697</v>
      </c>
      <c r="GL28" s="115" t="s">
        <v>698</v>
      </c>
      <c r="GM28" s="115" t="s">
        <v>1087</v>
      </c>
      <c r="GN28" s="159" t="s">
        <v>700</v>
      </c>
      <c r="GO28" s="159" t="s">
        <v>702</v>
      </c>
      <c r="GP28" s="115" t="s">
        <v>696</v>
      </c>
      <c r="GQ28" s="208" t="s">
        <v>707</v>
      </c>
      <c r="GR28" s="169" t="s">
        <v>697</v>
      </c>
      <c r="GS28" s="159" t="s">
        <v>851</v>
      </c>
      <c r="GT28" s="159" t="s">
        <v>707</v>
      </c>
      <c r="GU28" s="159" t="s">
        <v>851</v>
      </c>
      <c r="GV28" s="159" t="s">
        <v>1640</v>
      </c>
      <c r="GW28" s="159" t="s">
        <v>1640</v>
      </c>
      <c r="GX28" s="159" t="s">
        <v>696</v>
      </c>
      <c r="GY28" s="115" t="s">
        <v>1640</v>
      </c>
      <c r="GZ28" s="191" t="s">
        <v>851</v>
      </c>
      <c r="HA28" s="159" t="s">
        <v>696</v>
      </c>
      <c r="HB28" s="159" t="s">
        <v>696</v>
      </c>
      <c r="HC28" s="159" t="s">
        <v>696</v>
      </c>
      <c r="HD28" s="156" t="s">
        <v>851</v>
      </c>
      <c r="HE28" s="169" t="s">
        <v>696</v>
      </c>
      <c r="HF28" s="169" t="s">
        <v>696</v>
      </c>
      <c r="HG28" s="187" t="s">
        <v>696</v>
      </c>
      <c r="HH28" s="169" t="s">
        <v>696</v>
      </c>
      <c r="HI28" s="47" t="s">
        <v>707</v>
      </c>
      <c r="HJ28" s="115" t="s">
        <v>697</v>
      </c>
      <c r="HK28" s="115" t="s">
        <v>698</v>
      </c>
      <c r="HL28" s="159" t="s">
        <v>699</v>
      </c>
      <c r="HM28" s="115" t="s">
        <v>707</v>
      </c>
      <c r="HN28" s="159" t="s">
        <v>698</v>
      </c>
      <c r="HO28" s="159" t="s">
        <v>702</v>
      </c>
      <c r="HP28" s="159" t="s">
        <v>697</v>
      </c>
      <c r="HQ28" s="159" t="s">
        <v>698</v>
      </c>
      <c r="HR28" s="159" t="s">
        <v>697</v>
      </c>
      <c r="HS28" s="159" t="s">
        <v>697</v>
      </c>
      <c r="HT28" s="185" t="s">
        <v>851</v>
      </c>
      <c r="HU28" s="159" t="s">
        <v>697</v>
      </c>
      <c r="HV28" s="159" t="s">
        <v>697</v>
      </c>
      <c r="HW28" s="159" t="s">
        <v>1657</v>
      </c>
      <c r="HX28" s="159" t="s">
        <v>702</v>
      </c>
      <c r="HY28" s="115" t="s">
        <v>697</v>
      </c>
      <c r="HZ28" s="159" t="s">
        <v>1657</v>
      </c>
      <c r="IA28" s="159" t="s">
        <v>702</v>
      </c>
      <c r="IB28" s="159" t="s">
        <v>699</v>
      </c>
      <c r="IC28" s="115" t="s">
        <v>697</v>
      </c>
      <c r="ID28" s="185" t="s">
        <v>696</v>
      </c>
      <c r="IE28" s="159" t="s">
        <v>702</v>
      </c>
      <c r="IF28" s="183" t="s">
        <v>1640</v>
      </c>
      <c r="IG28" s="185" t="s">
        <v>697</v>
      </c>
      <c r="IH28" s="185" t="s">
        <v>697</v>
      </c>
      <c r="II28" s="185" t="s">
        <v>696</v>
      </c>
      <c r="IJ28" s="185" t="s">
        <v>697</v>
      </c>
      <c r="IK28" s="183" t="s">
        <v>1033</v>
      </c>
      <c r="IL28" s="183" t="s">
        <v>1640</v>
      </c>
      <c r="IM28" s="159" t="s">
        <v>853</v>
      </c>
      <c r="IN28" s="159" t="s">
        <v>698</v>
      </c>
      <c r="IO28" s="159" t="s">
        <v>697</v>
      </c>
      <c r="IP28" s="159" t="s">
        <v>697</v>
      </c>
      <c r="IQ28" s="115" t="s">
        <v>697</v>
      </c>
      <c r="IR28" s="159" t="s">
        <v>698</v>
      </c>
      <c r="IS28" s="159" t="s">
        <v>696</v>
      </c>
      <c r="IT28" s="159" t="s">
        <v>1033</v>
      </c>
      <c r="IU28" s="159" t="s">
        <v>1033</v>
      </c>
      <c r="IV28" s="159" t="s">
        <v>1033</v>
      </c>
      <c r="IW28" s="159" t="s">
        <v>1033</v>
      </c>
      <c r="IX28" s="159"/>
      <c r="IY28" s="184" t="s">
        <v>698</v>
      </c>
      <c r="IZ28" s="184" t="s">
        <v>698</v>
      </c>
      <c r="JA28" s="159" t="s">
        <v>1657</v>
      </c>
      <c r="JB28" s="184" t="s">
        <v>698</v>
      </c>
      <c r="JC28" s="159" t="s">
        <v>1657</v>
      </c>
      <c r="JD28" s="159" t="s">
        <v>1657</v>
      </c>
      <c r="JE28" s="159" t="s">
        <v>697</v>
      </c>
      <c r="JF28" s="159" t="s">
        <v>1657</v>
      </c>
      <c r="JG28" s="159" t="s">
        <v>697</v>
      </c>
      <c r="JH28" s="159" t="s">
        <v>853</v>
      </c>
      <c r="JI28" s="159" t="s">
        <v>696</v>
      </c>
      <c r="JJ28" s="243" t="s">
        <v>696</v>
      </c>
      <c r="JK28" s="243" t="s">
        <v>696</v>
      </c>
      <c r="JL28" s="243" t="s">
        <v>849</v>
      </c>
      <c r="JM28" s="243" t="s">
        <v>696</v>
      </c>
      <c r="JN28" s="159" t="s">
        <v>1640</v>
      </c>
      <c r="JO28" s="159" t="s">
        <v>698</v>
      </c>
      <c r="JP28" s="159" t="s">
        <v>696</v>
      </c>
      <c r="JQ28" s="159" t="s">
        <v>696</v>
      </c>
      <c r="JR28" s="159" t="s">
        <v>849</v>
      </c>
      <c r="JS28" s="159" t="s">
        <v>1657</v>
      </c>
      <c r="JT28" s="159" t="s">
        <v>697</v>
      </c>
      <c r="JU28" s="159" t="s">
        <v>1657</v>
      </c>
      <c r="JV28" s="159" t="s">
        <v>1657</v>
      </c>
      <c r="JW28" s="159" t="s">
        <v>1657</v>
      </c>
      <c r="JX28" s="159" t="s">
        <v>1657</v>
      </c>
      <c r="JY28" s="159" t="s">
        <v>1657</v>
      </c>
      <c r="JZ28" s="159" t="s">
        <v>1657</v>
      </c>
      <c r="KA28" s="159" t="s">
        <v>1657</v>
      </c>
      <c r="KB28" s="159" t="s">
        <v>1657</v>
      </c>
      <c r="KC28" s="159" t="s">
        <v>1657</v>
      </c>
      <c r="KD28" s="159" t="s">
        <v>696</v>
      </c>
      <c r="KE28" s="159" t="s">
        <v>1657</v>
      </c>
      <c r="KF28" s="159" t="s">
        <v>1657</v>
      </c>
      <c r="KG28" s="159" t="s">
        <v>1640</v>
      </c>
      <c r="KH28" s="159" t="s">
        <v>707</v>
      </c>
      <c r="KI28" s="184" t="s">
        <v>849</v>
      </c>
      <c r="KJ28" s="159" t="s">
        <v>696</v>
      </c>
      <c r="KK28" s="159" t="s">
        <v>1034</v>
      </c>
      <c r="KL28" s="159" t="s">
        <v>713</v>
      </c>
      <c r="KM28" s="159" t="s">
        <v>853</v>
      </c>
      <c r="KN28" s="187" t="s">
        <v>1697</v>
      </c>
      <c r="KO28" s="159" t="s">
        <v>1640</v>
      </c>
      <c r="KP28" s="159" t="s">
        <v>697</v>
      </c>
      <c r="KQ28" s="159" t="s">
        <v>698</v>
      </c>
      <c r="KR28" s="159" t="s">
        <v>853</v>
      </c>
      <c r="KS28" s="159" t="s">
        <v>713</v>
      </c>
      <c r="KT28" s="159" t="s">
        <v>853</v>
      </c>
      <c r="KU28" s="159" t="s">
        <v>853</v>
      </c>
      <c r="KV28" s="159" t="s">
        <v>704</v>
      </c>
      <c r="KW28" s="115" t="s">
        <v>1657</v>
      </c>
      <c r="KX28" s="115" t="s">
        <v>1657</v>
      </c>
      <c r="KY28" s="243" t="s">
        <v>700</v>
      </c>
      <c r="KZ28" s="243" t="s">
        <v>696</v>
      </c>
      <c r="LA28" s="187" t="s">
        <v>698</v>
      </c>
      <c r="LB28" s="115" t="s">
        <v>696</v>
      </c>
      <c r="LC28" s="184" t="s">
        <v>1034</v>
      </c>
      <c r="LD28" s="184" t="s">
        <v>1034</v>
      </c>
      <c r="LE28" s="184" t="s">
        <v>1034</v>
      </c>
      <c r="LF28" s="184" t="s">
        <v>849</v>
      </c>
      <c r="LG28" s="184" t="s">
        <v>697</v>
      </c>
      <c r="LH28" s="115" t="s">
        <v>1640</v>
      </c>
      <c r="LI28" s="115" t="s">
        <v>697</v>
      </c>
      <c r="LJ28" s="115" t="s">
        <v>697</v>
      </c>
      <c r="LK28" s="115" t="s">
        <v>704</v>
      </c>
      <c r="LL28" s="187" t="s">
        <v>698</v>
      </c>
      <c r="LM28" s="120" t="s">
        <v>696</v>
      </c>
      <c r="LN28" s="263" t="s">
        <v>696</v>
      </c>
      <c r="LO28" s="115" t="s">
        <v>853</v>
      </c>
      <c r="LP28" s="184" t="s">
        <v>702</v>
      </c>
      <c r="LQ28" s="263" t="s">
        <v>696</v>
      </c>
      <c r="LR28" s="184" t="s">
        <v>697</v>
      </c>
      <c r="LS28" s="115" t="s">
        <v>697</v>
      </c>
      <c r="LT28" s="115" t="s">
        <v>701</v>
      </c>
      <c r="LU28" s="115" t="s">
        <v>701</v>
      </c>
      <c r="LV28" s="286" t="s">
        <v>701</v>
      </c>
      <c r="LW28" s="115" t="s">
        <v>701</v>
      </c>
      <c r="LX28" s="115" t="s">
        <v>701</v>
      </c>
      <c r="LY28" s="115" t="s">
        <v>1033</v>
      </c>
      <c r="LZ28" s="115" t="s">
        <v>696</v>
      </c>
      <c r="MA28" s="115" t="s">
        <v>1640</v>
      </c>
      <c r="MB28" s="115" t="s">
        <v>698</v>
      </c>
      <c r="MC28" s="115" t="s">
        <v>1033</v>
      </c>
      <c r="MD28" s="184" t="s">
        <v>698</v>
      </c>
    </row>
    <row r="29" spans="1:342" s="68" customFormat="1" ht="14.4" x14ac:dyDescent="0.3">
      <c r="A29" s="92">
        <v>26</v>
      </c>
      <c r="B29" s="311"/>
      <c r="C29" s="64" t="s">
        <v>466</v>
      </c>
      <c r="D29" s="69"/>
      <c r="E29" s="66" t="s">
        <v>708</v>
      </c>
      <c r="F29" s="66">
        <v>3</v>
      </c>
      <c r="G29" s="66">
        <v>5</v>
      </c>
      <c r="H29" s="66">
        <v>6</v>
      </c>
      <c r="I29" s="66">
        <v>4</v>
      </c>
      <c r="J29" s="94">
        <v>4</v>
      </c>
      <c r="K29" s="66" t="s">
        <v>708</v>
      </c>
      <c r="L29" s="66">
        <v>6</v>
      </c>
      <c r="M29" s="66">
        <v>6</v>
      </c>
      <c r="N29" s="66">
        <v>6</v>
      </c>
      <c r="O29" s="66">
        <v>6</v>
      </c>
      <c r="P29" s="66">
        <v>6</v>
      </c>
      <c r="Q29" s="66">
        <v>1</v>
      </c>
      <c r="R29" s="66">
        <v>4</v>
      </c>
      <c r="S29" s="66">
        <v>4</v>
      </c>
      <c r="T29" s="66">
        <v>4</v>
      </c>
      <c r="U29" s="66">
        <v>4</v>
      </c>
      <c r="V29" s="66">
        <v>4</v>
      </c>
      <c r="W29" s="66">
        <v>4</v>
      </c>
      <c r="X29" s="66">
        <v>4</v>
      </c>
      <c r="Y29" s="66">
        <v>4</v>
      </c>
      <c r="Z29" s="66" t="s">
        <v>708</v>
      </c>
      <c r="AA29" s="66" t="s">
        <v>708</v>
      </c>
      <c r="AB29" s="66">
        <v>7</v>
      </c>
      <c r="AC29" s="66">
        <v>9</v>
      </c>
      <c r="AD29" s="66">
        <v>9</v>
      </c>
      <c r="AE29" s="66">
        <v>9</v>
      </c>
      <c r="AF29" s="66">
        <v>9</v>
      </c>
      <c r="AG29" s="66">
        <v>6</v>
      </c>
      <c r="AH29" s="66">
        <v>7</v>
      </c>
      <c r="AI29" s="66">
        <v>7</v>
      </c>
      <c r="AJ29" s="66">
        <v>7</v>
      </c>
      <c r="AK29" s="66">
        <v>7</v>
      </c>
      <c r="AL29" s="66">
        <v>7</v>
      </c>
      <c r="AM29" s="66">
        <v>7</v>
      </c>
      <c r="AN29" s="66">
        <v>4</v>
      </c>
      <c r="AO29" s="66">
        <v>4</v>
      </c>
      <c r="AP29" s="66">
        <v>4</v>
      </c>
      <c r="AQ29" s="66" t="s">
        <v>708</v>
      </c>
      <c r="AR29" s="66">
        <v>6</v>
      </c>
      <c r="AS29" s="66">
        <v>6</v>
      </c>
      <c r="AT29" s="66" t="s">
        <v>708</v>
      </c>
      <c r="AU29" s="66">
        <v>7</v>
      </c>
      <c r="AV29" s="66">
        <v>7</v>
      </c>
      <c r="AW29" s="66">
        <v>7</v>
      </c>
      <c r="AX29" s="66" t="s">
        <v>708</v>
      </c>
      <c r="AY29" s="66">
        <v>3</v>
      </c>
      <c r="AZ29" s="66">
        <v>3</v>
      </c>
      <c r="BA29" s="66">
        <v>13</v>
      </c>
      <c r="BB29" s="66">
        <v>6</v>
      </c>
      <c r="BC29" s="66">
        <v>3</v>
      </c>
      <c r="BD29" s="66">
        <v>3</v>
      </c>
      <c r="BE29" s="94">
        <v>2</v>
      </c>
      <c r="BF29" s="94">
        <v>2</v>
      </c>
      <c r="BG29" s="66">
        <v>3</v>
      </c>
      <c r="BH29" s="66">
        <v>3</v>
      </c>
      <c r="BI29" s="94">
        <v>7</v>
      </c>
      <c r="BJ29" s="94">
        <v>7</v>
      </c>
      <c r="BK29" s="42">
        <v>1</v>
      </c>
      <c r="BL29" s="72" t="s">
        <v>708</v>
      </c>
      <c r="BM29" s="35">
        <v>18</v>
      </c>
      <c r="BN29" s="35">
        <v>18</v>
      </c>
      <c r="BO29" s="35">
        <v>18</v>
      </c>
      <c r="BP29" s="35">
        <v>18</v>
      </c>
      <c r="BQ29" s="35">
        <v>18</v>
      </c>
      <c r="BR29" s="117">
        <v>77</v>
      </c>
      <c r="BS29" s="105">
        <v>13</v>
      </c>
      <c r="BT29" s="105">
        <v>77</v>
      </c>
      <c r="BU29" s="115">
        <v>7</v>
      </c>
      <c r="BV29" s="159">
        <v>7</v>
      </c>
      <c r="BW29" s="159">
        <v>79</v>
      </c>
      <c r="BX29" s="115">
        <v>4</v>
      </c>
      <c r="BY29" s="115">
        <v>79</v>
      </c>
      <c r="BZ29" s="115">
        <v>4</v>
      </c>
      <c r="CA29" s="68">
        <v>4</v>
      </c>
      <c r="CB29" s="68">
        <v>3</v>
      </c>
      <c r="CC29" s="68">
        <v>3</v>
      </c>
      <c r="CD29" s="68">
        <v>3</v>
      </c>
      <c r="CE29" s="68">
        <v>13</v>
      </c>
      <c r="CF29" s="68">
        <v>14</v>
      </c>
      <c r="CG29" s="68">
        <v>2</v>
      </c>
      <c r="CH29" s="68">
        <v>1</v>
      </c>
      <c r="CI29" s="68">
        <v>2</v>
      </c>
      <c r="CJ29" s="173">
        <v>28</v>
      </c>
      <c r="CK29" s="68">
        <v>2</v>
      </c>
      <c r="CL29" s="68">
        <v>82</v>
      </c>
      <c r="CM29" s="68">
        <v>6</v>
      </c>
      <c r="CN29" s="68">
        <v>10</v>
      </c>
      <c r="CO29" s="68">
        <v>6</v>
      </c>
      <c r="CP29" s="68">
        <v>2</v>
      </c>
      <c r="CQ29" s="68">
        <v>2</v>
      </c>
      <c r="CR29" s="68">
        <v>2</v>
      </c>
      <c r="CS29" s="68">
        <v>3</v>
      </c>
      <c r="CT29" s="68">
        <v>6</v>
      </c>
      <c r="CU29" s="68">
        <v>7</v>
      </c>
      <c r="CV29" s="68">
        <v>3</v>
      </c>
      <c r="CW29" s="68">
        <v>14</v>
      </c>
      <c r="CX29" s="68">
        <v>6</v>
      </c>
      <c r="CY29" s="68">
        <v>6</v>
      </c>
      <c r="CZ29" s="68">
        <v>6</v>
      </c>
      <c r="DA29" s="68">
        <v>6</v>
      </c>
      <c r="DB29" s="68">
        <v>6</v>
      </c>
      <c r="DC29" s="68">
        <v>6</v>
      </c>
      <c r="DD29" s="68">
        <v>6</v>
      </c>
      <c r="DE29" s="68">
        <v>6</v>
      </c>
      <c r="DF29" s="68">
        <v>6</v>
      </c>
      <c r="DG29" s="68">
        <v>6</v>
      </c>
      <c r="DH29" s="68">
        <v>6</v>
      </c>
      <c r="DI29" s="68">
        <v>6</v>
      </c>
      <c r="DJ29" s="68">
        <v>13</v>
      </c>
      <c r="DK29" s="68">
        <v>13</v>
      </c>
      <c r="DL29" s="68">
        <v>6</v>
      </c>
      <c r="DM29" s="68">
        <v>2</v>
      </c>
      <c r="DN29" s="68">
        <v>2</v>
      </c>
      <c r="DO29" s="68">
        <v>7</v>
      </c>
      <c r="DP29" s="68">
        <v>7</v>
      </c>
      <c r="DQ29" s="68">
        <v>7</v>
      </c>
      <c r="DR29" s="68">
        <v>7</v>
      </c>
      <c r="DS29" s="68">
        <v>7</v>
      </c>
      <c r="DT29" s="68">
        <v>7</v>
      </c>
      <c r="DU29" s="68">
        <v>13</v>
      </c>
      <c r="DV29" s="68">
        <v>72</v>
      </c>
      <c r="DW29" s="182">
        <v>3</v>
      </c>
      <c r="DX29" s="182">
        <v>13</v>
      </c>
      <c r="DY29" s="182">
        <v>3</v>
      </c>
      <c r="DZ29" s="182">
        <v>13</v>
      </c>
      <c r="EA29" s="182">
        <v>90</v>
      </c>
      <c r="EB29" s="182">
        <v>3</v>
      </c>
      <c r="EC29" s="182">
        <v>2</v>
      </c>
      <c r="ED29" s="159">
        <v>14</v>
      </c>
      <c r="EE29" s="159">
        <v>14</v>
      </c>
      <c r="EF29" s="159">
        <v>9</v>
      </c>
      <c r="EG29" s="159">
        <v>9</v>
      </c>
      <c r="EH29" s="159">
        <v>6</v>
      </c>
      <c r="EI29" s="187">
        <v>12</v>
      </c>
      <c r="EJ29" s="115">
        <v>6</v>
      </c>
      <c r="EK29" s="187">
        <v>3</v>
      </c>
      <c r="EL29" s="115">
        <v>6</v>
      </c>
      <c r="EM29" s="187">
        <v>14</v>
      </c>
      <c r="EN29" s="182">
        <v>1</v>
      </c>
      <c r="EO29" s="182">
        <v>7</v>
      </c>
      <c r="EP29" s="182">
        <v>7</v>
      </c>
      <c r="EQ29" s="182">
        <v>4</v>
      </c>
      <c r="ER29" s="184">
        <v>7</v>
      </c>
      <c r="ES29" s="182">
        <v>7</v>
      </c>
      <c r="ET29" s="182">
        <v>90</v>
      </c>
      <c r="EU29" s="159">
        <v>79</v>
      </c>
      <c r="EV29" s="159">
        <v>79</v>
      </c>
      <c r="EW29" s="159">
        <v>93</v>
      </c>
      <c r="EX29" s="184">
        <v>6</v>
      </c>
      <c r="EY29" s="184">
        <v>6</v>
      </c>
      <c r="EZ29" s="184">
        <v>6</v>
      </c>
      <c r="FA29" s="68">
        <v>12</v>
      </c>
      <c r="FB29" s="68">
        <v>2</v>
      </c>
      <c r="FC29" s="68">
        <v>12</v>
      </c>
      <c r="FD29" s="68">
        <v>2</v>
      </c>
      <c r="FE29" s="68">
        <v>7</v>
      </c>
      <c r="FF29" s="68">
        <v>6</v>
      </c>
      <c r="FG29" s="68">
        <v>6</v>
      </c>
      <c r="FH29" s="68">
        <v>4</v>
      </c>
      <c r="FI29" s="68">
        <v>6</v>
      </c>
      <c r="FJ29" s="68">
        <v>7</v>
      </c>
      <c r="FK29" s="68">
        <v>18</v>
      </c>
      <c r="FL29" s="68">
        <v>18</v>
      </c>
      <c r="FM29" s="200">
        <v>7</v>
      </c>
      <c r="FN29" s="187">
        <v>7</v>
      </c>
      <c r="FO29" s="187">
        <v>7</v>
      </c>
      <c r="FP29" s="155">
        <v>4</v>
      </c>
      <c r="FQ29" s="155">
        <v>90</v>
      </c>
      <c r="FR29" s="115">
        <v>7</v>
      </c>
      <c r="FS29" s="155">
        <v>7</v>
      </c>
      <c r="FT29" s="187">
        <v>7</v>
      </c>
      <c r="FU29" s="187">
        <v>7</v>
      </c>
      <c r="FV29" s="159">
        <v>2</v>
      </c>
      <c r="FW29" s="159">
        <v>2</v>
      </c>
      <c r="FX29" s="184">
        <v>3</v>
      </c>
      <c r="FY29" s="184">
        <v>28</v>
      </c>
      <c r="FZ29" s="159">
        <v>6</v>
      </c>
      <c r="GA29" s="184">
        <v>6</v>
      </c>
      <c r="GB29" s="184">
        <v>3</v>
      </c>
      <c r="GC29" s="184">
        <v>3</v>
      </c>
      <c r="GD29" s="208">
        <v>7</v>
      </c>
      <c r="GE29" s="159">
        <v>6</v>
      </c>
      <c r="GF29" s="182">
        <v>2</v>
      </c>
      <c r="GG29" s="208">
        <v>7</v>
      </c>
      <c r="GH29" s="182">
        <v>7</v>
      </c>
      <c r="GI29" s="182">
        <v>7</v>
      </c>
      <c r="GJ29" s="182">
        <v>7</v>
      </c>
      <c r="GK29" s="159">
        <v>6</v>
      </c>
      <c r="GL29" s="115">
        <v>89</v>
      </c>
      <c r="GM29" s="184">
        <v>18</v>
      </c>
      <c r="GN29" s="184">
        <v>6</v>
      </c>
      <c r="GO29" s="184">
        <v>9</v>
      </c>
      <c r="GP29" s="115">
        <v>7</v>
      </c>
      <c r="GQ29" s="208">
        <v>7</v>
      </c>
      <c r="GR29" s="184">
        <v>6</v>
      </c>
      <c r="GS29" s="182">
        <v>13</v>
      </c>
      <c r="GT29" s="159">
        <v>7</v>
      </c>
      <c r="GU29" s="182">
        <v>13</v>
      </c>
      <c r="GV29" s="184">
        <v>90</v>
      </c>
      <c r="GW29" s="184">
        <v>90</v>
      </c>
      <c r="GX29" s="184">
        <v>7</v>
      </c>
      <c r="GY29" s="115">
        <v>90</v>
      </c>
      <c r="GZ29" s="187">
        <v>13</v>
      </c>
      <c r="HA29" s="159">
        <v>7</v>
      </c>
      <c r="HB29" s="182">
        <v>7</v>
      </c>
      <c r="HC29" s="159">
        <v>7</v>
      </c>
      <c r="HD29" s="187">
        <v>13</v>
      </c>
      <c r="HE29" s="115">
        <v>7</v>
      </c>
      <c r="HF29" s="115">
        <v>7</v>
      </c>
      <c r="HG29" s="187">
        <v>7</v>
      </c>
      <c r="HH29" s="115">
        <v>7</v>
      </c>
      <c r="HI29" s="201">
        <v>7</v>
      </c>
      <c r="HJ29" s="185">
        <v>6</v>
      </c>
      <c r="HK29" s="115">
        <v>2</v>
      </c>
      <c r="HL29" s="159">
        <v>6</v>
      </c>
      <c r="HM29" s="155">
        <v>7</v>
      </c>
      <c r="HN29" s="182">
        <v>2</v>
      </c>
      <c r="HO29" s="159">
        <v>3</v>
      </c>
      <c r="HP29" s="159">
        <v>6</v>
      </c>
      <c r="HQ29" s="159">
        <v>2</v>
      </c>
      <c r="HR29" s="159">
        <v>6</v>
      </c>
      <c r="HS29" s="182">
        <v>6</v>
      </c>
      <c r="HT29" s="115">
        <v>13</v>
      </c>
      <c r="HU29" s="159">
        <v>6</v>
      </c>
      <c r="HV29" s="159">
        <v>6</v>
      </c>
      <c r="HW29" s="184">
        <v>28</v>
      </c>
      <c r="HX29" s="159">
        <v>3</v>
      </c>
      <c r="HY29" s="115">
        <v>6</v>
      </c>
      <c r="HZ29" s="184">
        <v>79</v>
      </c>
      <c r="IA29" s="159">
        <v>3</v>
      </c>
      <c r="IB29" s="159">
        <v>6</v>
      </c>
      <c r="IC29" s="115">
        <v>6</v>
      </c>
      <c r="ID29" s="115">
        <v>7</v>
      </c>
      <c r="IE29" s="159">
        <v>14</v>
      </c>
      <c r="IF29" s="183">
        <v>90</v>
      </c>
      <c r="IG29" s="185">
        <v>6</v>
      </c>
      <c r="IH29" s="185">
        <v>6</v>
      </c>
      <c r="II29" s="185">
        <v>7</v>
      </c>
      <c r="IJ29" s="185">
        <v>6</v>
      </c>
      <c r="IK29" s="183">
        <v>4</v>
      </c>
      <c r="IL29" s="183">
        <v>90</v>
      </c>
      <c r="IM29" s="184">
        <v>12</v>
      </c>
      <c r="IN29" s="159">
        <v>85</v>
      </c>
      <c r="IO29" s="182">
        <v>6</v>
      </c>
      <c r="IP29" s="182">
        <v>6</v>
      </c>
      <c r="IQ29" s="184">
        <v>6</v>
      </c>
      <c r="IR29" s="159">
        <v>2</v>
      </c>
      <c r="IS29" s="182">
        <v>7</v>
      </c>
      <c r="IT29" s="159">
        <v>4</v>
      </c>
      <c r="IU29" s="159">
        <v>4</v>
      </c>
      <c r="IV29" s="159">
        <v>4</v>
      </c>
      <c r="IW29" s="159">
        <v>4</v>
      </c>
      <c r="IX29" s="182"/>
      <c r="IY29" s="184">
        <v>2</v>
      </c>
      <c r="IZ29" s="184">
        <v>2</v>
      </c>
      <c r="JA29" s="184">
        <v>28</v>
      </c>
      <c r="JB29" s="184">
        <v>2</v>
      </c>
      <c r="JC29" s="184">
        <v>28</v>
      </c>
      <c r="JD29" s="184">
        <v>28</v>
      </c>
      <c r="JE29" s="182">
        <v>6</v>
      </c>
      <c r="JF29" s="184">
        <v>28</v>
      </c>
      <c r="JG29" s="182">
        <v>6</v>
      </c>
      <c r="JH29" s="184">
        <v>12</v>
      </c>
      <c r="JI29" s="184">
        <v>7</v>
      </c>
      <c r="JJ29" s="248">
        <v>7</v>
      </c>
      <c r="JK29" s="248">
        <v>7</v>
      </c>
      <c r="JL29" s="248">
        <v>4</v>
      </c>
      <c r="JM29" s="248">
        <v>7</v>
      </c>
      <c r="JN29" s="155">
        <v>90</v>
      </c>
      <c r="JO29" s="159">
        <v>2</v>
      </c>
      <c r="JP29" s="184">
        <v>7</v>
      </c>
      <c r="JQ29" s="182">
        <v>7</v>
      </c>
      <c r="JR29" s="184">
        <v>4</v>
      </c>
      <c r="JS29" s="184">
        <v>28</v>
      </c>
      <c r="JT29" s="182">
        <v>6</v>
      </c>
      <c r="JU29" s="184">
        <v>28</v>
      </c>
      <c r="JV29" s="184">
        <v>28</v>
      </c>
      <c r="JW29" s="184">
        <v>28</v>
      </c>
      <c r="JX29" s="184">
        <v>28</v>
      </c>
      <c r="JY29" s="184">
        <v>28</v>
      </c>
      <c r="JZ29" s="184">
        <v>28</v>
      </c>
      <c r="KA29" s="184">
        <v>28</v>
      </c>
      <c r="KB29" s="184">
        <v>28</v>
      </c>
      <c r="KC29" s="184">
        <v>28</v>
      </c>
      <c r="KD29" s="159">
        <v>7</v>
      </c>
      <c r="KE29" s="184">
        <v>28</v>
      </c>
      <c r="KF29" s="184">
        <v>28</v>
      </c>
      <c r="KG29" s="182">
        <v>90</v>
      </c>
      <c r="KH29" s="182">
        <v>7</v>
      </c>
      <c r="KI29" s="159">
        <v>4</v>
      </c>
      <c r="KJ29" s="159">
        <v>7</v>
      </c>
      <c r="KK29" s="159">
        <v>20</v>
      </c>
      <c r="KL29" s="159">
        <v>10</v>
      </c>
      <c r="KM29" s="159">
        <v>12</v>
      </c>
      <c r="KN29" s="187">
        <v>28</v>
      </c>
      <c r="KO29" s="184">
        <v>90</v>
      </c>
      <c r="KP29" s="182">
        <v>6</v>
      </c>
      <c r="KQ29" s="184">
        <v>2</v>
      </c>
      <c r="KR29" s="159">
        <v>12</v>
      </c>
      <c r="KS29" s="159">
        <v>10</v>
      </c>
      <c r="KT29" s="159">
        <v>12</v>
      </c>
      <c r="KU29" s="159">
        <v>12</v>
      </c>
      <c r="KV29" s="159">
        <v>14</v>
      </c>
      <c r="KW29" s="184">
        <v>28</v>
      </c>
      <c r="KX29" s="184">
        <v>28</v>
      </c>
      <c r="KY29" s="243">
        <v>6</v>
      </c>
      <c r="KZ29" s="243">
        <v>7</v>
      </c>
      <c r="LA29" s="188">
        <v>2</v>
      </c>
      <c r="LB29" s="184">
        <v>7</v>
      </c>
      <c r="LC29" s="184">
        <v>20</v>
      </c>
      <c r="LD29" s="184">
        <v>20</v>
      </c>
      <c r="LE29" s="184">
        <v>20</v>
      </c>
      <c r="LF29" s="184">
        <v>4</v>
      </c>
      <c r="LG29" s="184">
        <v>6</v>
      </c>
      <c r="LH29" s="184">
        <v>90</v>
      </c>
      <c r="LI29" s="184">
        <v>6</v>
      </c>
      <c r="LJ29" s="184">
        <v>6</v>
      </c>
      <c r="LK29" s="184">
        <v>14</v>
      </c>
      <c r="LL29" s="188">
        <v>2</v>
      </c>
      <c r="LM29" s="120">
        <v>7</v>
      </c>
      <c r="LN29" s="263">
        <v>7</v>
      </c>
      <c r="LO29" s="115">
        <v>12</v>
      </c>
      <c r="LP29" s="184">
        <v>3</v>
      </c>
      <c r="LQ29" s="263">
        <v>7</v>
      </c>
      <c r="LR29" s="184">
        <v>6</v>
      </c>
      <c r="LS29" s="184">
        <v>6</v>
      </c>
      <c r="LT29" s="184">
        <v>1</v>
      </c>
      <c r="LU29" s="184">
        <v>1</v>
      </c>
      <c r="LV29" s="287">
        <v>1</v>
      </c>
      <c r="LW29" s="184">
        <v>1</v>
      </c>
      <c r="LX29" s="184">
        <v>1</v>
      </c>
      <c r="LY29" s="115">
        <v>4</v>
      </c>
      <c r="LZ29" s="115">
        <v>7</v>
      </c>
      <c r="MA29" s="115">
        <v>90</v>
      </c>
      <c r="MB29" s="185">
        <v>2</v>
      </c>
      <c r="MC29" s="115">
        <v>4</v>
      </c>
      <c r="MD29" s="184">
        <v>2</v>
      </c>
    </row>
    <row r="30" spans="1:342" s="68" customFormat="1" ht="14.4" x14ac:dyDescent="0.3">
      <c r="A30" s="92">
        <v>27</v>
      </c>
      <c r="B30" s="311"/>
      <c r="C30" s="64" t="s">
        <v>467</v>
      </c>
      <c r="D30" s="69"/>
      <c r="E30" s="66" t="s">
        <v>696</v>
      </c>
      <c r="F30" s="66" t="s">
        <v>11</v>
      </c>
      <c r="G30" s="66" t="s">
        <v>11</v>
      </c>
      <c r="H30" s="66" t="s">
        <v>698</v>
      </c>
      <c r="I30" s="66" t="s">
        <v>702</v>
      </c>
      <c r="J30" s="66" t="s">
        <v>706</v>
      </c>
      <c r="K30" s="94" t="s">
        <v>704</v>
      </c>
      <c r="L30" s="66" t="s">
        <v>698</v>
      </c>
      <c r="M30" s="66" t="s">
        <v>698</v>
      </c>
      <c r="N30" s="66" t="s">
        <v>698</v>
      </c>
      <c r="O30" s="66" t="s">
        <v>698</v>
      </c>
      <c r="P30" s="66" t="s">
        <v>698</v>
      </c>
      <c r="Q30" s="66" t="s">
        <v>703</v>
      </c>
      <c r="R30" s="68" t="s">
        <v>719</v>
      </c>
      <c r="S30" s="68" t="s">
        <v>719</v>
      </c>
      <c r="T30" s="68" t="s">
        <v>719</v>
      </c>
      <c r="U30" s="66" t="s">
        <v>696</v>
      </c>
      <c r="V30" s="66" t="s">
        <v>696</v>
      </c>
      <c r="W30" s="66" t="s">
        <v>696</v>
      </c>
      <c r="X30" s="66" t="s">
        <v>696</v>
      </c>
      <c r="Y30" s="66" t="s">
        <v>697</v>
      </c>
      <c r="Z30" s="66" t="s">
        <v>702</v>
      </c>
      <c r="AA30" s="66" t="s">
        <v>697</v>
      </c>
      <c r="AB30" s="66" t="s">
        <v>704</v>
      </c>
      <c r="AC30" s="66" t="s">
        <v>698</v>
      </c>
      <c r="AD30" s="66" t="s">
        <v>698</v>
      </c>
      <c r="AE30" s="66" t="s">
        <v>698</v>
      </c>
      <c r="AF30" s="66" t="s">
        <v>698</v>
      </c>
      <c r="AG30" s="66" t="s">
        <v>702</v>
      </c>
      <c r="AH30" s="66" t="s">
        <v>697</v>
      </c>
      <c r="AI30" s="66" t="s">
        <v>851</v>
      </c>
      <c r="AJ30" s="66" t="s">
        <v>851</v>
      </c>
      <c r="AK30" s="66" t="s">
        <v>851</v>
      </c>
      <c r="AL30" s="66" t="s">
        <v>851</v>
      </c>
      <c r="AM30" s="66" t="s">
        <v>704</v>
      </c>
      <c r="AN30" s="66" t="s">
        <v>696</v>
      </c>
      <c r="AO30" s="66" t="s">
        <v>696</v>
      </c>
      <c r="AP30" s="66" t="s">
        <v>696</v>
      </c>
      <c r="AQ30" s="66" t="s">
        <v>702</v>
      </c>
      <c r="AR30" s="66" t="s">
        <v>698</v>
      </c>
      <c r="AS30" s="66" t="s">
        <v>698</v>
      </c>
      <c r="AT30" s="66" t="s">
        <v>849</v>
      </c>
      <c r="AU30" s="66" t="s">
        <v>851</v>
      </c>
      <c r="AV30" s="66" t="s">
        <v>851</v>
      </c>
      <c r="AW30" s="66" t="s">
        <v>851</v>
      </c>
      <c r="AX30" s="94" t="s">
        <v>698</v>
      </c>
      <c r="AY30" s="66" t="s">
        <v>11</v>
      </c>
      <c r="AZ30" s="66" t="s">
        <v>11</v>
      </c>
      <c r="BA30" s="66" t="s">
        <v>697</v>
      </c>
      <c r="BB30" s="66" t="s">
        <v>698</v>
      </c>
      <c r="BC30" s="66" t="s">
        <v>707</v>
      </c>
      <c r="BD30" s="66" t="s">
        <v>707</v>
      </c>
      <c r="BE30" s="66" t="s">
        <v>702</v>
      </c>
      <c r="BF30" s="66" t="s">
        <v>702</v>
      </c>
      <c r="BG30" s="66" t="s">
        <v>707</v>
      </c>
      <c r="BH30" s="66" t="s">
        <v>696</v>
      </c>
      <c r="BI30" s="94" t="s">
        <v>698</v>
      </c>
      <c r="BJ30" s="94" t="s">
        <v>698</v>
      </c>
      <c r="BK30" s="38" t="s">
        <v>702</v>
      </c>
      <c r="BL30" s="72" t="s">
        <v>1034</v>
      </c>
      <c r="BM30" s="38" t="s">
        <v>699</v>
      </c>
      <c r="BN30" s="38" t="s">
        <v>699</v>
      </c>
      <c r="BO30" s="38" t="s">
        <v>699</v>
      </c>
      <c r="BP30" s="38" t="s">
        <v>699</v>
      </c>
      <c r="BQ30" s="38" t="s">
        <v>699</v>
      </c>
      <c r="BR30" s="117" t="s">
        <v>11</v>
      </c>
      <c r="BS30" s="105" t="s">
        <v>704</v>
      </c>
      <c r="BT30" s="105" t="s">
        <v>703</v>
      </c>
      <c r="BU30" s="115" t="s">
        <v>697</v>
      </c>
      <c r="BV30" s="159" t="s">
        <v>698</v>
      </c>
      <c r="BW30" s="159" t="s">
        <v>699</v>
      </c>
      <c r="BX30" s="115" t="s">
        <v>1440</v>
      </c>
      <c r="BY30" s="115" t="s">
        <v>1440</v>
      </c>
      <c r="BZ30" s="115" t="s">
        <v>696</v>
      </c>
      <c r="CA30" s="68" t="s">
        <v>706</v>
      </c>
      <c r="CB30" s="68" t="s">
        <v>699</v>
      </c>
      <c r="CC30" s="68" t="s">
        <v>851</v>
      </c>
      <c r="CD30" s="68" t="s">
        <v>699</v>
      </c>
      <c r="CE30" s="68" t="s">
        <v>704</v>
      </c>
      <c r="CF30" s="68" t="s">
        <v>701</v>
      </c>
      <c r="CG30" s="68" t="s">
        <v>1657</v>
      </c>
      <c r="CH30" s="68" t="s">
        <v>702</v>
      </c>
      <c r="CI30" s="68" t="s">
        <v>697</v>
      </c>
      <c r="CJ30" s="68" t="s">
        <v>719</v>
      </c>
      <c r="CK30" s="68" t="s">
        <v>696</v>
      </c>
      <c r="CL30" s="68" t="s">
        <v>704</v>
      </c>
      <c r="CM30" s="68" t="s">
        <v>852</v>
      </c>
      <c r="CN30" s="68" t="s">
        <v>698</v>
      </c>
      <c r="CO30" s="68" t="s">
        <v>700</v>
      </c>
      <c r="CP30" s="68" t="s">
        <v>805</v>
      </c>
      <c r="CQ30" s="68" t="s">
        <v>697</v>
      </c>
      <c r="CR30" s="68" t="s">
        <v>719</v>
      </c>
      <c r="CS30" s="68" t="s">
        <v>698</v>
      </c>
      <c r="CT30" s="68" t="s">
        <v>698</v>
      </c>
      <c r="CU30" s="68" t="s">
        <v>851</v>
      </c>
      <c r="CV30" s="68" t="s">
        <v>1657</v>
      </c>
      <c r="CW30" s="68" t="s">
        <v>698</v>
      </c>
      <c r="CX30" s="68" t="s">
        <v>698</v>
      </c>
      <c r="CY30" s="68" t="s">
        <v>698</v>
      </c>
      <c r="CZ30" s="68" t="s">
        <v>698</v>
      </c>
      <c r="DA30" s="68" t="s">
        <v>698</v>
      </c>
      <c r="DB30" s="68" t="s">
        <v>698</v>
      </c>
      <c r="DC30" s="68" t="s">
        <v>698</v>
      </c>
      <c r="DD30" s="68" t="s">
        <v>698</v>
      </c>
      <c r="DE30" s="68" t="s">
        <v>698</v>
      </c>
      <c r="DF30" s="68" t="s">
        <v>698</v>
      </c>
      <c r="DG30" s="68" t="s">
        <v>698</v>
      </c>
      <c r="DH30" s="68" t="s">
        <v>698</v>
      </c>
      <c r="DI30" s="68" t="s">
        <v>698</v>
      </c>
      <c r="DJ30" s="68" t="s">
        <v>698</v>
      </c>
      <c r="DK30" s="68" t="s">
        <v>698</v>
      </c>
      <c r="DL30" s="68" t="s">
        <v>698</v>
      </c>
      <c r="DM30" s="68" t="s">
        <v>704</v>
      </c>
      <c r="DN30" s="68" t="s">
        <v>704</v>
      </c>
      <c r="DO30" s="68" t="s">
        <v>698</v>
      </c>
      <c r="DP30" s="68" t="s">
        <v>699</v>
      </c>
      <c r="DQ30" s="68" t="s">
        <v>699</v>
      </c>
      <c r="DR30" s="68" t="s">
        <v>697</v>
      </c>
      <c r="DS30" s="68" t="s">
        <v>697</v>
      </c>
      <c r="DT30" s="68" t="s">
        <v>697</v>
      </c>
      <c r="DU30" s="68" t="s">
        <v>696</v>
      </c>
      <c r="DV30" s="68" t="s">
        <v>699</v>
      </c>
      <c r="DW30" s="159" t="s">
        <v>1697</v>
      </c>
      <c r="DX30" s="159" t="s">
        <v>851</v>
      </c>
      <c r="DY30" s="159" t="s">
        <v>1640</v>
      </c>
      <c r="DZ30" s="159" t="s">
        <v>704</v>
      </c>
      <c r="EA30" s="159" t="s">
        <v>696</v>
      </c>
      <c r="EB30" s="159" t="s">
        <v>1640</v>
      </c>
      <c r="EC30" s="159" t="s">
        <v>704</v>
      </c>
      <c r="ED30" s="159" t="s">
        <v>849</v>
      </c>
      <c r="EE30" s="159" t="s">
        <v>849</v>
      </c>
      <c r="EF30" s="159" t="s">
        <v>849</v>
      </c>
      <c r="EG30" s="159" t="s">
        <v>849</v>
      </c>
      <c r="EH30" s="184" t="s">
        <v>696</v>
      </c>
      <c r="EI30" s="187" t="s">
        <v>698</v>
      </c>
      <c r="EJ30" s="115" t="s">
        <v>698</v>
      </c>
      <c r="EK30" s="156" t="s">
        <v>698</v>
      </c>
      <c r="EL30" s="115" t="s">
        <v>702</v>
      </c>
      <c r="EM30" s="156" t="s">
        <v>698</v>
      </c>
      <c r="EN30" s="159" t="s">
        <v>11</v>
      </c>
      <c r="EO30" s="159" t="s">
        <v>704</v>
      </c>
      <c r="EP30" s="159" t="s">
        <v>704</v>
      </c>
      <c r="EQ30" s="159" t="s">
        <v>696</v>
      </c>
      <c r="ER30" s="115" t="s">
        <v>704</v>
      </c>
      <c r="ES30" s="159" t="s">
        <v>704</v>
      </c>
      <c r="ET30" s="159" t="s">
        <v>696</v>
      </c>
      <c r="EU30" s="159" t="s">
        <v>699</v>
      </c>
      <c r="EV30" s="159" t="s">
        <v>699</v>
      </c>
      <c r="EW30" s="159" t="s">
        <v>11</v>
      </c>
      <c r="EX30" s="115" t="s">
        <v>698</v>
      </c>
      <c r="EY30" s="115" t="s">
        <v>698</v>
      </c>
      <c r="EZ30" s="115" t="s">
        <v>698</v>
      </c>
      <c r="FA30" s="68" t="s">
        <v>1440</v>
      </c>
      <c r="FB30" s="68" t="s">
        <v>702</v>
      </c>
      <c r="FC30" s="68" t="s">
        <v>1440</v>
      </c>
      <c r="FD30" s="68" t="s">
        <v>702</v>
      </c>
      <c r="FE30" s="68" t="s">
        <v>697</v>
      </c>
      <c r="FF30" s="68" t="s">
        <v>1033</v>
      </c>
      <c r="FG30" s="68" t="s">
        <v>849</v>
      </c>
      <c r="FH30" s="68" t="s">
        <v>698</v>
      </c>
      <c r="FI30" s="68" t="s">
        <v>698</v>
      </c>
      <c r="FJ30" s="68" t="s">
        <v>698</v>
      </c>
      <c r="FK30" s="68" t="s">
        <v>1657</v>
      </c>
      <c r="FL30" s="68" t="s">
        <v>1657</v>
      </c>
      <c r="FM30" s="200" t="s">
        <v>702</v>
      </c>
      <c r="FN30" s="156" t="s">
        <v>1440</v>
      </c>
      <c r="FO30" s="187" t="s">
        <v>697</v>
      </c>
      <c r="FP30" s="187" t="s">
        <v>707</v>
      </c>
      <c r="FQ30" s="187" t="s">
        <v>799</v>
      </c>
      <c r="FR30" s="115" t="s">
        <v>697</v>
      </c>
      <c r="FS30" s="156" t="s">
        <v>1440</v>
      </c>
      <c r="FT30" s="187" t="s">
        <v>1640</v>
      </c>
      <c r="FU30" s="187" t="s">
        <v>1640</v>
      </c>
      <c r="FV30" s="159" t="s">
        <v>849</v>
      </c>
      <c r="FW30" s="159" t="s">
        <v>849</v>
      </c>
      <c r="FX30" s="159" t="s">
        <v>697</v>
      </c>
      <c r="FY30" s="184" t="s">
        <v>698</v>
      </c>
      <c r="FZ30" s="184" t="s">
        <v>696</v>
      </c>
      <c r="GA30" s="159" t="s">
        <v>2908</v>
      </c>
      <c r="GB30" s="115" t="s">
        <v>698</v>
      </c>
      <c r="GC30" s="115" t="s">
        <v>698</v>
      </c>
      <c r="GD30" s="211" t="s">
        <v>698</v>
      </c>
      <c r="GE30" s="159" t="s">
        <v>700</v>
      </c>
      <c r="GF30" s="159" t="s">
        <v>704</v>
      </c>
      <c r="GG30" s="208" t="s">
        <v>1441</v>
      </c>
      <c r="GH30" s="159" t="s">
        <v>697</v>
      </c>
      <c r="GI30" s="159" t="s">
        <v>697</v>
      </c>
      <c r="GJ30" s="159" t="s">
        <v>697</v>
      </c>
      <c r="GK30" s="159" t="s">
        <v>698</v>
      </c>
      <c r="GL30" s="115" t="s">
        <v>704</v>
      </c>
      <c r="GM30" s="115" t="s">
        <v>1657</v>
      </c>
      <c r="GN30" s="159" t="s">
        <v>849</v>
      </c>
      <c r="GO30" s="159" t="s">
        <v>2176</v>
      </c>
      <c r="GP30" s="169" t="s">
        <v>697</v>
      </c>
      <c r="GQ30" s="208" t="s">
        <v>697</v>
      </c>
      <c r="GR30" s="115" t="s">
        <v>698</v>
      </c>
      <c r="GS30" s="159" t="s">
        <v>704</v>
      </c>
      <c r="GT30" s="159" t="s">
        <v>697</v>
      </c>
      <c r="GU30" s="159" t="s">
        <v>704</v>
      </c>
      <c r="GV30" s="159" t="s">
        <v>699</v>
      </c>
      <c r="GW30" s="159" t="s">
        <v>696</v>
      </c>
      <c r="GX30" s="159" t="s">
        <v>699</v>
      </c>
      <c r="GY30" s="115" t="s">
        <v>697</v>
      </c>
      <c r="GZ30" s="191" t="s">
        <v>704</v>
      </c>
      <c r="HA30" s="159" t="s">
        <v>697</v>
      </c>
      <c r="HB30" s="159" t="s">
        <v>704</v>
      </c>
      <c r="HC30" s="159" t="s">
        <v>697</v>
      </c>
      <c r="HD30" s="156" t="s">
        <v>704</v>
      </c>
      <c r="HE30" s="169" t="s">
        <v>704</v>
      </c>
      <c r="HF30" s="169" t="s">
        <v>704</v>
      </c>
      <c r="HG30" s="187" t="s">
        <v>702</v>
      </c>
      <c r="HH30" s="169" t="s">
        <v>704</v>
      </c>
      <c r="HI30" s="200" t="s">
        <v>1440</v>
      </c>
      <c r="HJ30" s="115" t="s">
        <v>698</v>
      </c>
      <c r="HK30" s="115" t="s">
        <v>702</v>
      </c>
      <c r="HL30" s="159" t="s">
        <v>700</v>
      </c>
      <c r="HM30" s="115" t="s">
        <v>700</v>
      </c>
      <c r="HN30" s="159" t="s">
        <v>704</v>
      </c>
      <c r="HO30" s="159" t="s">
        <v>698</v>
      </c>
      <c r="HP30" s="159" t="s">
        <v>698</v>
      </c>
      <c r="HQ30" s="159" t="s">
        <v>702</v>
      </c>
      <c r="HR30" s="159" t="s">
        <v>698</v>
      </c>
      <c r="HS30" s="159" t="s">
        <v>698</v>
      </c>
      <c r="HT30" s="184" t="s">
        <v>698</v>
      </c>
      <c r="HU30" s="159" t="s">
        <v>698</v>
      </c>
      <c r="HV30" s="159" t="s">
        <v>702</v>
      </c>
      <c r="HW30" s="159" t="s">
        <v>849</v>
      </c>
      <c r="HX30" s="159" t="s">
        <v>698</v>
      </c>
      <c r="HY30" s="159" t="s">
        <v>1034</v>
      </c>
      <c r="HZ30" s="159" t="s">
        <v>698</v>
      </c>
      <c r="IA30" s="159" t="s">
        <v>698</v>
      </c>
      <c r="IB30" s="159" t="s">
        <v>697</v>
      </c>
      <c r="IC30" s="159" t="s">
        <v>1034</v>
      </c>
      <c r="ID30" s="155" t="s">
        <v>1640</v>
      </c>
      <c r="IE30" s="159" t="s">
        <v>698</v>
      </c>
      <c r="IF30" s="183" t="s">
        <v>696</v>
      </c>
      <c r="IG30" s="185" t="s">
        <v>698</v>
      </c>
      <c r="IH30" s="185" t="s">
        <v>702</v>
      </c>
      <c r="II30" s="185" t="s">
        <v>719</v>
      </c>
      <c r="IJ30" s="185" t="s">
        <v>696</v>
      </c>
      <c r="IK30" s="183" t="s">
        <v>1034</v>
      </c>
      <c r="IL30" s="183" t="s">
        <v>696</v>
      </c>
      <c r="IM30" s="159" t="s">
        <v>696</v>
      </c>
      <c r="IN30" s="159" t="s">
        <v>696</v>
      </c>
      <c r="IO30" s="159" t="s">
        <v>702</v>
      </c>
      <c r="IP30" s="159" t="s">
        <v>702</v>
      </c>
      <c r="IQ30" s="115" t="s">
        <v>698</v>
      </c>
      <c r="IR30" s="159" t="s">
        <v>696</v>
      </c>
      <c r="IS30" s="159" t="s">
        <v>704</v>
      </c>
      <c r="IT30" s="159" t="s">
        <v>1034</v>
      </c>
      <c r="IU30" s="159" t="s">
        <v>1034</v>
      </c>
      <c r="IV30" s="159" t="s">
        <v>1034</v>
      </c>
      <c r="IW30" s="159" t="s">
        <v>1034</v>
      </c>
      <c r="IX30" s="159"/>
      <c r="IY30" s="184" t="s">
        <v>702</v>
      </c>
      <c r="IZ30" s="184" t="s">
        <v>702</v>
      </c>
      <c r="JA30" s="159" t="s">
        <v>697</v>
      </c>
      <c r="JB30" s="184" t="s">
        <v>702</v>
      </c>
      <c r="JC30" s="159" t="s">
        <v>853</v>
      </c>
      <c r="JD30" s="159" t="s">
        <v>853</v>
      </c>
      <c r="JE30" s="159" t="s">
        <v>698</v>
      </c>
      <c r="JF30" s="159" t="s">
        <v>696</v>
      </c>
      <c r="JG30" s="159" t="s">
        <v>698</v>
      </c>
      <c r="JH30" s="159" t="s">
        <v>696</v>
      </c>
      <c r="JI30" s="159" t="s">
        <v>853</v>
      </c>
      <c r="JJ30" s="243" t="s">
        <v>699</v>
      </c>
      <c r="JK30" s="243" t="s">
        <v>699</v>
      </c>
      <c r="JL30" s="243" t="s">
        <v>696</v>
      </c>
      <c r="JM30" s="243" t="s">
        <v>1640</v>
      </c>
      <c r="JN30" s="159" t="s">
        <v>696</v>
      </c>
      <c r="JO30" s="159" t="s">
        <v>702</v>
      </c>
      <c r="JP30" s="159" t="s">
        <v>698</v>
      </c>
      <c r="JQ30" s="159" t="s">
        <v>697</v>
      </c>
      <c r="JR30" s="159" t="s">
        <v>697</v>
      </c>
      <c r="JS30" s="159" t="s">
        <v>696</v>
      </c>
      <c r="JT30" s="159" t="s">
        <v>698</v>
      </c>
      <c r="JU30" s="159" t="s">
        <v>696</v>
      </c>
      <c r="JV30" s="159" t="s">
        <v>696</v>
      </c>
      <c r="JW30" s="159" t="s">
        <v>696</v>
      </c>
      <c r="JX30" s="159" t="s">
        <v>696</v>
      </c>
      <c r="JY30" s="159" t="s">
        <v>696</v>
      </c>
      <c r="JZ30" s="159" t="s">
        <v>696</v>
      </c>
      <c r="KA30" s="159" t="s">
        <v>696</v>
      </c>
      <c r="KB30" s="159" t="s">
        <v>696</v>
      </c>
      <c r="KC30" s="159" t="s">
        <v>696</v>
      </c>
      <c r="KD30" s="159" t="s">
        <v>697</v>
      </c>
      <c r="KE30" s="159" t="s">
        <v>696</v>
      </c>
      <c r="KF30" s="159" t="s">
        <v>696</v>
      </c>
      <c r="KG30" s="184" t="s">
        <v>849</v>
      </c>
      <c r="KH30" s="159" t="s">
        <v>696</v>
      </c>
      <c r="KI30" s="159" t="s">
        <v>1640</v>
      </c>
      <c r="KJ30" s="159" t="s">
        <v>697</v>
      </c>
      <c r="KK30" s="159" t="s">
        <v>696</v>
      </c>
      <c r="KL30" s="159" t="s">
        <v>1441</v>
      </c>
      <c r="KM30" s="159" t="s">
        <v>696</v>
      </c>
      <c r="KN30" s="187" t="s">
        <v>11</v>
      </c>
      <c r="KO30" s="159" t="s">
        <v>696</v>
      </c>
      <c r="KP30" s="159" t="s">
        <v>698</v>
      </c>
      <c r="KQ30" s="159" t="s">
        <v>849</v>
      </c>
      <c r="KR30" s="159" t="s">
        <v>696</v>
      </c>
      <c r="KS30" s="159" t="s">
        <v>853</v>
      </c>
      <c r="KT30" s="184" t="s">
        <v>702</v>
      </c>
      <c r="KU30" s="184" t="s">
        <v>702</v>
      </c>
      <c r="KV30" s="184" t="s">
        <v>697</v>
      </c>
      <c r="KW30" s="115" t="s">
        <v>707</v>
      </c>
      <c r="KX30" s="115" t="s">
        <v>696</v>
      </c>
      <c r="KY30" s="243" t="s">
        <v>696</v>
      </c>
      <c r="KZ30" s="243" t="s">
        <v>851</v>
      </c>
      <c r="LA30" s="187" t="s">
        <v>702</v>
      </c>
      <c r="LB30" s="115" t="s">
        <v>697</v>
      </c>
      <c r="LC30" s="184" t="s">
        <v>697</v>
      </c>
      <c r="LD30" s="184" t="s">
        <v>697</v>
      </c>
      <c r="LE30" s="184" t="s">
        <v>697</v>
      </c>
      <c r="LF30" s="184" t="s">
        <v>1034</v>
      </c>
      <c r="LG30" s="184" t="s">
        <v>1034</v>
      </c>
      <c r="LH30" s="115" t="s">
        <v>696</v>
      </c>
      <c r="LI30" s="115" t="s">
        <v>698</v>
      </c>
      <c r="LJ30" s="115" t="s">
        <v>698</v>
      </c>
      <c r="LK30" s="115" t="s">
        <v>698</v>
      </c>
      <c r="LL30" s="187" t="s">
        <v>702</v>
      </c>
      <c r="LM30" s="120" t="s">
        <v>1034</v>
      </c>
      <c r="LN30" s="263" t="s">
        <v>849</v>
      </c>
      <c r="LO30" s="115" t="s">
        <v>703</v>
      </c>
      <c r="LP30" s="115" t="s">
        <v>699</v>
      </c>
      <c r="LQ30" s="263" t="s">
        <v>698</v>
      </c>
      <c r="LR30" s="184" t="s">
        <v>1034</v>
      </c>
      <c r="LS30" s="115" t="s">
        <v>698</v>
      </c>
      <c r="LT30" s="115" t="s">
        <v>11</v>
      </c>
      <c r="LU30" s="115" t="s">
        <v>11</v>
      </c>
      <c r="LV30" s="286" t="s">
        <v>11</v>
      </c>
      <c r="LW30" s="115" t="s">
        <v>11</v>
      </c>
      <c r="LX30" s="115" t="s">
        <v>11</v>
      </c>
      <c r="LY30" s="115" t="s">
        <v>1034</v>
      </c>
      <c r="LZ30" s="115" t="s">
        <v>697</v>
      </c>
      <c r="MA30" s="115" t="s">
        <v>851</v>
      </c>
      <c r="MB30" s="115" t="s">
        <v>1133</v>
      </c>
      <c r="MC30" s="115" t="s">
        <v>1034</v>
      </c>
      <c r="MD30" s="184" t="s">
        <v>702</v>
      </c>
    </row>
    <row r="31" spans="1:342" s="68" customFormat="1" ht="14.4" x14ac:dyDescent="0.3">
      <c r="A31" s="92">
        <v>28</v>
      </c>
      <c r="B31" s="311"/>
      <c r="C31" s="64" t="s">
        <v>468</v>
      </c>
      <c r="D31" s="69"/>
      <c r="E31" s="66" t="s">
        <v>708</v>
      </c>
      <c r="F31" s="66" t="s">
        <v>11</v>
      </c>
      <c r="G31" s="66" t="s">
        <v>11</v>
      </c>
      <c r="H31" s="66">
        <v>2</v>
      </c>
      <c r="I31" s="66">
        <v>3</v>
      </c>
      <c r="J31" s="66">
        <v>4</v>
      </c>
      <c r="K31" s="66" t="s">
        <v>708</v>
      </c>
      <c r="L31" s="66">
        <v>2</v>
      </c>
      <c r="M31" s="66" t="s">
        <v>708</v>
      </c>
      <c r="N31" s="66" t="s">
        <v>708</v>
      </c>
      <c r="O31" s="66">
        <v>2</v>
      </c>
      <c r="P31" s="66" t="s">
        <v>708</v>
      </c>
      <c r="Q31" s="66">
        <v>8</v>
      </c>
      <c r="R31" s="68">
        <v>13</v>
      </c>
      <c r="S31" s="68">
        <v>13</v>
      </c>
      <c r="T31" s="68">
        <v>13</v>
      </c>
      <c r="U31" s="66" t="s">
        <v>708</v>
      </c>
      <c r="V31" s="66" t="s">
        <v>708</v>
      </c>
      <c r="W31" s="66" t="s">
        <v>708</v>
      </c>
      <c r="X31" s="66" t="s">
        <v>708</v>
      </c>
      <c r="Y31" s="66" t="s">
        <v>708</v>
      </c>
      <c r="Z31" s="66" t="s">
        <v>708</v>
      </c>
      <c r="AA31" s="94">
        <v>6</v>
      </c>
      <c r="AB31" s="66">
        <v>9</v>
      </c>
      <c r="AC31" s="66">
        <v>2</v>
      </c>
      <c r="AD31" s="66">
        <v>2</v>
      </c>
      <c r="AE31" s="66">
        <v>2</v>
      </c>
      <c r="AF31" s="66">
        <v>2</v>
      </c>
      <c r="AG31" s="66">
        <v>3</v>
      </c>
      <c r="AH31" s="66">
        <v>6</v>
      </c>
      <c r="AI31" s="66">
        <v>13</v>
      </c>
      <c r="AJ31" s="66">
        <v>13</v>
      </c>
      <c r="AK31" s="66">
        <v>13</v>
      </c>
      <c r="AL31" s="66">
        <v>13</v>
      </c>
      <c r="AM31" s="66">
        <v>14</v>
      </c>
      <c r="AN31" s="66">
        <v>13</v>
      </c>
      <c r="AO31" s="66">
        <v>13</v>
      </c>
      <c r="AP31" s="66">
        <v>13</v>
      </c>
      <c r="AQ31" s="66">
        <v>3</v>
      </c>
      <c r="AR31" s="66">
        <v>2</v>
      </c>
      <c r="AS31" s="66">
        <v>2</v>
      </c>
      <c r="AT31" s="66" t="s">
        <v>708</v>
      </c>
      <c r="AU31" s="66">
        <v>13</v>
      </c>
      <c r="AV31" s="66">
        <v>13</v>
      </c>
      <c r="AW31" s="66">
        <v>13</v>
      </c>
      <c r="AX31" s="66" t="s">
        <v>708</v>
      </c>
      <c r="AY31" s="66" t="s">
        <v>11</v>
      </c>
      <c r="AZ31" s="66" t="s">
        <v>11</v>
      </c>
      <c r="BA31" s="66">
        <v>6</v>
      </c>
      <c r="BB31" s="66">
        <v>2</v>
      </c>
      <c r="BC31" s="66">
        <v>22</v>
      </c>
      <c r="BD31" s="66">
        <v>22</v>
      </c>
      <c r="BE31" s="66">
        <v>3</v>
      </c>
      <c r="BF31" s="66">
        <v>3</v>
      </c>
      <c r="BG31" s="66" t="s">
        <v>708</v>
      </c>
      <c r="BH31" s="66">
        <v>22</v>
      </c>
      <c r="BI31" s="94">
        <v>2</v>
      </c>
      <c r="BJ31" s="94">
        <v>2</v>
      </c>
      <c r="BK31" s="42">
        <v>3</v>
      </c>
      <c r="BL31" s="68">
        <v>20</v>
      </c>
      <c r="BM31" s="68">
        <v>21</v>
      </c>
      <c r="BN31" s="68">
        <v>21</v>
      </c>
      <c r="BO31" s="68">
        <v>21</v>
      </c>
      <c r="BP31" s="68">
        <v>21</v>
      </c>
      <c r="BQ31" s="68">
        <v>21</v>
      </c>
      <c r="BR31" s="117" t="s">
        <v>11</v>
      </c>
      <c r="BS31" s="105">
        <v>14</v>
      </c>
      <c r="BT31" s="105">
        <v>8</v>
      </c>
      <c r="BU31" s="115">
        <v>6</v>
      </c>
      <c r="BV31" s="159">
        <v>77</v>
      </c>
      <c r="BW31" s="159">
        <v>6</v>
      </c>
      <c r="BX31" s="115">
        <v>7</v>
      </c>
      <c r="BY31" s="115">
        <v>7</v>
      </c>
      <c r="BZ31" s="115">
        <v>7</v>
      </c>
      <c r="CA31" s="68">
        <v>4</v>
      </c>
      <c r="CB31" s="68">
        <v>6</v>
      </c>
      <c r="CC31" s="68">
        <v>80</v>
      </c>
      <c r="CD31" s="68">
        <v>6</v>
      </c>
      <c r="CE31" s="68">
        <v>14</v>
      </c>
      <c r="CF31" s="68">
        <v>1</v>
      </c>
      <c r="CG31" s="68">
        <v>79</v>
      </c>
      <c r="CH31" s="68">
        <v>3</v>
      </c>
      <c r="CI31" s="68">
        <v>6</v>
      </c>
      <c r="CJ31" s="68">
        <v>82</v>
      </c>
      <c r="CK31" s="68">
        <v>83</v>
      </c>
      <c r="CL31" s="68">
        <v>14</v>
      </c>
      <c r="CM31" s="68">
        <v>4</v>
      </c>
      <c r="CN31" s="68">
        <v>2</v>
      </c>
      <c r="CO31" s="68">
        <v>6</v>
      </c>
      <c r="CP31" s="68">
        <v>2</v>
      </c>
      <c r="CQ31" s="68">
        <v>6</v>
      </c>
      <c r="CR31" s="68">
        <v>7</v>
      </c>
      <c r="CS31" s="68">
        <v>11</v>
      </c>
      <c r="CT31" s="68">
        <v>2</v>
      </c>
      <c r="CU31" s="68">
        <v>80</v>
      </c>
      <c r="CV31" s="68">
        <v>79</v>
      </c>
      <c r="CW31" s="68">
        <v>11</v>
      </c>
      <c r="CX31" s="68">
        <v>2</v>
      </c>
      <c r="CY31" s="68">
        <v>2</v>
      </c>
      <c r="CZ31" s="68">
        <v>2</v>
      </c>
      <c r="DA31" s="68">
        <v>2</v>
      </c>
      <c r="DB31" s="68">
        <v>2</v>
      </c>
      <c r="DC31" s="68">
        <v>2</v>
      </c>
      <c r="DD31" s="68">
        <v>2</v>
      </c>
      <c r="DE31" s="68">
        <v>2</v>
      </c>
      <c r="DF31" s="68">
        <v>2</v>
      </c>
      <c r="DG31" s="68">
        <v>2</v>
      </c>
      <c r="DH31" s="68">
        <v>2</v>
      </c>
      <c r="DI31" s="68">
        <v>2</v>
      </c>
      <c r="DJ31" s="68">
        <v>2</v>
      </c>
      <c r="DK31" s="68">
        <v>30</v>
      </c>
      <c r="DL31" s="68">
        <v>2</v>
      </c>
      <c r="DM31" s="68">
        <v>14</v>
      </c>
      <c r="DN31" s="68">
        <v>14</v>
      </c>
      <c r="DO31" s="68">
        <v>2</v>
      </c>
      <c r="DP31" s="68">
        <v>6</v>
      </c>
      <c r="DQ31" s="68">
        <v>6</v>
      </c>
      <c r="DR31" s="68">
        <v>6</v>
      </c>
      <c r="DS31" s="68">
        <v>6</v>
      </c>
      <c r="DT31" s="68">
        <v>6</v>
      </c>
      <c r="DU31" s="68">
        <v>13</v>
      </c>
      <c r="DV31" s="68">
        <v>6</v>
      </c>
      <c r="DW31" s="182">
        <v>28</v>
      </c>
      <c r="DX31" s="182">
        <v>13</v>
      </c>
      <c r="DY31" s="182">
        <v>90</v>
      </c>
      <c r="DZ31" s="159">
        <v>14</v>
      </c>
      <c r="EA31" s="182">
        <v>94</v>
      </c>
      <c r="EB31" s="182">
        <v>90</v>
      </c>
      <c r="EC31" s="159">
        <v>14</v>
      </c>
      <c r="ED31" s="159">
        <v>4</v>
      </c>
      <c r="EE31" s="159">
        <v>4</v>
      </c>
      <c r="EF31" s="159">
        <v>4</v>
      </c>
      <c r="EG31" s="159">
        <v>4</v>
      </c>
      <c r="EH31" s="159">
        <v>7</v>
      </c>
      <c r="EI31" s="187">
        <v>2</v>
      </c>
      <c r="EJ31" s="115">
        <v>2</v>
      </c>
      <c r="EK31" s="187">
        <v>2</v>
      </c>
      <c r="EL31" s="115">
        <v>3</v>
      </c>
      <c r="EM31" s="187">
        <v>2</v>
      </c>
      <c r="EN31" s="159" t="s">
        <v>11</v>
      </c>
      <c r="EO31" s="159">
        <v>14</v>
      </c>
      <c r="EP31" s="159">
        <v>14</v>
      </c>
      <c r="EQ31" s="159">
        <v>91</v>
      </c>
      <c r="ER31" s="115">
        <v>14</v>
      </c>
      <c r="ES31" s="159">
        <v>14</v>
      </c>
      <c r="ET31" s="182">
        <v>7</v>
      </c>
      <c r="EU31" s="159">
        <v>6</v>
      </c>
      <c r="EV31" s="159">
        <v>6</v>
      </c>
      <c r="EW31" s="159" t="s">
        <v>11</v>
      </c>
      <c r="EX31" s="115">
        <v>2</v>
      </c>
      <c r="EY31" s="115">
        <v>2</v>
      </c>
      <c r="EZ31" s="115">
        <v>2</v>
      </c>
      <c r="FA31" s="68">
        <v>6</v>
      </c>
      <c r="FB31" s="68">
        <v>3</v>
      </c>
      <c r="FC31" s="68">
        <v>6</v>
      </c>
      <c r="FD31" s="68">
        <v>3</v>
      </c>
      <c r="FE31" s="68">
        <v>6</v>
      </c>
      <c r="FF31" s="68">
        <v>4</v>
      </c>
      <c r="FG31" s="68">
        <v>4</v>
      </c>
      <c r="FH31" s="68">
        <v>2</v>
      </c>
      <c r="FI31" s="68">
        <v>2</v>
      </c>
      <c r="FJ31" s="68">
        <v>2</v>
      </c>
      <c r="FK31" s="68">
        <v>93</v>
      </c>
      <c r="FL31" s="68">
        <v>93</v>
      </c>
      <c r="FM31" s="200">
        <v>3</v>
      </c>
      <c r="FN31" s="155">
        <v>6</v>
      </c>
      <c r="FO31" s="187">
        <v>6</v>
      </c>
      <c r="FP31" s="155">
        <v>7</v>
      </c>
      <c r="FQ31" s="155">
        <v>7</v>
      </c>
      <c r="FR31" s="115">
        <v>6</v>
      </c>
      <c r="FS31" s="155">
        <v>6</v>
      </c>
      <c r="FT31" s="187">
        <v>90</v>
      </c>
      <c r="FU31" s="187">
        <v>90</v>
      </c>
      <c r="FV31" s="159">
        <v>4</v>
      </c>
      <c r="FW31" s="159">
        <v>4</v>
      </c>
      <c r="FX31" s="184">
        <v>6</v>
      </c>
      <c r="FY31" s="115">
        <v>2</v>
      </c>
      <c r="FZ31" s="159">
        <v>7</v>
      </c>
      <c r="GA31" s="159">
        <v>92</v>
      </c>
      <c r="GB31" s="115">
        <v>2</v>
      </c>
      <c r="GC31" s="115">
        <v>2</v>
      </c>
      <c r="GD31" s="210">
        <v>2</v>
      </c>
      <c r="GE31" s="159">
        <v>6</v>
      </c>
      <c r="GF31" s="159">
        <v>14</v>
      </c>
      <c r="GG31" s="209">
        <v>86</v>
      </c>
      <c r="GH31" s="159">
        <v>6</v>
      </c>
      <c r="GI31" s="159">
        <v>6</v>
      </c>
      <c r="GJ31" s="159">
        <v>6</v>
      </c>
      <c r="GK31" s="159">
        <v>2</v>
      </c>
      <c r="GL31" s="115">
        <v>14</v>
      </c>
      <c r="GM31" s="185">
        <v>93</v>
      </c>
      <c r="GN31" s="159">
        <v>4</v>
      </c>
      <c r="GO31" s="159">
        <v>98</v>
      </c>
      <c r="GP31" s="184">
        <v>6</v>
      </c>
      <c r="GQ31" s="209">
        <v>6</v>
      </c>
      <c r="GR31" s="115">
        <v>2</v>
      </c>
      <c r="GS31" s="159">
        <v>14</v>
      </c>
      <c r="GT31" s="159">
        <v>6</v>
      </c>
      <c r="GU31" s="159">
        <v>14</v>
      </c>
      <c r="GV31" s="159">
        <v>6</v>
      </c>
      <c r="GW31" s="159">
        <v>7</v>
      </c>
      <c r="GX31" s="159">
        <v>6</v>
      </c>
      <c r="GY31" s="184">
        <v>6</v>
      </c>
      <c r="GZ31" s="188">
        <v>14</v>
      </c>
      <c r="HA31" s="182">
        <v>6</v>
      </c>
      <c r="HB31" s="159">
        <v>14</v>
      </c>
      <c r="HC31" s="182">
        <v>6</v>
      </c>
      <c r="HD31" s="188">
        <v>14</v>
      </c>
      <c r="HE31" s="184">
        <v>14</v>
      </c>
      <c r="HF31" s="184">
        <v>9</v>
      </c>
      <c r="HG31" s="187">
        <v>3</v>
      </c>
      <c r="HH31" s="184">
        <v>14</v>
      </c>
      <c r="HI31" s="200">
        <v>6</v>
      </c>
      <c r="HJ31" s="184">
        <v>2</v>
      </c>
      <c r="HK31" s="185">
        <v>14</v>
      </c>
      <c r="HL31" s="184">
        <v>6</v>
      </c>
      <c r="HM31" s="184">
        <v>6</v>
      </c>
      <c r="HN31" s="182">
        <v>14</v>
      </c>
      <c r="HO31" s="159">
        <v>2</v>
      </c>
      <c r="HP31" s="159">
        <v>2</v>
      </c>
      <c r="HQ31" s="159">
        <v>3</v>
      </c>
      <c r="HR31" s="159">
        <v>2</v>
      </c>
      <c r="HS31" s="182">
        <v>2</v>
      </c>
      <c r="HT31" s="184">
        <v>2</v>
      </c>
      <c r="HU31" s="159">
        <v>2</v>
      </c>
      <c r="HV31" s="159">
        <v>3</v>
      </c>
      <c r="HW31" s="184">
        <v>4</v>
      </c>
      <c r="HX31" s="159">
        <v>2</v>
      </c>
      <c r="HY31" s="155">
        <v>20</v>
      </c>
      <c r="HZ31" s="184">
        <v>2</v>
      </c>
      <c r="IA31" s="159">
        <v>2</v>
      </c>
      <c r="IB31" s="159">
        <v>6</v>
      </c>
      <c r="IC31" s="155">
        <v>20</v>
      </c>
      <c r="ID31" s="155">
        <v>90</v>
      </c>
      <c r="IE31" s="159">
        <v>2</v>
      </c>
      <c r="IF31" s="183">
        <v>7</v>
      </c>
      <c r="IG31" s="185">
        <v>2</v>
      </c>
      <c r="IH31" s="185">
        <v>3</v>
      </c>
      <c r="II31" s="185">
        <v>94</v>
      </c>
      <c r="IJ31" s="185">
        <v>7</v>
      </c>
      <c r="IK31" s="185">
        <v>20</v>
      </c>
      <c r="IL31" s="183">
        <v>7</v>
      </c>
      <c r="IM31" s="159">
        <v>7</v>
      </c>
      <c r="IN31" s="159">
        <v>7</v>
      </c>
      <c r="IO31" s="182">
        <v>3</v>
      </c>
      <c r="IP31" s="182">
        <v>3</v>
      </c>
      <c r="IQ31" s="115">
        <v>2</v>
      </c>
      <c r="IR31" s="159">
        <v>7</v>
      </c>
      <c r="IS31" s="159">
        <v>9</v>
      </c>
      <c r="IT31" s="184">
        <v>20</v>
      </c>
      <c r="IU31" s="184">
        <v>20</v>
      </c>
      <c r="IV31" s="184">
        <v>20</v>
      </c>
      <c r="IW31" s="184">
        <v>20</v>
      </c>
      <c r="IX31" s="182"/>
      <c r="IY31" s="184">
        <v>3</v>
      </c>
      <c r="IZ31" s="184">
        <v>3</v>
      </c>
      <c r="JA31" s="184">
        <v>6</v>
      </c>
      <c r="JB31" s="184">
        <v>3</v>
      </c>
      <c r="JC31" s="184">
        <v>12</v>
      </c>
      <c r="JD31" s="184">
        <v>12</v>
      </c>
      <c r="JE31" s="182">
        <v>2</v>
      </c>
      <c r="JF31" s="184">
        <v>7</v>
      </c>
      <c r="JG31" s="182">
        <v>2</v>
      </c>
      <c r="JH31" s="184">
        <v>7</v>
      </c>
      <c r="JI31" s="184">
        <v>12</v>
      </c>
      <c r="JJ31" s="243">
        <v>6</v>
      </c>
      <c r="JK31" s="243">
        <v>6</v>
      </c>
      <c r="JL31" s="243">
        <v>7</v>
      </c>
      <c r="JM31" s="243">
        <v>90</v>
      </c>
      <c r="JN31" s="182">
        <v>7</v>
      </c>
      <c r="JO31" s="184">
        <v>3</v>
      </c>
      <c r="JP31" s="184">
        <v>2</v>
      </c>
      <c r="JQ31" s="159">
        <v>6</v>
      </c>
      <c r="JR31" s="184">
        <v>6</v>
      </c>
      <c r="JS31" s="184">
        <v>7</v>
      </c>
      <c r="JT31" s="182">
        <v>2</v>
      </c>
      <c r="JU31" s="184">
        <v>7</v>
      </c>
      <c r="JV31" s="184">
        <v>7</v>
      </c>
      <c r="JW31" s="184">
        <v>7</v>
      </c>
      <c r="JX31" s="184">
        <v>7</v>
      </c>
      <c r="JY31" s="184">
        <v>7</v>
      </c>
      <c r="JZ31" s="184">
        <v>7</v>
      </c>
      <c r="KA31" s="184">
        <v>7</v>
      </c>
      <c r="KB31" s="184">
        <v>7</v>
      </c>
      <c r="KC31" s="184">
        <v>7</v>
      </c>
      <c r="KD31" s="182">
        <v>6</v>
      </c>
      <c r="KE31" s="184">
        <v>7</v>
      </c>
      <c r="KF31" s="184">
        <v>7</v>
      </c>
      <c r="KG31" s="159">
        <v>4</v>
      </c>
      <c r="KH31" s="182">
        <v>7</v>
      </c>
      <c r="KI31" s="182">
        <v>90</v>
      </c>
      <c r="KJ31" s="159">
        <v>6</v>
      </c>
      <c r="KK31" s="159">
        <v>7</v>
      </c>
      <c r="KL31" s="184">
        <v>102</v>
      </c>
      <c r="KM31" s="159">
        <v>7</v>
      </c>
      <c r="KN31" s="187" t="s">
        <v>11</v>
      </c>
      <c r="KO31" s="184">
        <v>7</v>
      </c>
      <c r="KP31" s="159">
        <v>2</v>
      </c>
      <c r="KQ31" s="184">
        <v>4</v>
      </c>
      <c r="KR31" s="159">
        <v>7</v>
      </c>
      <c r="KS31" s="159">
        <v>12</v>
      </c>
      <c r="KT31" s="184">
        <v>3</v>
      </c>
      <c r="KU31" s="184">
        <v>3</v>
      </c>
      <c r="KV31" s="184">
        <v>6</v>
      </c>
      <c r="KW31" s="184">
        <v>7</v>
      </c>
      <c r="KX31" s="184">
        <v>7</v>
      </c>
      <c r="KY31" s="243">
        <v>7</v>
      </c>
      <c r="KZ31" s="243">
        <v>100</v>
      </c>
      <c r="LA31" s="187">
        <v>3</v>
      </c>
      <c r="LB31" s="184">
        <v>6</v>
      </c>
      <c r="LC31" s="184">
        <v>6</v>
      </c>
      <c r="LD31" s="184">
        <v>6</v>
      </c>
      <c r="LE31" s="184">
        <v>6</v>
      </c>
      <c r="LF31" s="184">
        <v>20</v>
      </c>
      <c r="LG31" s="184">
        <v>20</v>
      </c>
      <c r="LH31" s="115">
        <v>7</v>
      </c>
      <c r="LI31" s="115">
        <v>2</v>
      </c>
      <c r="LJ31" s="115">
        <v>2</v>
      </c>
      <c r="LK31" s="184">
        <v>2</v>
      </c>
      <c r="LL31" s="187">
        <v>3</v>
      </c>
      <c r="LM31" s="275">
        <v>20</v>
      </c>
      <c r="LN31" s="263">
        <v>4</v>
      </c>
      <c r="LO31" s="115">
        <v>8</v>
      </c>
      <c r="LP31" s="115">
        <v>6</v>
      </c>
      <c r="LQ31" s="263">
        <v>2</v>
      </c>
      <c r="LR31" s="184">
        <v>20</v>
      </c>
      <c r="LS31" s="115">
        <v>2</v>
      </c>
      <c r="LT31" s="115" t="s">
        <v>11</v>
      </c>
      <c r="LU31" s="115" t="s">
        <v>11</v>
      </c>
      <c r="LV31" s="286" t="s">
        <v>11</v>
      </c>
      <c r="LW31" s="115" t="s">
        <v>11</v>
      </c>
      <c r="LX31" s="115" t="s">
        <v>11</v>
      </c>
      <c r="LY31" s="184">
        <v>20</v>
      </c>
      <c r="LZ31" s="184">
        <v>6</v>
      </c>
      <c r="MA31" s="115">
        <v>7</v>
      </c>
      <c r="MB31" s="185">
        <v>11</v>
      </c>
      <c r="MC31" s="184">
        <v>20</v>
      </c>
      <c r="MD31" s="184">
        <v>3</v>
      </c>
    </row>
    <row r="32" spans="1:342" s="68" customFormat="1" ht="14.4" x14ac:dyDescent="0.3">
      <c r="A32" s="92">
        <v>29</v>
      </c>
      <c r="B32" s="311"/>
      <c r="C32" s="64" t="s">
        <v>469</v>
      </c>
      <c r="D32" s="69"/>
      <c r="E32" s="66" t="s">
        <v>701</v>
      </c>
      <c r="F32" s="66" t="s">
        <v>11</v>
      </c>
      <c r="G32" s="66" t="s">
        <v>11</v>
      </c>
      <c r="H32" s="66" t="s">
        <v>11</v>
      </c>
      <c r="I32" s="94" t="s">
        <v>707</v>
      </c>
      <c r="J32" s="94" t="s">
        <v>707</v>
      </c>
      <c r="K32" s="94" t="s">
        <v>696</v>
      </c>
      <c r="L32" s="66" t="s">
        <v>703</v>
      </c>
      <c r="M32" s="66" t="s">
        <v>704</v>
      </c>
      <c r="N32" s="66" t="s">
        <v>704</v>
      </c>
      <c r="O32" s="66" t="s">
        <v>704</v>
      </c>
      <c r="P32" s="66" t="s">
        <v>11</v>
      </c>
      <c r="Q32" s="66" t="s">
        <v>11</v>
      </c>
      <c r="R32" s="66" t="s">
        <v>704</v>
      </c>
      <c r="S32" s="66" t="s">
        <v>704</v>
      </c>
      <c r="T32" s="66" t="s">
        <v>704</v>
      </c>
      <c r="U32" s="66" t="s">
        <v>697</v>
      </c>
      <c r="V32" s="66" t="s">
        <v>697</v>
      </c>
      <c r="W32" s="66" t="s">
        <v>697</v>
      </c>
      <c r="X32" s="66" t="s">
        <v>697</v>
      </c>
      <c r="Y32" s="66" t="s">
        <v>702</v>
      </c>
      <c r="Z32" s="66" t="s">
        <v>698</v>
      </c>
      <c r="AA32" s="66" t="s">
        <v>698</v>
      </c>
      <c r="AB32" s="66" t="s">
        <v>698</v>
      </c>
      <c r="AC32" s="66" t="s">
        <v>1133</v>
      </c>
      <c r="AD32" s="66" t="s">
        <v>851</v>
      </c>
      <c r="AE32" s="66" t="s">
        <v>11</v>
      </c>
      <c r="AF32" s="66" t="s">
        <v>11</v>
      </c>
      <c r="AG32" s="66" t="s">
        <v>698</v>
      </c>
      <c r="AH32" s="66" t="s">
        <v>702</v>
      </c>
      <c r="AI32" s="66" t="s">
        <v>704</v>
      </c>
      <c r="AJ32" s="66" t="s">
        <v>698</v>
      </c>
      <c r="AK32" s="66" t="s">
        <v>704</v>
      </c>
      <c r="AL32" s="66" t="s">
        <v>704</v>
      </c>
      <c r="AM32" s="66" t="s">
        <v>698</v>
      </c>
      <c r="AN32" s="66" t="s">
        <v>697</v>
      </c>
      <c r="AO32" s="66" t="s">
        <v>702</v>
      </c>
      <c r="AP32" s="66" t="s">
        <v>702</v>
      </c>
      <c r="AQ32" s="66" t="s">
        <v>696</v>
      </c>
      <c r="AR32" s="66" t="s">
        <v>702</v>
      </c>
      <c r="AS32" s="66" t="s">
        <v>702</v>
      </c>
      <c r="AT32" s="66" t="s">
        <v>698</v>
      </c>
      <c r="AU32" s="66" t="s">
        <v>704</v>
      </c>
      <c r="AV32" s="66" t="s">
        <v>704</v>
      </c>
      <c r="AW32" s="66" t="s">
        <v>704</v>
      </c>
      <c r="AX32" s="94" t="s">
        <v>700</v>
      </c>
      <c r="AY32" s="66" t="s">
        <v>11</v>
      </c>
      <c r="AZ32" s="66" t="s">
        <v>11</v>
      </c>
      <c r="BA32" s="66" t="s">
        <v>698</v>
      </c>
      <c r="BB32" s="66" t="s">
        <v>702</v>
      </c>
      <c r="BC32" s="66" t="s">
        <v>799</v>
      </c>
      <c r="BD32" s="66" t="s">
        <v>697</v>
      </c>
      <c r="BE32" s="66" t="s">
        <v>696</v>
      </c>
      <c r="BF32" s="66" t="s">
        <v>696</v>
      </c>
      <c r="BG32" s="66" t="s">
        <v>799</v>
      </c>
      <c r="BH32" s="66" t="s">
        <v>697</v>
      </c>
      <c r="BI32" s="94" t="s">
        <v>704</v>
      </c>
      <c r="BJ32" s="94" t="s">
        <v>704</v>
      </c>
      <c r="BK32" s="66" t="s">
        <v>696</v>
      </c>
      <c r="BL32" s="72" t="s">
        <v>698</v>
      </c>
      <c r="BM32" s="38" t="s">
        <v>700</v>
      </c>
      <c r="BN32" s="38" t="s">
        <v>700</v>
      </c>
      <c r="BO32" s="38" t="s">
        <v>700</v>
      </c>
      <c r="BP32" s="38" t="s">
        <v>700</v>
      </c>
      <c r="BQ32" s="38" t="s">
        <v>700</v>
      </c>
      <c r="BR32" s="117" t="s">
        <v>11</v>
      </c>
      <c r="BS32" s="105" t="s">
        <v>849</v>
      </c>
      <c r="BT32" s="105" t="s">
        <v>11</v>
      </c>
      <c r="BU32" s="115" t="s">
        <v>703</v>
      </c>
      <c r="BV32" s="159" t="s">
        <v>702</v>
      </c>
      <c r="BW32" s="159" t="s">
        <v>700</v>
      </c>
      <c r="BX32" s="115" t="s">
        <v>699</v>
      </c>
      <c r="BY32" s="115" t="s">
        <v>699</v>
      </c>
      <c r="BZ32" s="115" t="s">
        <v>1440</v>
      </c>
      <c r="CA32" s="68" t="s">
        <v>697</v>
      </c>
      <c r="CB32" s="68" t="s">
        <v>700</v>
      </c>
      <c r="CC32" s="68" t="s">
        <v>849</v>
      </c>
      <c r="CD32" s="68" t="s">
        <v>700</v>
      </c>
      <c r="CE32" s="68" t="s">
        <v>1640</v>
      </c>
      <c r="CF32" s="68" t="s">
        <v>11</v>
      </c>
      <c r="CG32" s="68" t="s">
        <v>1033</v>
      </c>
      <c r="CH32" s="68" t="s">
        <v>11</v>
      </c>
      <c r="CI32" s="68" t="s">
        <v>702</v>
      </c>
      <c r="CJ32" s="68" t="s">
        <v>1034</v>
      </c>
      <c r="CK32" s="68" t="s">
        <v>719</v>
      </c>
      <c r="CL32" s="68" t="s">
        <v>852</v>
      </c>
      <c r="CM32" s="68" t="s">
        <v>706</v>
      </c>
      <c r="CN32" s="68" t="s">
        <v>702</v>
      </c>
      <c r="CO32" s="68" t="s">
        <v>1033</v>
      </c>
      <c r="CP32" s="68" t="s">
        <v>699</v>
      </c>
      <c r="CQ32" s="68" t="s">
        <v>702</v>
      </c>
      <c r="CR32" s="68" t="s">
        <v>702</v>
      </c>
      <c r="CS32" s="68" t="s">
        <v>11</v>
      </c>
      <c r="CT32" s="68" t="s">
        <v>11</v>
      </c>
      <c r="CU32" s="68" t="s">
        <v>849</v>
      </c>
      <c r="CV32" s="68" t="s">
        <v>11</v>
      </c>
      <c r="CW32" s="68" t="s">
        <v>11</v>
      </c>
      <c r="CX32" s="68" t="s">
        <v>704</v>
      </c>
      <c r="CY32" s="68" t="s">
        <v>704</v>
      </c>
      <c r="CZ32" s="68" t="s">
        <v>704</v>
      </c>
      <c r="DA32" s="68" t="s">
        <v>704</v>
      </c>
      <c r="DB32" s="68" t="s">
        <v>704</v>
      </c>
      <c r="DC32" s="68" t="s">
        <v>704</v>
      </c>
      <c r="DD32" s="68" t="s">
        <v>704</v>
      </c>
      <c r="DE32" s="68" t="s">
        <v>704</v>
      </c>
      <c r="DF32" s="68" t="s">
        <v>704</v>
      </c>
      <c r="DG32" s="68" t="s">
        <v>704</v>
      </c>
      <c r="DH32" s="68" t="s">
        <v>704</v>
      </c>
      <c r="DI32" s="68" t="s">
        <v>704</v>
      </c>
      <c r="DJ32" s="68" t="s">
        <v>11</v>
      </c>
      <c r="DK32" s="68" t="s">
        <v>11</v>
      </c>
      <c r="DL32" s="68" t="s">
        <v>704</v>
      </c>
      <c r="DM32" s="68" t="s">
        <v>849</v>
      </c>
      <c r="DN32" s="68" t="s">
        <v>713</v>
      </c>
      <c r="DO32" s="68" t="s">
        <v>704</v>
      </c>
      <c r="DP32" s="68" t="s">
        <v>804</v>
      </c>
      <c r="DQ32" s="68" t="s">
        <v>804</v>
      </c>
      <c r="DR32" s="68" t="s">
        <v>698</v>
      </c>
      <c r="DS32" s="68" t="s">
        <v>698</v>
      </c>
      <c r="DT32" s="68" t="s">
        <v>698</v>
      </c>
      <c r="DU32" s="68" t="s">
        <v>704</v>
      </c>
      <c r="DV32" s="68" t="s">
        <v>700</v>
      </c>
      <c r="DW32" s="159" t="s">
        <v>2176</v>
      </c>
      <c r="DX32" s="159" t="s">
        <v>704</v>
      </c>
      <c r="DY32" s="159" t="s">
        <v>849</v>
      </c>
      <c r="DZ32" s="159" t="s">
        <v>849</v>
      </c>
      <c r="EA32" s="159" t="s">
        <v>704</v>
      </c>
      <c r="EB32" s="159" t="s">
        <v>849</v>
      </c>
      <c r="EC32" s="159" t="s">
        <v>849</v>
      </c>
      <c r="ED32" s="159" t="s">
        <v>696</v>
      </c>
      <c r="EE32" s="159" t="s">
        <v>696</v>
      </c>
      <c r="EF32" s="159" t="s">
        <v>696</v>
      </c>
      <c r="EG32" s="159" t="s">
        <v>696</v>
      </c>
      <c r="EH32" s="159" t="s">
        <v>700</v>
      </c>
      <c r="EI32" s="187" t="s">
        <v>702</v>
      </c>
      <c r="EJ32" s="115" t="s">
        <v>704</v>
      </c>
      <c r="EK32" s="188" t="s">
        <v>849</v>
      </c>
      <c r="EL32" s="115" t="s">
        <v>698</v>
      </c>
      <c r="EM32" s="188" t="s">
        <v>1640</v>
      </c>
      <c r="EN32" s="159" t="s">
        <v>11</v>
      </c>
      <c r="EO32" s="184" t="s">
        <v>849</v>
      </c>
      <c r="EP32" s="184" t="s">
        <v>1640</v>
      </c>
      <c r="EQ32" s="184" t="s">
        <v>702</v>
      </c>
      <c r="ER32" s="115" t="s">
        <v>849</v>
      </c>
      <c r="ES32" s="184" t="s">
        <v>849</v>
      </c>
      <c r="ET32" s="184" t="s">
        <v>702</v>
      </c>
      <c r="EU32" s="159" t="s">
        <v>700</v>
      </c>
      <c r="EV32" s="159" t="s">
        <v>700</v>
      </c>
      <c r="EW32" s="159" t="s">
        <v>11</v>
      </c>
      <c r="EX32" s="184" t="s">
        <v>704</v>
      </c>
      <c r="EY32" s="184" t="s">
        <v>704</v>
      </c>
      <c r="EZ32" s="184" t="s">
        <v>704</v>
      </c>
      <c r="FA32" s="68" t="s">
        <v>698</v>
      </c>
      <c r="FB32" s="68" t="s">
        <v>704</v>
      </c>
      <c r="FC32" s="68" t="s">
        <v>698</v>
      </c>
      <c r="FD32" s="68" t="s">
        <v>704</v>
      </c>
      <c r="FE32" s="68" t="s">
        <v>706</v>
      </c>
      <c r="FF32" s="68" t="s">
        <v>698</v>
      </c>
      <c r="FG32" s="68" t="s">
        <v>698</v>
      </c>
      <c r="FH32" s="68" t="s">
        <v>702</v>
      </c>
      <c r="FI32" s="68" t="s">
        <v>704</v>
      </c>
      <c r="FJ32" s="68" t="s">
        <v>1034</v>
      </c>
      <c r="FK32" s="68" t="s">
        <v>698</v>
      </c>
      <c r="FL32" s="68" t="s">
        <v>698</v>
      </c>
      <c r="FM32" s="200" t="s">
        <v>698</v>
      </c>
      <c r="FN32" s="188" t="s">
        <v>698</v>
      </c>
      <c r="FO32" s="187" t="s">
        <v>704</v>
      </c>
      <c r="FP32" s="187" t="s">
        <v>706</v>
      </c>
      <c r="FQ32" s="187" t="s">
        <v>697</v>
      </c>
      <c r="FR32" s="115" t="s">
        <v>698</v>
      </c>
      <c r="FS32" s="188" t="s">
        <v>704</v>
      </c>
      <c r="FT32" s="187" t="s">
        <v>704</v>
      </c>
      <c r="FU32" s="187" t="s">
        <v>704</v>
      </c>
      <c r="FV32" s="159" t="s">
        <v>702</v>
      </c>
      <c r="FW32" s="159" t="s">
        <v>702</v>
      </c>
      <c r="FX32" s="159" t="s">
        <v>849</v>
      </c>
      <c r="FY32" s="115" t="s">
        <v>702</v>
      </c>
      <c r="FZ32" s="159" t="s">
        <v>700</v>
      </c>
      <c r="GA32" s="184" t="s">
        <v>696</v>
      </c>
      <c r="GB32" s="184" t="s">
        <v>696</v>
      </c>
      <c r="GC32" s="184" t="s">
        <v>696</v>
      </c>
      <c r="GD32" s="211" t="s">
        <v>849</v>
      </c>
      <c r="GE32" s="184" t="s">
        <v>698</v>
      </c>
      <c r="GF32" s="182" t="s">
        <v>1440</v>
      </c>
      <c r="GG32" s="211" t="s">
        <v>702</v>
      </c>
      <c r="GH32" s="182" t="s">
        <v>704</v>
      </c>
      <c r="GI32" s="182" t="s">
        <v>702</v>
      </c>
      <c r="GJ32" s="159" t="s">
        <v>853</v>
      </c>
      <c r="GK32" s="159" t="s">
        <v>704</v>
      </c>
      <c r="GL32" s="197" t="s">
        <v>697</v>
      </c>
      <c r="GM32" s="184" t="s">
        <v>698</v>
      </c>
      <c r="GN32" s="184" t="s">
        <v>698</v>
      </c>
      <c r="GO32" s="184" t="s">
        <v>1657</v>
      </c>
      <c r="GP32" s="115" t="s">
        <v>698</v>
      </c>
      <c r="GQ32" s="208" t="s">
        <v>799</v>
      </c>
      <c r="GR32" s="115" t="s">
        <v>704</v>
      </c>
      <c r="GS32" s="184" t="s">
        <v>1640</v>
      </c>
      <c r="GT32" s="159" t="s">
        <v>799</v>
      </c>
      <c r="GU32" s="184" t="s">
        <v>849</v>
      </c>
      <c r="GV32" s="159" t="s">
        <v>697</v>
      </c>
      <c r="GW32" s="159" t="s">
        <v>699</v>
      </c>
      <c r="GX32" s="159" t="s">
        <v>700</v>
      </c>
      <c r="GY32" s="115" t="s">
        <v>698</v>
      </c>
      <c r="GZ32" s="188" t="s">
        <v>698</v>
      </c>
      <c r="HA32" s="159" t="s">
        <v>698</v>
      </c>
      <c r="HB32" s="182" t="s">
        <v>698</v>
      </c>
      <c r="HC32" s="159" t="s">
        <v>698</v>
      </c>
      <c r="HD32" s="188" t="s">
        <v>698</v>
      </c>
      <c r="HE32" s="184" t="s">
        <v>698</v>
      </c>
      <c r="HF32" s="184" t="s">
        <v>698</v>
      </c>
      <c r="HG32" s="187" t="s">
        <v>698</v>
      </c>
      <c r="HH32" s="184" t="s">
        <v>698</v>
      </c>
      <c r="HI32" s="200" t="s">
        <v>697</v>
      </c>
      <c r="HJ32" s="115" t="s">
        <v>702</v>
      </c>
      <c r="HK32" s="115" t="s">
        <v>696</v>
      </c>
      <c r="HL32" s="159" t="s">
        <v>1033</v>
      </c>
      <c r="HM32" s="115" t="s">
        <v>799</v>
      </c>
      <c r="HN32" s="159" t="s">
        <v>849</v>
      </c>
      <c r="HO32" s="159" t="s">
        <v>703</v>
      </c>
      <c r="HP32" s="159" t="s">
        <v>702</v>
      </c>
      <c r="HQ32" s="159" t="s">
        <v>703</v>
      </c>
      <c r="HR32" s="159" t="s">
        <v>702</v>
      </c>
      <c r="HS32" s="159" t="s">
        <v>2176</v>
      </c>
      <c r="HT32" s="224" t="s">
        <v>3554</v>
      </c>
      <c r="HU32" s="159" t="s">
        <v>702</v>
      </c>
      <c r="HV32" s="159" t="s">
        <v>1697</v>
      </c>
      <c r="HW32" s="159" t="s">
        <v>697</v>
      </c>
      <c r="HX32" s="159" t="s">
        <v>703</v>
      </c>
      <c r="HY32" s="115" t="s">
        <v>698</v>
      </c>
      <c r="HZ32" s="159" t="s">
        <v>702</v>
      </c>
      <c r="IA32" s="159" t="s">
        <v>703</v>
      </c>
      <c r="IB32" s="159" t="s">
        <v>700</v>
      </c>
      <c r="IC32" s="115" t="s">
        <v>698</v>
      </c>
      <c r="ID32" s="224" t="s">
        <v>697</v>
      </c>
      <c r="IE32" s="159" t="s">
        <v>699</v>
      </c>
      <c r="IF32" s="183" t="s">
        <v>851</v>
      </c>
      <c r="IG32" s="185" t="s">
        <v>702</v>
      </c>
      <c r="IH32" s="185" t="s">
        <v>704</v>
      </c>
      <c r="II32" s="185" t="s">
        <v>697</v>
      </c>
      <c r="IJ32" s="185" t="s">
        <v>698</v>
      </c>
      <c r="IK32" s="185" t="s">
        <v>698</v>
      </c>
      <c r="IL32" s="183" t="s">
        <v>851</v>
      </c>
      <c r="IM32" s="159" t="s">
        <v>700</v>
      </c>
      <c r="IN32" s="159" t="s">
        <v>851</v>
      </c>
      <c r="IO32" s="159" t="s">
        <v>698</v>
      </c>
      <c r="IP32" s="159" t="s">
        <v>698</v>
      </c>
      <c r="IQ32" s="184" t="s">
        <v>704</v>
      </c>
      <c r="IR32" s="159" t="s">
        <v>851</v>
      </c>
      <c r="IS32" s="184" t="s">
        <v>849</v>
      </c>
      <c r="IT32" s="184" t="s">
        <v>698</v>
      </c>
      <c r="IU32" s="184" t="s">
        <v>698</v>
      </c>
      <c r="IV32" s="184" t="s">
        <v>698</v>
      </c>
      <c r="IW32" s="184" t="s">
        <v>698</v>
      </c>
      <c r="IX32" s="159"/>
      <c r="IY32" s="159" t="s">
        <v>699</v>
      </c>
      <c r="IZ32" s="159" t="s">
        <v>697</v>
      </c>
      <c r="JA32" s="159" t="s">
        <v>698</v>
      </c>
      <c r="JB32" s="159" t="s">
        <v>699</v>
      </c>
      <c r="JC32" s="159" t="s">
        <v>703</v>
      </c>
      <c r="JD32" s="159" t="s">
        <v>698</v>
      </c>
      <c r="JE32" s="159" t="s">
        <v>702</v>
      </c>
      <c r="JF32" s="159" t="s">
        <v>698</v>
      </c>
      <c r="JG32" s="159" t="s">
        <v>702</v>
      </c>
      <c r="JH32" s="159" t="s">
        <v>698</v>
      </c>
      <c r="JI32" s="159" t="s">
        <v>697</v>
      </c>
      <c r="JJ32" s="243" t="s">
        <v>700</v>
      </c>
      <c r="JK32" s="243" t="s">
        <v>700</v>
      </c>
      <c r="JL32" s="243" t="s">
        <v>699</v>
      </c>
      <c r="JM32" s="243" t="s">
        <v>698</v>
      </c>
      <c r="JN32" s="159" t="s">
        <v>704</v>
      </c>
      <c r="JO32" s="159" t="s">
        <v>699</v>
      </c>
      <c r="JP32" s="159" t="s">
        <v>702</v>
      </c>
      <c r="JQ32" s="182" t="s">
        <v>702</v>
      </c>
      <c r="JR32" s="159" t="s">
        <v>698</v>
      </c>
      <c r="JS32" s="159" t="s">
        <v>697</v>
      </c>
      <c r="JT32" s="159" t="s">
        <v>702</v>
      </c>
      <c r="JU32" s="159" t="s">
        <v>697</v>
      </c>
      <c r="JV32" s="159" t="s">
        <v>697</v>
      </c>
      <c r="JW32" s="159" t="s">
        <v>697</v>
      </c>
      <c r="JX32" s="159" t="s">
        <v>697</v>
      </c>
      <c r="JY32" s="159" t="s">
        <v>697</v>
      </c>
      <c r="JZ32" s="159" t="s">
        <v>697</v>
      </c>
      <c r="KA32" s="159" t="s">
        <v>697</v>
      </c>
      <c r="KB32" s="159" t="s">
        <v>697</v>
      </c>
      <c r="KC32" s="159" t="s">
        <v>697</v>
      </c>
      <c r="KD32" s="159" t="s">
        <v>698</v>
      </c>
      <c r="KE32" s="159" t="s">
        <v>697</v>
      </c>
      <c r="KF32" s="159" t="s">
        <v>697</v>
      </c>
      <c r="KG32" s="159" t="s">
        <v>704</v>
      </c>
      <c r="KH32" s="159" t="s">
        <v>704</v>
      </c>
      <c r="KI32" s="159" t="s">
        <v>696</v>
      </c>
      <c r="KJ32" s="159" t="s">
        <v>702</v>
      </c>
      <c r="KK32" s="159" t="s">
        <v>697</v>
      </c>
      <c r="KL32" s="159" t="s">
        <v>697</v>
      </c>
      <c r="KM32" s="159" t="s">
        <v>703</v>
      </c>
      <c r="KN32" s="187" t="s">
        <v>11</v>
      </c>
      <c r="KO32" s="159" t="s">
        <v>697</v>
      </c>
      <c r="KP32" s="182" t="s">
        <v>704</v>
      </c>
      <c r="KQ32" s="159" t="s">
        <v>1640</v>
      </c>
      <c r="KR32" s="159" t="s">
        <v>697</v>
      </c>
      <c r="KS32" s="159" t="s">
        <v>696</v>
      </c>
      <c r="KT32" s="159" t="s">
        <v>11</v>
      </c>
      <c r="KU32" s="159" t="s">
        <v>11</v>
      </c>
      <c r="KV32" s="184" t="s">
        <v>698</v>
      </c>
      <c r="KW32" s="115" t="s">
        <v>696</v>
      </c>
      <c r="KX32" s="115" t="s">
        <v>853</v>
      </c>
      <c r="KY32" s="243" t="s">
        <v>851</v>
      </c>
      <c r="KZ32" s="243" t="s">
        <v>698</v>
      </c>
      <c r="LA32" s="188" t="s">
        <v>703</v>
      </c>
      <c r="LB32" s="115" t="s">
        <v>698</v>
      </c>
      <c r="LC32" s="184" t="s">
        <v>698</v>
      </c>
      <c r="LD32" s="184" t="s">
        <v>698</v>
      </c>
      <c r="LE32" s="184" t="s">
        <v>698</v>
      </c>
      <c r="LF32" s="184" t="s">
        <v>697</v>
      </c>
      <c r="LG32" s="184" t="s">
        <v>698</v>
      </c>
      <c r="LH32" s="115" t="s">
        <v>697</v>
      </c>
      <c r="LI32" s="184" t="s">
        <v>704</v>
      </c>
      <c r="LJ32" s="184" t="s">
        <v>704</v>
      </c>
      <c r="LK32" s="115" t="s">
        <v>849</v>
      </c>
      <c r="LL32" s="188" t="s">
        <v>696</v>
      </c>
      <c r="LM32" s="120" t="s">
        <v>702</v>
      </c>
      <c r="LN32" s="263" t="s">
        <v>698</v>
      </c>
      <c r="LO32" s="115" t="s">
        <v>702</v>
      </c>
      <c r="LP32" s="115" t="s">
        <v>700</v>
      </c>
      <c r="LQ32" s="263" t="s">
        <v>702</v>
      </c>
      <c r="LR32" s="184" t="s">
        <v>698</v>
      </c>
      <c r="LS32" s="184" t="s">
        <v>704</v>
      </c>
      <c r="LT32" s="115" t="s">
        <v>11</v>
      </c>
      <c r="LU32" s="115" t="s">
        <v>11</v>
      </c>
      <c r="LV32" s="286" t="s">
        <v>11</v>
      </c>
      <c r="LW32" s="115" t="s">
        <v>11</v>
      </c>
      <c r="LX32" s="115" t="s">
        <v>11</v>
      </c>
      <c r="LY32" s="184" t="s">
        <v>698</v>
      </c>
      <c r="LZ32" s="115" t="s">
        <v>698</v>
      </c>
      <c r="MA32" s="115" t="s">
        <v>697</v>
      </c>
      <c r="MB32" s="184" t="s">
        <v>704</v>
      </c>
      <c r="MC32" s="184" t="s">
        <v>698</v>
      </c>
      <c r="MD32" s="115" t="s">
        <v>699</v>
      </c>
    </row>
    <row r="33" spans="1:342" s="68" customFormat="1" ht="14.4" x14ac:dyDescent="0.3">
      <c r="A33" s="92">
        <v>30</v>
      </c>
      <c r="B33" s="311"/>
      <c r="C33" s="64" t="s">
        <v>470</v>
      </c>
      <c r="D33" s="69"/>
      <c r="E33" s="66">
        <v>1</v>
      </c>
      <c r="F33" s="66" t="s">
        <v>11</v>
      </c>
      <c r="G33" s="66" t="s">
        <v>11</v>
      </c>
      <c r="H33" s="66" t="s">
        <v>11</v>
      </c>
      <c r="I33" s="66" t="s">
        <v>708</v>
      </c>
      <c r="J33" s="66" t="s">
        <v>708</v>
      </c>
      <c r="K33" s="66" t="s">
        <v>708</v>
      </c>
      <c r="L33" s="66" t="s">
        <v>708</v>
      </c>
      <c r="M33" s="66">
        <v>14</v>
      </c>
      <c r="N33" s="66">
        <v>14</v>
      </c>
      <c r="O33" s="66">
        <v>14</v>
      </c>
      <c r="P33" s="66" t="s">
        <v>11</v>
      </c>
      <c r="Q33" s="66" t="s">
        <v>11</v>
      </c>
      <c r="R33" s="66">
        <v>14</v>
      </c>
      <c r="S33" s="66">
        <v>3</v>
      </c>
      <c r="T33" s="66">
        <v>14</v>
      </c>
      <c r="U33" s="66">
        <v>6</v>
      </c>
      <c r="V33" s="66">
        <v>6</v>
      </c>
      <c r="W33" s="66">
        <v>6</v>
      </c>
      <c r="X33" s="66">
        <v>6</v>
      </c>
      <c r="Y33" s="66">
        <v>14</v>
      </c>
      <c r="Z33" s="66">
        <v>2</v>
      </c>
      <c r="AA33" s="66">
        <v>2</v>
      </c>
      <c r="AB33" s="66">
        <v>2</v>
      </c>
      <c r="AC33" s="66">
        <v>11</v>
      </c>
      <c r="AD33" s="66" t="s">
        <v>708</v>
      </c>
      <c r="AE33" s="66" t="s">
        <v>11</v>
      </c>
      <c r="AF33" s="66" t="s">
        <v>11</v>
      </c>
      <c r="AG33" s="66">
        <v>2</v>
      </c>
      <c r="AH33" s="66">
        <v>3</v>
      </c>
      <c r="AI33" s="66">
        <v>14</v>
      </c>
      <c r="AJ33" s="66">
        <v>2</v>
      </c>
      <c r="AK33" s="66">
        <v>14</v>
      </c>
      <c r="AL33" s="66">
        <v>14</v>
      </c>
      <c r="AM33" s="66">
        <v>2</v>
      </c>
      <c r="AN33" s="66">
        <v>6</v>
      </c>
      <c r="AO33" s="66">
        <v>9</v>
      </c>
      <c r="AP33" s="66">
        <v>9</v>
      </c>
      <c r="AQ33" s="66">
        <v>7</v>
      </c>
      <c r="AR33" s="66">
        <v>3</v>
      </c>
      <c r="AS33" s="66">
        <v>3</v>
      </c>
      <c r="AT33" s="66" t="s">
        <v>708</v>
      </c>
      <c r="AU33" s="66">
        <v>3</v>
      </c>
      <c r="AV33" s="66" t="s">
        <v>708</v>
      </c>
      <c r="AW33" s="66">
        <v>3</v>
      </c>
      <c r="AX33" s="66" t="s">
        <v>708</v>
      </c>
      <c r="AY33" s="66" t="s">
        <v>11</v>
      </c>
      <c r="AZ33" s="66" t="s">
        <v>11</v>
      </c>
      <c r="BA33" s="66">
        <v>11</v>
      </c>
      <c r="BB33" s="66">
        <v>3</v>
      </c>
      <c r="BC33" s="66">
        <v>22</v>
      </c>
      <c r="BD33" s="66" t="s">
        <v>708</v>
      </c>
      <c r="BE33" s="66">
        <v>22</v>
      </c>
      <c r="BF33" s="66">
        <v>22</v>
      </c>
      <c r="BG33" s="66">
        <v>22</v>
      </c>
      <c r="BH33" s="66" t="s">
        <v>708</v>
      </c>
      <c r="BI33" s="94">
        <v>14</v>
      </c>
      <c r="BJ33" s="94">
        <v>3</v>
      </c>
      <c r="BK33" s="42">
        <v>23</v>
      </c>
      <c r="BL33" s="68">
        <v>2</v>
      </c>
      <c r="BM33" s="68">
        <v>21</v>
      </c>
      <c r="BN33" s="68">
        <v>21</v>
      </c>
      <c r="BO33" s="68">
        <v>21</v>
      </c>
      <c r="BP33" s="68">
        <v>21</v>
      </c>
      <c r="BQ33" s="68">
        <v>21</v>
      </c>
      <c r="BR33" s="117" t="s">
        <v>11</v>
      </c>
      <c r="BS33" s="105">
        <v>4</v>
      </c>
      <c r="BT33" s="105" t="s">
        <v>11</v>
      </c>
      <c r="BU33" s="115">
        <v>8</v>
      </c>
      <c r="BV33" s="159">
        <v>3</v>
      </c>
      <c r="BW33" s="159">
        <v>6</v>
      </c>
      <c r="BX33" s="115">
        <v>6</v>
      </c>
      <c r="BY33" s="115">
        <v>6</v>
      </c>
      <c r="BZ33" s="115">
        <v>7</v>
      </c>
      <c r="CA33" s="68">
        <v>6</v>
      </c>
      <c r="CB33" s="68">
        <v>6</v>
      </c>
      <c r="CC33" s="68">
        <v>4</v>
      </c>
      <c r="CD33" s="68">
        <v>6</v>
      </c>
      <c r="CE33" s="68">
        <v>81</v>
      </c>
      <c r="CF33" s="68" t="s">
        <v>11</v>
      </c>
      <c r="CG33" s="68">
        <v>72</v>
      </c>
      <c r="CH33" s="68" t="s">
        <v>11</v>
      </c>
      <c r="CI33" s="68">
        <v>3</v>
      </c>
      <c r="CJ33" s="68">
        <v>20</v>
      </c>
      <c r="CK33" s="68">
        <v>82</v>
      </c>
      <c r="CL33" s="68">
        <v>83</v>
      </c>
      <c r="CM33" s="68">
        <v>4</v>
      </c>
      <c r="CN33" s="68">
        <v>3</v>
      </c>
      <c r="CO33" s="68">
        <v>4</v>
      </c>
      <c r="CP33" s="68">
        <v>6</v>
      </c>
      <c r="CQ33" s="68">
        <v>3</v>
      </c>
      <c r="CR33" s="68">
        <v>3</v>
      </c>
      <c r="CS33" s="68" t="s">
        <v>11</v>
      </c>
      <c r="CT33" s="68" t="s">
        <v>11</v>
      </c>
      <c r="CU33" s="68">
        <v>4</v>
      </c>
      <c r="CV33" s="68" t="s">
        <v>11</v>
      </c>
      <c r="CW33" s="68" t="s">
        <v>11</v>
      </c>
      <c r="CX33" s="68">
        <v>3</v>
      </c>
      <c r="CY33" s="68">
        <v>14</v>
      </c>
      <c r="CZ33" s="68">
        <v>14</v>
      </c>
      <c r="DA33" s="68">
        <v>14</v>
      </c>
      <c r="DB33" s="68">
        <v>14</v>
      </c>
      <c r="DC33" s="68">
        <v>14</v>
      </c>
      <c r="DD33" s="68">
        <v>14</v>
      </c>
      <c r="DE33" s="68">
        <v>3</v>
      </c>
      <c r="DF33" s="68">
        <v>14</v>
      </c>
      <c r="DG33" s="68">
        <v>3</v>
      </c>
      <c r="DH33" s="68">
        <v>14</v>
      </c>
      <c r="DI33" s="68">
        <v>9</v>
      </c>
      <c r="DJ33" s="68" t="s">
        <v>11</v>
      </c>
      <c r="DK33" s="68" t="s">
        <v>11</v>
      </c>
      <c r="DL33" s="68">
        <v>3</v>
      </c>
      <c r="DM33" s="68">
        <v>4</v>
      </c>
      <c r="DN33" s="68">
        <v>10</v>
      </c>
      <c r="DO33" s="68">
        <v>3</v>
      </c>
      <c r="DP33" s="68">
        <v>2</v>
      </c>
      <c r="DQ33" s="68">
        <v>2</v>
      </c>
      <c r="DR33" s="68">
        <v>2</v>
      </c>
      <c r="DS33" s="68">
        <v>2</v>
      </c>
      <c r="DT33" s="68">
        <v>2</v>
      </c>
      <c r="DU33" s="173">
        <v>14</v>
      </c>
      <c r="DV33" s="68">
        <v>6</v>
      </c>
      <c r="DW33" s="159">
        <v>88</v>
      </c>
      <c r="DX33" s="159">
        <v>14</v>
      </c>
      <c r="DY33" s="159">
        <v>4</v>
      </c>
      <c r="DZ33" s="159">
        <v>4</v>
      </c>
      <c r="EA33" s="159">
        <v>14</v>
      </c>
      <c r="EB33" s="159">
        <v>4</v>
      </c>
      <c r="EC33" s="159">
        <v>4</v>
      </c>
      <c r="ED33" s="184">
        <v>13</v>
      </c>
      <c r="EE33" s="184">
        <v>13</v>
      </c>
      <c r="EF33" s="184">
        <v>13</v>
      </c>
      <c r="EG33" s="184">
        <v>13</v>
      </c>
      <c r="EH33" s="159">
        <v>6</v>
      </c>
      <c r="EI33" s="187">
        <v>3</v>
      </c>
      <c r="EJ33" s="115">
        <v>9</v>
      </c>
      <c r="EK33" s="187">
        <v>4</v>
      </c>
      <c r="EL33" s="115">
        <v>2</v>
      </c>
      <c r="EM33" s="187">
        <v>90</v>
      </c>
      <c r="EN33" s="159" t="s">
        <v>11</v>
      </c>
      <c r="EO33" s="159">
        <v>4</v>
      </c>
      <c r="EP33" s="159">
        <v>90</v>
      </c>
      <c r="EQ33" s="159">
        <v>9</v>
      </c>
      <c r="ER33" s="115">
        <v>4</v>
      </c>
      <c r="ES33" s="159">
        <v>4</v>
      </c>
      <c r="ET33" s="159">
        <v>3</v>
      </c>
      <c r="EU33" s="159">
        <v>6</v>
      </c>
      <c r="EV33" s="159">
        <v>6</v>
      </c>
      <c r="EW33" s="159" t="s">
        <v>11</v>
      </c>
      <c r="EX33" s="115">
        <v>9</v>
      </c>
      <c r="EY33" s="115">
        <v>3</v>
      </c>
      <c r="EZ33" s="115">
        <v>3</v>
      </c>
      <c r="FA33" s="68">
        <v>2</v>
      </c>
      <c r="FB33" s="68">
        <v>14</v>
      </c>
      <c r="FC33" s="68">
        <v>2</v>
      </c>
      <c r="FD33" s="68">
        <v>14</v>
      </c>
      <c r="FE33" s="68">
        <v>4</v>
      </c>
      <c r="FF33" s="68">
        <v>2</v>
      </c>
      <c r="FG33" s="68">
        <v>2</v>
      </c>
      <c r="FH33" s="68">
        <v>3</v>
      </c>
      <c r="FI33" s="68">
        <v>3</v>
      </c>
      <c r="FJ33" s="68">
        <v>20</v>
      </c>
      <c r="FK33" s="68">
        <v>2</v>
      </c>
      <c r="FL33" s="68">
        <v>2</v>
      </c>
      <c r="FM33" s="200">
        <v>89</v>
      </c>
      <c r="FN33" s="188">
        <v>2</v>
      </c>
      <c r="FO33" s="187">
        <v>14</v>
      </c>
      <c r="FP33" s="155">
        <v>4</v>
      </c>
      <c r="FQ33" s="155">
        <v>6</v>
      </c>
      <c r="FR33" s="115">
        <v>2</v>
      </c>
      <c r="FS33" s="155">
        <v>14</v>
      </c>
      <c r="FT33" s="187">
        <v>14</v>
      </c>
      <c r="FU33" s="187">
        <v>14</v>
      </c>
      <c r="FV33" s="159">
        <v>3</v>
      </c>
      <c r="FW33" s="159">
        <v>3</v>
      </c>
      <c r="FX33" s="159">
        <v>4</v>
      </c>
      <c r="FY33" s="115">
        <v>3</v>
      </c>
      <c r="FZ33" s="159">
        <v>6</v>
      </c>
      <c r="GA33" s="184">
        <v>7</v>
      </c>
      <c r="GB33" s="115">
        <v>7</v>
      </c>
      <c r="GC33" s="115">
        <v>7</v>
      </c>
      <c r="GD33" s="210">
        <v>4</v>
      </c>
      <c r="GE33" s="184">
        <v>2</v>
      </c>
      <c r="GF33" s="159">
        <v>6</v>
      </c>
      <c r="GG33" s="210">
        <v>14</v>
      </c>
      <c r="GH33" s="159">
        <v>14</v>
      </c>
      <c r="GI33" s="182">
        <v>14</v>
      </c>
      <c r="GJ33" s="159">
        <v>12</v>
      </c>
      <c r="GK33" s="159">
        <v>9</v>
      </c>
      <c r="GL33" s="184">
        <v>6</v>
      </c>
      <c r="GM33" s="115">
        <v>2</v>
      </c>
      <c r="GN33" s="184">
        <v>2</v>
      </c>
      <c r="GO33" s="184">
        <v>97</v>
      </c>
      <c r="GP33" s="115">
        <v>2</v>
      </c>
      <c r="GQ33" s="208">
        <v>7</v>
      </c>
      <c r="GR33" s="115">
        <v>14</v>
      </c>
      <c r="GS33" s="159">
        <v>81</v>
      </c>
      <c r="GT33" s="159">
        <v>7</v>
      </c>
      <c r="GU33" s="159">
        <v>4</v>
      </c>
      <c r="GV33" s="159">
        <v>6</v>
      </c>
      <c r="GW33" s="159">
        <v>6</v>
      </c>
      <c r="GX33" s="184">
        <v>6</v>
      </c>
      <c r="GY33" s="115">
        <v>2</v>
      </c>
      <c r="GZ33" s="188">
        <v>2</v>
      </c>
      <c r="HA33" s="182">
        <v>2</v>
      </c>
      <c r="HB33" s="159">
        <v>2</v>
      </c>
      <c r="HC33" s="182">
        <v>2</v>
      </c>
      <c r="HD33" s="188">
        <v>2</v>
      </c>
      <c r="HE33" s="184">
        <v>2</v>
      </c>
      <c r="HF33" s="184">
        <v>2</v>
      </c>
      <c r="HG33" s="187">
        <v>2</v>
      </c>
      <c r="HH33" s="184">
        <v>2</v>
      </c>
      <c r="HI33" s="200">
        <v>6</v>
      </c>
      <c r="HJ33" s="185">
        <v>3</v>
      </c>
      <c r="HK33" s="185">
        <v>13</v>
      </c>
      <c r="HL33" s="159">
        <v>4</v>
      </c>
      <c r="HM33" s="185">
        <v>7</v>
      </c>
      <c r="HN33" s="159">
        <v>4</v>
      </c>
      <c r="HO33" s="159">
        <v>8</v>
      </c>
      <c r="HP33" s="159">
        <v>3</v>
      </c>
      <c r="HQ33" s="159">
        <v>8</v>
      </c>
      <c r="HR33" s="159">
        <v>3</v>
      </c>
      <c r="HS33" s="159">
        <v>88</v>
      </c>
      <c r="HT33" s="224">
        <v>11</v>
      </c>
      <c r="HU33" s="159">
        <v>3</v>
      </c>
      <c r="HV33" s="159">
        <v>28</v>
      </c>
      <c r="HW33" s="159">
        <v>6</v>
      </c>
      <c r="HX33" s="159">
        <v>8</v>
      </c>
      <c r="HY33" s="115">
        <v>2</v>
      </c>
      <c r="HZ33" s="159">
        <v>3</v>
      </c>
      <c r="IA33" s="159">
        <v>8</v>
      </c>
      <c r="IB33" s="159">
        <v>6</v>
      </c>
      <c r="IC33" s="115">
        <v>2</v>
      </c>
      <c r="ID33" s="224">
        <v>6</v>
      </c>
      <c r="IE33" s="159">
        <v>6</v>
      </c>
      <c r="IF33" s="185">
        <v>7</v>
      </c>
      <c r="IG33" s="185">
        <v>3</v>
      </c>
      <c r="IH33" s="185">
        <v>14</v>
      </c>
      <c r="II33" s="185">
        <v>6</v>
      </c>
      <c r="IJ33" s="185">
        <v>2</v>
      </c>
      <c r="IK33" s="185">
        <v>2</v>
      </c>
      <c r="IL33" s="185">
        <v>7</v>
      </c>
      <c r="IM33" s="184">
        <v>6</v>
      </c>
      <c r="IN33" s="184">
        <v>7</v>
      </c>
      <c r="IO33" s="159">
        <v>2</v>
      </c>
      <c r="IP33" s="159">
        <v>2</v>
      </c>
      <c r="IQ33" s="115">
        <v>3</v>
      </c>
      <c r="IR33" s="184">
        <v>7</v>
      </c>
      <c r="IS33" s="159">
        <v>4</v>
      </c>
      <c r="IT33" s="184">
        <v>2</v>
      </c>
      <c r="IU33" s="184">
        <v>2</v>
      </c>
      <c r="IV33" s="184">
        <v>2</v>
      </c>
      <c r="IW33" s="184">
        <v>2</v>
      </c>
      <c r="IX33" s="159"/>
      <c r="IY33" s="159">
        <v>6</v>
      </c>
      <c r="IZ33" s="159">
        <v>6</v>
      </c>
      <c r="JA33" s="184">
        <v>2</v>
      </c>
      <c r="JB33" s="159">
        <v>6</v>
      </c>
      <c r="JC33" s="184">
        <v>8</v>
      </c>
      <c r="JD33" s="184">
        <v>2</v>
      </c>
      <c r="JE33" s="159">
        <v>3</v>
      </c>
      <c r="JF33" s="184">
        <v>11</v>
      </c>
      <c r="JG33" s="159">
        <v>3</v>
      </c>
      <c r="JH33" s="184">
        <v>11</v>
      </c>
      <c r="JI33" s="184">
        <v>6</v>
      </c>
      <c r="JJ33" s="243">
        <v>6</v>
      </c>
      <c r="JK33" s="243">
        <v>6</v>
      </c>
      <c r="JL33" s="243">
        <v>6</v>
      </c>
      <c r="JM33" s="243">
        <v>2</v>
      </c>
      <c r="JN33" s="159">
        <v>14</v>
      </c>
      <c r="JO33" s="159">
        <v>6</v>
      </c>
      <c r="JP33" s="159">
        <v>3</v>
      </c>
      <c r="JQ33" s="182">
        <v>14</v>
      </c>
      <c r="JR33" s="184">
        <v>2</v>
      </c>
      <c r="JS33" s="184">
        <v>6</v>
      </c>
      <c r="JT33" s="159">
        <v>3</v>
      </c>
      <c r="JU33" s="184">
        <v>6</v>
      </c>
      <c r="JV33" s="184">
        <v>6</v>
      </c>
      <c r="JW33" s="184">
        <v>6</v>
      </c>
      <c r="JX33" s="159">
        <v>6</v>
      </c>
      <c r="JY33" s="159">
        <v>6</v>
      </c>
      <c r="JZ33" s="159">
        <v>6</v>
      </c>
      <c r="KA33" s="159">
        <v>6</v>
      </c>
      <c r="KB33" s="159">
        <v>6</v>
      </c>
      <c r="KC33" s="159">
        <v>6</v>
      </c>
      <c r="KD33" s="182">
        <v>2</v>
      </c>
      <c r="KE33" s="184">
        <v>6</v>
      </c>
      <c r="KF33" s="184">
        <v>6</v>
      </c>
      <c r="KG33" s="159">
        <v>3</v>
      </c>
      <c r="KH33" s="159">
        <v>3</v>
      </c>
      <c r="KI33" s="182">
        <v>7</v>
      </c>
      <c r="KJ33" s="159">
        <v>14</v>
      </c>
      <c r="KK33" s="159">
        <v>6</v>
      </c>
      <c r="KL33" s="159">
        <v>6</v>
      </c>
      <c r="KM33" s="159">
        <v>8</v>
      </c>
      <c r="KN33" s="187" t="s">
        <v>11</v>
      </c>
      <c r="KO33" s="159">
        <v>6</v>
      </c>
      <c r="KP33" s="159">
        <v>3</v>
      </c>
      <c r="KQ33" s="159">
        <v>90</v>
      </c>
      <c r="KR33" s="184">
        <v>6</v>
      </c>
      <c r="KS33" s="159">
        <v>7</v>
      </c>
      <c r="KT33" s="159" t="s">
        <v>11</v>
      </c>
      <c r="KU33" s="159" t="s">
        <v>11</v>
      </c>
      <c r="KV33" s="184">
        <v>2</v>
      </c>
      <c r="KW33" s="184">
        <v>7</v>
      </c>
      <c r="KX33" s="184">
        <v>12</v>
      </c>
      <c r="KY33" s="243">
        <v>100</v>
      </c>
      <c r="KZ33" s="243">
        <v>2</v>
      </c>
      <c r="LA33" s="187">
        <v>8</v>
      </c>
      <c r="LB33" s="184">
        <v>2</v>
      </c>
      <c r="LC33" s="184">
        <v>2</v>
      </c>
      <c r="LD33" s="184">
        <v>2</v>
      </c>
      <c r="LE33" s="184">
        <v>2</v>
      </c>
      <c r="LF33" s="184">
        <v>6</v>
      </c>
      <c r="LG33" s="184">
        <v>2</v>
      </c>
      <c r="LH33" s="184">
        <v>6</v>
      </c>
      <c r="LI33" s="115">
        <v>14</v>
      </c>
      <c r="LJ33" s="115">
        <v>14</v>
      </c>
      <c r="LK33" s="115">
        <v>4</v>
      </c>
      <c r="LL33" s="187">
        <v>7</v>
      </c>
      <c r="LM33" s="275">
        <v>3</v>
      </c>
      <c r="LN33" s="263">
        <v>2</v>
      </c>
      <c r="LO33" s="115">
        <v>14</v>
      </c>
      <c r="LP33" s="184">
        <v>6</v>
      </c>
      <c r="LQ33" s="263">
        <v>3</v>
      </c>
      <c r="LR33" s="184">
        <v>11</v>
      </c>
      <c r="LS33" s="115">
        <v>14</v>
      </c>
      <c r="LT33" s="115" t="s">
        <v>11</v>
      </c>
      <c r="LU33" s="115" t="s">
        <v>11</v>
      </c>
      <c r="LV33" s="286" t="s">
        <v>11</v>
      </c>
      <c r="LW33" s="115" t="s">
        <v>11</v>
      </c>
      <c r="LX33" s="115" t="s">
        <v>11</v>
      </c>
      <c r="LY33" s="184">
        <v>2</v>
      </c>
      <c r="LZ33" s="115">
        <v>2</v>
      </c>
      <c r="MA33" s="184">
        <v>6</v>
      </c>
      <c r="MB33" s="185">
        <v>3</v>
      </c>
      <c r="MC33" s="184">
        <v>2</v>
      </c>
      <c r="MD33" s="115">
        <v>6</v>
      </c>
    </row>
    <row r="34" spans="1:342" s="68" customFormat="1" ht="14.4" x14ac:dyDescent="0.3">
      <c r="A34" s="92">
        <v>31</v>
      </c>
      <c r="B34" s="311"/>
      <c r="C34" s="64" t="s">
        <v>471</v>
      </c>
      <c r="D34" s="69"/>
      <c r="E34" s="66" t="s">
        <v>698</v>
      </c>
      <c r="F34" s="66" t="s">
        <v>11</v>
      </c>
      <c r="G34" s="66" t="s">
        <v>11</v>
      </c>
      <c r="H34" s="66" t="s">
        <v>11</v>
      </c>
      <c r="I34" s="66" t="s">
        <v>799</v>
      </c>
      <c r="J34" s="94" t="s">
        <v>698</v>
      </c>
      <c r="K34" s="66" t="s">
        <v>698</v>
      </c>
      <c r="L34" s="66" t="s">
        <v>11</v>
      </c>
      <c r="M34" s="66" t="s">
        <v>11</v>
      </c>
      <c r="N34" s="66" t="s">
        <v>11</v>
      </c>
      <c r="O34" s="66" t="s">
        <v>11</v>
      </c>
      <c r="P34" s="66" t="s">
        <v>11</v>
      </c>
      <c r="Q34" s="66" t="s">
        <v>11</v>
      </c>
      <c r="R34" s="66" t="s">
        <v>698</v>
      </c>
      <c r="S34" s="66" t="s">
        <v>698</v>
      </c>
      <c r="T34" s="66" t="s">
        <v>698</v>
      </c>
      <c r="U34" s="66" t="s">
        <v>702</v>
      </c>
      <c r="V34" s="66" t="s">
        <v>702</v>
      </c>
      <c r="W34" s="66" t="s">
        <v>702</v>
      </c>
      <c r="X34" s="66" t="s">
        <v>702</v>
      </c>
      <c r="Y34" s="66" t="s">
        <v>698</v>
      </c>
      <c r="Z34" s="66" t="s">
        <v>11</v>
      </c>
      <c r="AA34" s="66" t="s">
        <v>702</v>
      </c>
      <c r="AB34" s="66" t="s">
        <v>1133</v>
      </c>
      <c r="AC34" s="66" t="s">
        <v>11</v>
      </c>
      <c r="AD34" s="66" t="s">
        <v>11</v>
      </c>
      <c r="AE34" s="66" t="s">
        <v>11</v>
      </c>
      <c r="AF34" s="66" t="s">
        <v>11</v>
      </c>
      <c r="AG34" s="66" t="s">
        <v>11</v>
      </c>
      <c r="AH34" s="66" t="s">
        <v>698</v>
      </c>
      <c r="AI34" s="66" t="s">
        <v>698</v>
      </c>
      <c r="AJ34" s="66" t="s">
        <v>11</v>
      </c>
      <c r="AK34" s="66" t="s">
        <v>698</v>
      </c>
      <c r="AL34" s="66" t="s">
        <v>698</v>
      </c>
      <c r="AM34" s="66" t="s">
        <v>11</v>
      </c>
      <c r="AN34" s="66" t="s">
        <v>702</v>
      </c>
      <c r="AO34" s="66" t="s">
        <v>698</v>
      </c>
      <c r="AP34" s="66" t="s">
        <v>11</v>
      </c>
      <c r="AQ34" s="66" t="s">
        <v>11</v>
      </c>
      <c r="AR34" s="66" t="s">
        <v>11</v>
      </c>
      <c r="AS34" s="66" t="s">
        <v>11</v>
      </c>
      <c r="AT34" s="66" t="s">
        <v>702</v>
      </c>
      <c r="AU34" s="66" t="s">
        <v>698</v>
      </c>
      <c r="AV34" s="66" t="s">
        <v>698</v>
      </c>
      <c r="AW34" s="66" t="s">
        <v>698</v>
      </c>
      <c r="AX34" s="94" t="s">
        <v>698</v>
      </c>
      <c r="AY34" s="66" t="s">
        <v>11</v>
      </c>
      <c r="AZ34" s="66" t="s">
        <v>11</v>
      </c>
      <c r="BA34" s="66" t="s">
        <v>702</v>
      </c>
      <c r="BB34" s="66" t="s">
        <v>11</v>
      </c>
      <c r="BC34" s="66" t="s">
        <v>11</v>
      </c>
      <c r="BD34" s="66" t="s">
        <v>11</v>
      </c>
      <c r="BE34" s="66" t="s">
        <v>11</v>
      </c>
      <c r="BF34" s="66" t="s">
        <v>11</v>
      </c>
      <c r="BG34" s="66" t="s">
        <v>11</v>
      </c>
      <c r="BH34" s="66" t="s">
        <v>11</v>
      </c>
      <c r="BI34" s="66" t="s">
        <v>11</v>
      </c>
      <c r="BJ34" s="66" t="s">
        <v>11</v>
      </c>
      <c r="BK34" s="38" t="s">
        <v>698</v>
      </c>
      <c r="BL34" s="72" t="s">
        <v>702</v>
      </c>
      <c r="BM34" s="72" t="s">
        <v>698</v>
      </c>
      <c r="BN34" s="72" t="s">
        <v>698</v>
      </c>
      <c r="BO34" s="72" t="s">
        <v>698</v>
      </c>
      <c r="BP34" s="72" t="s">
        <v>698</v>
      </c>
      <c r="BQ34" s="72" t="s">
        <v>698</v>
      </c>
      <c r="BR34" s="117" t="s">
        <v>11</v>
      </c>
      <c r="BS34" s="105" t="s">
        <v>11</v>
      </c>
      <c r="BT34" s="105" t="s">
        <v>11</v>
      </c>
      <c r="BU34" s="115" t="s">
        <v>1441</v>
      </c>
      <c r="BV34" s="159" t="s">
        <v>703</v>
      </c>
      <c r="BW34" s="159" t="s">
        <v>698</v>
      </c>
      <c r="BX34" s="115" t="s">
        <v>700</v>
      </c>
      <c r="BY34" s="115" t="s">
        <v>700</v>
      </c>
      <c r="BZ34" s="115" t="s">
        <v>699</v>
      </c>
      <c r="CA34" s="68" t="s">
        <v>702</v>
      </c>
      <c r="CB34" s="68" t="s">
        <v>1033</v>
      </c>
      <c r="CC34" s="68" t="s">
        <v>11</v>
      </c>
      <c r="CD34" s="68" t="s">
        <v>713</v>
      </c>
      <c r="CE34" s="68" t="s">
        <v>849</v>
      </c>
      <c r="CF34" s="68" t="s">
        <v>11</v>
      </c>
      <c r="CG34" s="68" t="s">
        <v>11</v>
      </c>
      <c r="CH34" s="68" t="s">
        <v>11</v>
      </c>
      <c r="CI34" s="68" t="s">
        <v>11</v>
      </c>
      <c r="CJ34" s="68" t="s">
        <v>704</v>
      </c>
      <c r="CK34" s="68" t="s">
        <v>704</v>
      </c>
      <c r="CL34" s="68" t="s">
        <v>706</v>
      </c>
      <c r="CM34" s="68" t="s">
        <v>702</v>
      </c>
      <c r="CN34" s="68" t="s">
        <v>11</v>
      </c>
      <c r="CO34" s="68" t="s">
        <v>702</v>
      </c>
      <c r="CP34" s="68" t="s">
        <v>700</v>
      </c>
      <c r="CQ34" s="68" t="s">
        <v>11</v>
      </c>
      <c r="CR34" s="68" t="s">
        <v>11</v>
      </c>
      <c r="CS34" s="68" t="s">
        <v>11</v>
      </c>
      <c r="CT34" s="68" t="s">
        <v>11</v>
      </c>
      <c r="CU34" s="68" t="s">
        <v>11</v>
      </c>
      <c r="CV34" s="68" t="s">
        <v>11</v>
      </c>
      <c r="CW34" s="68" t="s">
        <v>11</v>
      </c>
      <c r="CX34" s="68" t="s">
        <v>11</v>
      </c>
      <c r="CY34" s="68" t="s">
        <v>11</v>
      </c>
      <c r="CZ34" s="68" t="s">
        <v>11</v>
      </c>
      <c r="DA34" s="68" t="s">
        <v>11</v>
      </c>
      <c r="DB34" s="68" t="s">
        <v>11</v>
      </c>
      <c r="DC34" s="68" t="s">
        <v>11</v>
      </c>
      <c r="DD34" s="68" t="s">
        <v>11</v>
      </c>
      <c r="DE34" s="68" t="s">
        <v>11</v>
      </c>
      <c r="DF34" s="68" t="s">
        <v>11</v>
      </c>
      <c r="DG34" s="68" t="s">
        <v>11</v>
      </c>
      <c r="DH34" s="68" t="s">
        <v>11</v>
      </c>
      <c r="DI34" s="68" t="s">
        <v>11</v>
      </c>
      <c r="DJ34" s="68" t="s">
        <v>11</v>
      </c>
      <c r="DK34" s="68" t="s">
        <v>11</v>
      </c>
      <c r="DL34" s="68" t="s">
        <v>11</v>
      </c>
      <c r="DM34" s="68" t="s">
        <v>11</v>
      </c>
      <c r="DN34" s="68" t="s">
        <v>11</v>
      </c>
      <c r="DO34" s="68" t="s">
        <v>11</v>
      </c>
      <c r="DP34" s="68" t="s">
        <v>700</v>
      </c>
      <c r="DQ34" s="68" t="s">
        <v>700</v>
      </c>
      <c r="DR34" s="68" t="s">
        <v>702</v>
      </c>
      <c r="DS34" s="68" t="s">
        <v>702</v>
      </c>
      <c r="DT34" s="68" t="s">
        <v>702</v>
      </c>
      <c r="DU34" s="68" t="s">
        <v>849</v>
      </c>
      <c r="DV34" s="68" t="s">
        <v>1467</v>
      </c>
      <c r="DW34" s="159" t="s">
        <v>11</v>
      </c>
      <c r="DX34" s="159" t="s">
        <v>849</v>
      </c>
      <c r="DY34" s="159" t="s">
        <v>11</v>
      </c>
      <c r="DZ34" s="159" t="s">
        <v>11</v>
      </c>
      <c r="EA34" s="159" t="s">
        <v>11</v>
      </c>
      <c r="EB34" s="159" t="s">
        <v>11</v>
      </c>
      <c r="EC34" s="159" t="s">
        <v>11</v>
      </c>
      <c r="ED34" s="159" t="s">
        <v>11</v>
      </c>
      <c r="EE34" s="159" t="s">
        <v>11</v>
      </c>
      <c r="EF34" s="159" t="s">
        <v>11</v>
      </c>
      <c r="EG34" s="159" t="s">
        <v>11</v>
      </c>
      <c r="EH34" s="184" t="s">
        <v>698</v>
      </c>
      <c r="EI34" s="187" t="s">
        <v>713</v>
      </c>
      <c r="EJ34" s="115" t="s">
        <v>11</v>
      </c>
      <c r="EK34" s="188" t="s">
        <v>1441</v>
      </c>
      <c r="EL34" s="184" t="s">
        <v>1133</v>
      </c>
      <c r="EM34" s="188" t="s">
        <v>849</v>
      </c>
      <c r="EN34" s="159" t="s">
        <v>11</v>
      </c>
      <c r="EO34" s="184" t="s">
        <v>11</v>
      </c>
      <c r="EP34" s="184" t="s">
        <v>849</v>
      </c>
      <c r="EQ34" s="184" t="s">
        <v>11</v>
      </c>
      <c r="ER34" s="115" t="s">
        <v>11</v>
      </c>
      <c r="ES34" s="184" t="s">
        <v>11</v>
      </c>
      <c r="ET34" s="184" t="s">
        <v>698</v>
      </c>
      <c r="EU34" s="159" t="s">
        <v>698</v>
      </c>
      <c r="EV34" s="159" t="s">
        <v>698</v>
      </c>
      <c r="EW34" s="159" t="s">
        <v>11</v>
      </c>
      <c r="EX34" s="184" t="s">
        <v>11</v>
      </c>
      <c r="EY34" s="184" t="s">
        <v>11</v>
      </c>
      <c r="EZ34" s="184" t="s">
        <v>11</v>
      </c>
      <c r="FA34" s="68" t="s">
        <v>704</v>
      </c>
      <c r="FB34" s="68" t="s">
        <v>851</v>
      </c>
      <c r="FC34" s="68" t="s">
        <v>704</v>
      </c>
      <c r="FD34" s="68" t="s">
        <v>851</v>
      </c>
      <c r="FE34" s="68" t="s">
        <v>799</v>
      </c>
      <c r="FF34" s="68" t="s">
        <v>702</v>
      </c>
      <c r="FG34" s="68" t="s">
        <v>702</v>
      </c>
      <c r="FH34" s="68" t="s">
        <v>11</v>
      </c>
      <c r="FI34" s="68" t="s">
        <v>11</v>
      </c>
      <c r="FJ34" s="68" t="s">
        <v>1441</v>
      </c>
      <c r="FK34" s="68" t="s">
        <v>702</v>
      </c>
      <c r="FL34" s="68" t="s">
        <v>702</v>
      </c>
      <c r="FM34" s="202" t="s">
        <v>1034</v>
      </c>
      <c r="FN34" s="188" t="s">
        <v>704</v>
      </c>
      <c r="FO34" s="156" t="s">
        <v>698</v>
      </c>
      <c r="FP34" s="187" t="s">
        <v>697</v>
      </c>
      <c r="FQ34" s="187" t="s">
        <v>702</v>
      </c>
      <c r="FR34" s="115" t="s">
        <v>704</v>
      </c>
      <c r="FS34" s="188" t="s">
        <v>698</v>
      </c>
      <c r="FT34" s="187" t="s">
        <v>698</v>
      </c>
      <c r="FU34" s="187" t="s">
        <v>698</v>
      </c>
      <c r="FV34" s="159" t="s">
        <v>697</v>
      </c>
      <c r="FW34" s="159" t="s">
        <v>11</v>
      </c>
      <c r="FX34" s="159" t="s">
        <v>11</v>
      </c>
      <c r="FY34" s="115" t="s">
        <v>11</v>
      </c>
      <c r="FZ34" s="184" t="s">
        <v>698</v>
      </c>
      <c r="GA34" s="159" t="s">
        <v>1640</v>
      </c>
      <c r="GB34" s="115" t="s">
        <v>11</v>
      </c>
      <c r="GC34" s="184" t="s">
        <v>1640</v>
      </c>
      <c r="GD34" s="209" t="s">
        <v>1441</v>
      </c>
      <c r="GE34" s="159" t="s">
        <v>704</v>
      </c>
      <c r="GF34" s="182" t="s">
        <v>11</v>
      </c>
      <c r="GG34" s="211" t="s">
        <v>698</v>
      </c>
      <c r="GH34" s="182" t="s">
        <v>698</v>
      </c>
      <c r="GI34" s="159" t="s">
        <v>698</v>
      </c>
      <c r="GJ34" s="159" t="s">
        <v>698</v>
      </c>
      <c r="GK34" s="159" t="s">
        <v>11</v>
      </c>
      <c r="GL34" s="115" t="s">
        <v>11</v>
      </c>
      <c r="GM34" s="115" t="s">
        <v>702</v>
      </c>
      <c r="GN34" s="159" t="s">
        <v>702</v>
      </c>
      <c r="GO34" s="184" t="s">
        <v>11</v>
      </c>
      <c r="GP34" s="115" t="s">
        <v>704</v>
      </c>
      <c r="GQ34" s="208" t="s">
        <v>1441</v>
      </c>
      <c r="GR34" s="115" t="s">
        <v>11</v>
      </c>
      <c r="GS34" s="184" t="s">
        <v>11</v>
      </c>
      <c r="GT34" s="184" t="s">
        <v>698</v>
      </c>
      <c r="GU34" s="184" t="s">
        <v>11</v>
      </c>
      <c r="GV34" s="159" t="s">
        <v>700</v>
      </c>
      <c r="GW34" s="184" t="s">
        <v>804</v>
      </c>
      <c r="GX34" s="184" t="s">
        <v>698</v>
      </c>
      <c r="GY34" s="184" t="s">
        <v>704</v>
      </c>
      <c r="GZ34" s="191" t="s">
        <v>849</v>
      </c>
      <c r="HA34" s="159" t="s">
        <v>702</v>
      </c>
      <c r="HB34" s="182" t="s">
        <v>1640</v>
      </c>
      <c r="HC34" s="159" t="s">
        <v>702</v>
      </c>
      <c r="HD34" s="156" t="s">
        <v>849</v>
      </c>
      <c r="HE34" s="169" t="s">
        <v>849</v>
      </c>
      <c r="HF34" s="169" t="s">
        <v>849</v>
      </c>
      <c r="HG34" s="187" t="s">
        <v>1441</v>
      </c>
      <c r="HH34" s="169" t="s">
        <v>849</v>
      </c>
      <c r="HI34" s="200" t="s">
        <v>1441</v>
      </c>
      <c r="HJ34" s="115" t="s">
        <v>1697</v>
      </c>
      <c r="HK34" s="115" t="s">
        <v>697</v>
      </c>
      <c r="HL34" s="159" t="s">
        <v>698</v>
      </c>
      <c r="HM34" s="115" t="s">
        <v>1033</v>
      </c>
      <c r="HN34" s="159" t="s">
        <v>11</v>
      </c>
      <c r="HO34" s="159" t="s">
        <v>1657</v>
      </c>
      <c r="HP34" s="159" t="s">
        <v>703</v>
      </c>
      <c r="HQ34" s="159" t="s">
        <v>1657</v>
      </c>
      <c r="HR34" s="159" t="s">
        <v>3554</v>
      </c>
      <c r="HS34" s="159" t="s">
        <v>702</v>
      </c>
      <c r="HT34" s="233" t="s">
        <v>704</v>
      </c>
      <c r="HU34" s="159" t="s">
        <v>703</v>
      </c>
      <c r="HV34" s="159" t="s">
        <v>11</v>
      </c>
      <c r="HW34" s="159" t="s">
        <v>698</v>
      </c>
      <c r="HX34" s="159" t="s">
        <v>1657</v>
      </c>
      <c r="HY34" s="115" t="s">
        <v>702</v>
      </c>
      <c r="HZ34" s="184" t="s">
        <v>11</v>
      </c>
      <c r="IA34" s="159" t="s">
        <v>1657</v>
      </c>
      <c r="IB34" s="184" t="s">
        <v>1441</v>
      </c>
      <c r="IC34" s="115" t="s">
        <v>702</v>
      </c>
      <c r="ID34" s="233" t="s">
        <v>704</v>
      </c>
      <c r="IE34" s="159" t="s">
        <v>700</v>
      </c>
      <c r="IF34" s="185" t="s">
        <v>719</v>
      </c>
      <c r="IG34" s="185" t="s">
        <v>1034</v>
      </c>
      <c r="IH34" s="185" t="s">
        <v>698</v>
      </c>
      <c r="II34" s="185" t="s">
        <v>799</v>
      </c>
      <c r="IJ34" s="185" t="s">
        <v>704</v>
      </c>
      <c r="IK34" s="185" t="s">
        <v>702</v>
      </c>
      <c r="IL34" s="185" t="s">
        <v>719</v>
      </c>
      <c r="IM34" s="184" t="s">
        <v>702</v>
      </c>
      <c r="IN34" s="184" t="s">
        <v>719</v>
      </c>
      <c r="IO34" s="159" t="s">
        <v>11</v>
      </c>
      <c r="IP34" s="159" t="s">
        <v>11</v>
      </c>
      <c r="IQ34" s="184" t="s">
        <v>11</v>
      </c>
      <c r="IR34" s="184" t="s">
        <v>719</v>
      </c>
      <c r="IS34" s="184" t="s">
        <v>11</v>
      </c>
      <c r="IT34" s="184" t="s">
        <v>702</v>
      </c>
      <c r="IU34" s="184" t="s">
        <v>702</v>
      </c>
      <c r="IV34" s="184" t="s">
        <v>702</v>
      </c>
      <c r="IW34" s="184" t="s">
        <v>702</v>
      </c>
      <c r="IX34" s="159"/>
      <c r="IY34" s="159" t="s">
        <v>700</v>
      </c>
      <c r="IZ34" s="159" t="s">
        <v>2176</v>
      </c>
      <c r="JA34" s="159" t="s">
        <v>3554</v>
      </c>
      <c r="JB34" s="159" t="s">
        <v>700</v>
      </c>
      <c r="JC34" s="159" t="s">
        <v>698</v>
      </c>
      <c r="JD34" s="159" t="s">
        <v>702</v>
      </c>
      <c r="JE34" s="159" t="s">
        <v>696</v>
      </c>
      <c r="JF34" s="159" t="s">
        <v>702</v>
      </c>
      <c r="JG34" s="159" t="s">
        <v>2176</v>
      </c>
      <c r="JH34" s="159" t="s">
        <v>702</v>
      </c>
      <c r="JI34" s="159" t="s">
        <v>698</v>
      </c>
      <c r="JJ34" s="243" t="s">
        <v>698</v>
      </c>
      <c r="JK34" s="243" t="s">
        <v>698</v>
      </c>
      <c r="JL34" s="243" t="s">
        <v>700</v>
      </c>
      <c r="JM34" s="243" t="s">
        <v>702</v>
      </c>
      <c r="JN34" s="159" t="s">
        <v>698</v>
      </c>
      <c r="JO34" s="159" t="s">
        <v>700</v>
      </c>
      <c r="JP34" s="159" t="s">
        <v>11</v>
      </c>
      <c r="JQ34" s="159" t="s">
        <v>698</v>
      </c>
      <c r="JR34" s="159" t="s">
        <v>702</v>
      </c>
      <c r="JS34" s="159" t="s">
        <v>698</v>
      </c>
      <c r="JT34" s="159" t="s">
        <v>2176</v>
      </c>
      <c r="JU34" s="159" t="s">
        <v>698</v>
      </c>
      <c r="JV34" s="159" t="s">
        <v>698</v>
      </c>
      <c r="JW34" s="159" t="s">
        <v>698</v>
      </c>
      <c r="JX34" s="159" t="s">
        <v>3554</v>
      </c>
      <c r="JY34" s="159" t="s">
        <v>698</v>
      </c>
      <c r="JZ34" s="159" t="s">
        <v>698</v>
      </c>
      <c r="KA34" s="159" t="s">
        <v>698</v>
      </c>
      <c r="KB34" s="159" t="s">
        <v>698</v>
      </c>
      <c r="KC34" s="159" t="s">
        <v>698</v>
      </c>
      <c r="KD34" s="159" t="s">
        <v>702</v>
      </c>
      <c r="KE34" s="159" t="s">
        <v>698</v>
      </c>
      <c r="KF34" s="159" t="s">
        <v>698</v>
      </c>
      <c r="KG34" s="159" t="s">
        <v>11</v>
      </c>
      <c r="KH34" s="184" t="s">
        <v>11</v>
      </c>
      <c r="KI34" s="159" t="s">
        <v>698</v>
      </c>
      <c r="KJ34" s="159" t="s">
        <v>698</v>
      </c>
      <c r="KK34" s="159" t="s">
        <v>702</v>
      </c>
      <c r="KL34" s="159" t="s">
        <v>698</v>
      </c>
      <c r="KM34" s="184" t="s">
        <v>702</v>
      </c>
      <c r="KN34" s="187" t="s">
        <v>11</v>
      </c>
      <c r="KO34" s="159" t="s">
        <v>799</v>
      </c>
      <c r="KP34" s="182" t="s">
        <v>11</v>
      </c>
      <c r="KQ34" s="159" t="s">
        <v>851</v>
      </c>
      <c r="KR34" s="184" t="s">
        <v>702</v>
      </c>
      <c r="KS34" s="159" t="s">
        <v>704</v>
      </c>
      <c r="KT34" s="159" t="s">
        <v>11</v>
      </c>
      <c r="KU34" s="159" t="s">
        <v>11</v>
      </c>
      <c r="KV34" s="184" t="s">
        <v>702</v>
      </c>
      <c r="KW34" s="115" t="s">
        <v>697</v>
      </c>
      <c r="KX34" s="115" t="s">
        <v>697</v>
      </c>
      <c r="KY34" s="243" t="s">
        <v>698</v>
      </c>
      <c r="KZ34" s="243" t="s">
        <v>702</v>
      </c>
      <c r="LA34" s="188" t="s">
        <v>696</v>
      </c>
      <c r="LB34" s="115" t="s">
        <v>702</v>
      </c>
      <c r="LC34" s="184" t="s">
        <v>702</v>
      </c>
      <c r="LD34" s="184" t="s">
        <v>702</v>
      </c>
      <c r="LE34" s="184" t="s">
        <v>702</v>
      </c>
      <c r="LF34" s="184" t="s">
        <v>698</v>
      </c>
      <c r="LG34" s="184" t="s">
        <v>702</v>
      </c>
      <c r="LH34" s="115" t="s">
        <v>698</v>
      </c>
      <c r="LI34" s="115" t="s">
        <v>11</v>
      </c>
      <c r="LJ34" s="115" t="s">
        <v>1034</v>
      </c>
      <c r="LK34" s="115" t="s">
        <v>11</v>
      </c>
      <c r="LL34" s="188" t="s">
        <v>11</v>
      </c>
      <c r="LM34" s="120" t="s">
        <v>698</v>
      </c>
      <c r="LN34" s="263" t="s">
        <v>702</v>
      </c>
      <c r="LO34" s="115" t="s">
        <v>698</v>
      </c>
      <c r="LP34" s="115" t="s">
        <v>696</v>
      </c>
      <c r="LQ34" s="263" t="s">
        <v>703</v>
      </c>
      <c r="LR34" s="184" t="s">
        <v>702</v>
      </c>
      <c r="LS34" s="115" t="s">
        <v>1034</v>
      </c>
      <c r="LT34" s="115" t="s">
        <v>11</v>
      </c>
      <c r="LU34" s="115" t="s">
        <v>11</v>
      </c>
      <c r="LV34" s="286" t="s">
        <v>11</v>
      </c>
      <c r="LW34" s="115" t="s">
        <v>11</v>
      </c>
      <c r="LX34" s="115" t="s">
        <v>11</v>
      </c>
      <c r="LY34" s="184" t="s">
        <v>702</v>
      </c>
      <c r="LZ34" s="184" t="s">
        <v>704</v>
      </c>
      <c r="MA34" s="115" t="s">
        <v>698</v>
      </c>
      <c r="MB34" s="115" t="s">
        <v>696</v>
      </c>
      <c r="MC34" s="184" t="s">
        <v>702</v>
      </c>
      <c r="MD34" s="115" t="s">
        <v>700</v>
      </c>
    </row>
    <row r="35" spans="1:342" s="68" customFormat="1" ht="14.4" x14ac:dyDescent="0.3">
      <c r="A35" s="92">
        <v>32</v>
      </c>
      <c r="B35" s="311"/>
      <c r="C35" s="64" t="s">
        <v>472</v>
      </c>
      <c r="D35" s="69"/>
      <c r="E35" s="66">
        <v>2</v>
      </c>
      <c r="F35" s="66" t="s">
        <v>11</v>
      </c>
      <c r="G35" s="66" t="s">
        <v>11</v>
      </c>
      <c r="H35" s="66" t="s">
        <v>11</v>
      </c>
      <c r="I35" s="66">
        <v>5</v>
      </c>
      <c r="J35" s="94">
        <v>2</v>
      </c>
      <c r="K35" s="66" t="s">
        <v>708</v>
      </c>
      <c r="L35" s="66" t="s">
        <v>11</v>
      </c>
      <c r="M35" s="66" t="s">
        <v>11</v>
      </c>
      <c r="N35" s="66" t="s">
        <v>11</v>
      </c>
      <c r="O35" s="66" t="s">
        <v>11</v>
      </c>
      <c r="P35" s="66" t="s">
        <v>11</v>
      </c>
      <c r="Q35" s="66" t="s">
        <v>11</v>
      </c>
      <c r="R35" s="66">
        <v>2</v>
      </c>
      <c r="S35" s="66">
        <v>2</v>
      </c>
      <c r="T35" s="66">
        <v>2</v>
      </c>
      <c r="U35" s="66">
        <v>14</v>
      </c>
      <c r="V35" s="66">
        <v>14</v>
      </c>
      <c r="W35" s="66">
        <v>14</v>
      </c>
      <c r="X35" s="66">
        <v>14</v>
      </c>
      <c r="Y35" s="66">
        <v>2</v>
      </c>
      <c r="Z35" s="66" t="s">
        <v>11</v>
      </c>
      <c r="AA35" s="66">
        <v>9</v>
      </c>
      <c r="AB35" s="66">
        <v>11</v>
      </c>
      <c r="AC35" s="66" t="s">
        <v>11</v>
      </c>
      <c r="AD35" s="66" t="s">
        <v>11</v>
      </c>
      <c r="AE35" s="66" t="s">
        <v>11</v>
      </c>
      <c r="AF35" s="66" t="s">
        <v>11</v>
      </c>
      <c r="AG35" s="66" t="s">
        <v>11</v>
      </c>
      <c r="AH35" s="66">
        <v>2</v>
      </c>
      <c r="AI35" s="66">
        <v>2</v>
      </c>
      <c r="AJ35" s="66" t="s">
        <v>11</v>
      </c>
      <c r="AK35" s="66">
        <v>2</v>
      </c>
      <c r="AL35" s="66">
        <v>2</v>
      </c>
      <c r="AM35" s="66" t="s">
        <v>11</v>
      </c>
      <c r="AN35" s="66">
        <v>3</v>
      </c>
      <c r="AO35" s="66">
        <v>2</v>
      </c>
      <c r="AP35" s="66" t="s">
        <v>11</v>
      </c>
      <c r="AQ35" s="66" t="s">
        <v>11</v>
      </c>
      <c r="AR35" s="66" t="s">
        <v>11</v>
      </c>
      <c r="AS35" s="66" t="s">
        <v>11</v>
      </c>
      <c r="AT35" s="66">
        <v>3</v>
      </c>
      <c r="AU35" s="66">
        <v>2</v>
      </c>
      <c r="AV35" s="66">
        <v>2</v>
      </c>
      <c r="AW35" s="66">
        <v>2</v>
      </c>
      <c r="AX35" s="66" t="s">
        <v>708</v>
      </c>
      <c r="AY35" s="66" t="s">
        <v>11</v>
      </c>
      <c r="AZ35" s="66" t="s">
        <v>11</v>
      </c>
      <c r="BA35" s="66">
        <v>14</v>
      </c>
      <c r="BB35" s="66" t="s">
        <v>11</v>
      </c>
      <c r="BC35" s="66" t="s">
        <v>11</v>
      </c>
      <c r="BD35" s="66" t="s">
        <v>11</v>
      </c>
      <c r="BE35" s="66" t="s">
        <v>11</v>
      </c>
      <c r="BF35" s="66" t="s">
        <v>11</v>
      </c>
      <c r="BG35" s="66" t="s">
        <v>11</v>
      </c>
      <c r="BH35" s="66" t="s">
        <v>11</v>
      </c>
      <c r="BI35" s="66" t="s">
        <v>11</v>
      </c>
      <c r="BJ35" s="66" t="s">
        <v>11</v>
      </c>
      <c r="BK35" s="42">
        <v>2</v>
      </c>
      <c r="BL35" s="68">
        <v>3</v>
      </c>
      <c r="BM35" s="68">
        <v>2</v>
      </c>
      <c r="BN35" s="68">
        <v>2</v>
      </c>
      <c r="BO35" s="68">
        <v>2</v>
      </c>
      <c r="BP35" s="68">
        <v>2</v>
      </c>
      <c r="BQ35" s="68">
        <v>2</v>
      </c>
      <c r="BR35" s="117" t="s">
        <v>11</v>
      </c>
      <c r="BS35" s="105" t="s">
        <v>11</v>
      </c>
      <c r="BT35" s="105" t="s">
        <v>11</v>
      </c>
      <c r="BU35" s="115">
        <v>78</v>
      </c>
      <c r="BV35" s="159">
        <v>8</v>
      </c>
      <c r="BW35" s="159">
        <v>2</v>
      </c>
      <c r="BX35" s="115">
        <v>6</v>
      </c>
      <c r="BY35" s="115">
        <v>6</v>
      </c>
      <c r="BZ35" s="115">
        <v>6</v>
      </c>
      <c r="CA35" s="68">
        <v>14</v>
      </c>
      <c r="CB35" s="68">
        <v>72</v>
      </c>
      <c r="CC35" s="68" t="s">
        <v>11</v>
      </c>
      <c r="CD35" s="68">
        <v>10</v>
      </c>
      <c r="CE35" s="68">
        <v>4</v>
      </c>
      <c r="CF35" s="68" t="s">
        <v>11</v>
      </c>
      <c r="CG35" s="68" t="s">
        <v>11</v>
      </c>
      <c r="CH35" s="68" t="s">
        <v>11</v>
      </c>
      <c r="CI35" s="68" t="s">
        <v>11</v>
      </c>
      <c r="CJ35" s="68">
        <v>14</v>
      </c>
      <c r="CK35" s="68">
        <v>14</v>
      </c>
      <c r="CL35" s="68">
        <v>83</v>
      </c>
      <c r="CM35" s="68">
        <v>3</v>
      </c>
      <c r="CN35" s="68" t="s">
        <v>11</v>
      </c>
      <c r="CO35" s="68">
        <v>3</v>
      </c>
      <c r="CP35" s="68">
        <v>6</v>
      </c>
      <c r="CQ35" s="68" t="s">
        <v>11</v>
      </c>
      <c r="CR35" s="68" t="s">
        <v>11</v>
      </c>
      <c r="CS35" s="68" t="s">
        <v>11</v>
      </c>
      <c r="CT35" s="68" t="s">
        <v>11</v>
      </c>
      <c r="CU35" s="68" t="s">
        <v>11</v>
      </c>
      <c r="CV35" s="68" t="s">
        <v>11</v>
      </c>
      <c r="CW35" s="68" t="s">
        <v>11</v>
      </c>
      <c r="CX35" s="68" t="s">
        <v>11</v>
      </c>
      <c r="CY35" s="68" t="s">
        <v>11</v>
      </c>
      <c r="CZ35" s="68" t="s">
        <v>11</v>
      </c>
      <c r="DA35" s="68" t="s">
        <v>11</v>
      </c>
      <c r="DB35" s="68" t="s">
        <v>11</v>
      </c>
      <c r="DC35" s="68" t="s">
        <v>11</v>
      </c>
      <c r="DD35" s="68" t="s">
        <v>11</v>
      </c>
      <c r="DE35" s="68" t="s">
        <v>11</v>
      </c>
      <c r="DF35" s="68" t="s">
        <v>11</v>
      </c>
      <c r="DG35" s="68" t="s">
        <v>11</v>
      </c>
      <c r="DH35" s="68" t="s">
        <v>11</v>
      </c>
      <c r="DI35" s="68" t="s">
        <v>11</v>
      </c>
      <c r="DJ35" s="68" t="s">
        <v>11</v>
      </c>
      <c r="DK35" s="68" t="s">
        <v>11</v>
      </c>
      <c r="DL35" s="68" t="s">
        <v>11</v>
      </c>
      <c r="DM35" s="68" t="s">
        <v>11</v>
      </c>
      <c r="DN35" s="68" t="s">
        <v>11</v>
      </c>
      <c r="DO35" s="68" t="s">
        <v>11</v>
      </c>
      <c r="DP35" s="68">
        <v>6</v>
      </c>
      <c r="DQ35" s="68">
        <v>6</v>
      </c>
      <c r="DR35" s="68">
        <v>3</v>
      </c>
      <c r="DS35" s="68">
        <v>3</v>
      </c>
      <c r="DT35" s="68">
        <v>3</v>
      </c>
      <c r="DU35" s="68">
        <v>4</v>
      </c>
      <c r="DV35" s="68">
        <v>79</v>
      </c>
      <c r="DW35" s="159" t="s">
        <v>11</v>
      </c>
      <c r="DX35" s="159">
        <v>4</v>
      </c>
      <c r="DY35" s="159" t="s">
        <v>11</v>
      </c>
      <c r="DZ35" s="159" t="s">
        <v>11</v>
      </c>
      <c r="EA35" s="159" t="s">
        <v>11</v>
      </c>
      <c r="EB35" s="159" t="s">
        <v>11</v>
      </c>
      <c r="EC35" s="159" t="s">
        <v>11</v>
      </c>
      <c r="ED35" s="159" t="s">
        <v>11</v>
      </c>
      <c r="EE35" s="159" t="s">
        <v>11</v>
      </c>
      <c r="EF35" s="159" t="s">
        <v>11</v>
      </c>
      <c r="EG35" s="159" t="s">
        <v>11</v>
      </c>
      <c r="EH35" s="184">
        <v>2</v>
      </c>
      <c r="EI35" s="187">
        <v>10</v>
      </c>
      <c r="EJ35" s="115" t="s">
        <v>11</v>
      </c>
      <c r="EK35" s="187">
        <v>86</v>
      </c>
      <c r="EL35" s="115">
        <v>11</v>
      </c>
      <c r="EM35" s="187">
        <v>4</v>
      </c>
      <c r="EN35" s="159" t="s">
        <v>11</v>
      </c>
      <c r="EO35" s="184" t="s">
        <v>11</v>
      </c>
      <c r="EP35" s="159">
        <v>4</v>
      </c>
      <c r="EQ35" s="184" t="s">
        <v>11</v>
      </c>
      <c r="ER35" s="115" t="s">
        <v>11</v>
      </c>
      <c r="ES35" s="184" t="s">
        <v>11</v>
      </c>
      <c r="ET35" s="184">
        <v>2</v>
      </c>
      <c r="EU35" s="159">
        <v>2</v>
      </c>
      <c r="EV35" s="159">
        <v>2</v>
      </c>
      <c r="EW35" s="159" t="s">
        <v>11</v>
      </c>
      <c r="EX35" s="184" t="s">
        <v>11</v>
      </c>
      <c r="EY35" s="184" t="s">
        <v>11</v>
      </c>
      <c r="EZ35" s="184" t="s">
        <v>11</v>
      </c>
      <c r="FA35" s="68">
        <v>14</v>
      </c>
      <c r="FB35" s="68">
        <v>13</v>
      </c>
      <c r="FC35" s="68">
        <v>14</v>
      </c>
      <c r="FD35" s="68">
        <v>13</v>
      </c>
      <c r="FE35" s="68">
        <v>7</v>
      </c>
      <c r="FF35" s="68">
        <v>3</v>
      </c>
      <c r="FG35" s="68">
        <v>3</v>
      </c>
      <c r="FH35" s="68" t="s">
        <v>11</v>
      </c>
      <c r="FI35" s="68" t="s">
        <v>11</v>
      </c>
      <c r="FJ35" s="68">
        <v>86</v>
      </c>
      <c r="FK35" s="68">
        <v>3</v>
      </c>
      <c r="FL35" s="68">
        <v>3</v>
      </c>
      <c r="FM35" s="202">
        <v>20</v>
      </c>
      <c r="FN35" s="188">
        <v>9</v>
      </c>
      <c r="FO35" s="187">
        <v>2</v>
      </c>
      <c r="FP35" s="155">
        <v>6</v>
      </c>
      <c r="FQ35" s="155">
        <v>3</v>
      </c>
      <c r="FR35" s="115">
        <v>14</v>
      </c>
      <c r="FS35" s="155">
        <v>2</v>
      </c>
      <c r="FT35" s="187">
        <v>2</v>
      </c>
      <c r="FU35" s="187">
        <v>2</v>
      </c>
      <c r="FV35" s="159">
        <v>6</v>
      </c>
      <c r="FW35" s="159" t="s">
        <v>11</v>
      </c>
      <c r="FX35" s="159" t="s">
        <v>11</v>
      </c>
      <c r="FY35" s="115" t="s">
        <v>11</v>
      </c>
      <c r="FZ35" s="184">
        <v>2</v>
      </c>
      <c r="GA35" s="159">
        <v>90</v>
      </c>
      <c r="GB35" s="115" t="s">
        <v>11</v>
      </c>
      <c r="GC35" s="184">
        <v>90</v>
      </c>
      <c r="GD35" s="209">
        <v>86</v>
      </c>
      <c r="GE35" s="159">
        <v>3</v>
      </c>
      <c r="GF35" s="182" t="s">
        <v>11</v>
      </c>
      <c r="GG35" s="210">
        <v>2</v>
      </c>
      <c r="GH35" s="182">
        <v>2</v>
      </c>
      <c r="GI35" s="159">
        <v>2</v>
      </c>
      <c r="GJ35" s="159">
        <v>2</v>
      </c>
      <c r="GK35" s="159" t="s">
        <v>11</v>
      </c>
      <c r="GL35" s="115" t="s">
        <v>11</v>
      </c>
      <c r="GM35" s="115">
        <v>3</v>
      </c>
      <c r="GN35" s="159">
        <v>3</v>
      </c>
      <c r="GO35" s="184" t="s">
        <v>11</v>
      </c>
      <c r="GP35" s="115">
        <v>14</v>
      </c>
      <c r="GQ35" s="209">
        <v>86</v>
      </c>
      <c r="GR35" s="115" t="s">
        <v>11</v>
      </c>
      <c r="GS35" s="184" t="s">
        <v>11</v>
      </c>
      <c r="GT35" s="159">
        <v>2</v>
      </c>
      <c r="GU35" s="184" t="s">
        <v>11</v>
      </c>
      <c r="GV35" s="184">
        <v>6</v>
      </c>
      <c r="GW35" s="184">
        <v>2</v>
      </c>
      <c r="GX35" s="184">
        <v>2</v>
      </c>
      <c r="GY35" s="115">
        <v>14</v>
      </c>
      <c r="GZ35" s="69">
        <v>4</v>
      </c>
      <c r="HA35" s="159">
        <v>3</v>
      </c>
      <c r="HB35" s="182">
        <v>90</v>
      </c>
      <c r="HC35" s="159">
        <v>3</v>
      </c>
      <c r="HD35" s="155">
        <v>4</v>
      </c>
      <c r="HE35" s="185">
        <v>4</v>
      </c>
      <c r="HF35" s="185">
        <v>4</v>
      </c>
      <c r="HG35" s="187">
        <v>86</v>
      </c>
      <c r="HH35" s="185">
        <v>4</v>
      </c>
      <c r="HI35" s="200">
        <v>86</v>
      </c>
      <c r="HJ35" s="115">
        <v>28</v>
      </c>
      <c r="HK35" s="185">
        <v>6</v>
      </c>
      <c r="HL35" s="159">
        <v>2</v>
      </c>
      <c r="HM35" s="115">
        <v>4</v>
      </c>
      <c r="HN35" s="159" t="s">
        <v>11</v>
      </c>
      <c r="HO35" s="159">
        <v>79</v>
      </c>
      <c r="HP35" s="159">
        <v>8</v>
      </c>
      <c r="HQ35" s="159">
        <v>79</v>
      </c>
      <c r="HR35" s="159">
        <v>85</v>
      </c>
      <c r="HS35" s="159">
        <v>3</v>
      </c>
      <c r="HT35" s="184">
        <v>3</v>
      </c>
      <c r="HU35" s="159">
        <v>8</v>
      </c>
      <c r="HV35" s="159" t="s">
        <v>11</v>
      </c>
      <c r="HW35" s="184">
        <v>2</v>
      </c>
      <c r="HX35" s="159">
        <v>79</v>
      </c>
      <c r="HY35" s="115">
        <v>3</v>
      </c>
      <c r="HZ35" s="184" t="s">
        <v>11</v>
      </c>
      <c r="IA35" s="159">
        <v>79</v>
      </c>
      <c r="IB35" s="159">
        <v>86</v>
      </c>
      <c r="IC35" s="115">
        <v>3</v>
      </c>
      <c r="ID35" s="184">
        <v>3</v>
      </c>
      <c r="IE35" s="159">
        <v>6</v>
      </c>
      <c r="IF35" s="185">
        <v>7</v>
      </c>
      <c r="IG35" s="185">
        <v>20</v>
      </c>
      <c r="IH35" s="185">
        <v>89</v>
      </c>
      <c r="II35" s="185">
        <v>7</v>
      </c>
      <c r="IJ35" s="185">
        <v>3</v>
      </c>
      <c r="IK35" s="185">
        <v>3</v>
      </c>
      <c r="IL35" s="185">
        <v>7</v>
      </c>
      <c r="IM35" s="184">
        <v>3</v>
      </c>
      <c r="IN35" s="184">
        <v>7</v>
      </c>
      <c r="IO35" s="159" t="s">
        <v>11</v>
      </c>
      <c r="IP35" s="159" t="s">
        <v>11</v>
      </c>
      <c r="IQ35" s="184" t="s">
        <v>11</v>
      </c>
      <c r="IR35" s="184">
        <v>7</v>
      </c>
      <c r="IS35" s="184" t="s">
        <v>11</v>
      </c>
      <c r="IT35" s="184">
        <v>3</v>
      </c>
      <c r="IU35" s="184">
        <v>3</v>
      </c>
      <c r="IV35" s="184">
        <v>3</v>
      </c>
      <c r="IW35" s="184">
        <v>3</v>
      </c>
      <c r="IX35" s="182"/>
      <c r="IY35" s="184">
        <v>6</v>
      </c>
      <c r="IZ35" s="159">
        <v>88</v>
      </c>
      <c r="JA35" s="184">
        <v>11</v>
      </c>
      <c r="JB35" s="184">
        <v>6</v>
      </c>
      <c r="JC35" s="184">
        <v>2</v>
      </c>
      <c r="JD35" s="159">
        <v>3</v>
      </c>
      <c r="JE35" s="159">
        <v>7</v>
      </c>
      <c r="JF35" s="159">
        <v>9</v>
      </c>
      <c r="JG35" s="159">
        <v>88</v>
      </c>
      <c r="JH35" s="159">
        <v>9</v>
      </c>
      <c r="JI35" s="184">
        <v>2</v>
      </c>
      <c r="JJ35" s="243">
        <v>2</v>
      </c>
      <c r="JK35" s="243">
        <v>2</v>
      </c>
      <c r="JL35" s="243">
        <v>6</v>
      </c>
      <c r="JM35" s="243">
        <v>3</v>
      </c>
      <c r="JN35" s="159">
        <v>2</v>
      </c>
      <c r="JO35" s="184">
        <v>6</v>
      </c>
      <c r="JP35" s="159" t="s">
        <v>11</v>
      </c>
      <c r="JQ35" s="159">
        <v>2</v>
      </c>
      <c r="JR35" s="159">
        <v>9</v>
      </c>
      <c r="JS35" s="184">
        <v>2</v>
      </c>
      <c r="JT35" s="159">
        <v>88</v>
      </c>
      <c r="JU35" s="184">
        <v>2</v>
      </c>
      <c r="JV35" s="184">
        <v>2</v>
      </c>
      <c r="JW35" s="184">
        <v>2</v>
      </c>
      <c r="JX35" s="184">
        <v>11</v>
      </c>
      <c r="JY35" s="184">
        <v>2</v>
      </c>
      <c r="JZ35" s="184">
        <v>2</v>
      </c>
      <c r="KA35" s="184">
        <v>2</v>
      </c>
      <c r="KB35" s="184">
        <v>2</v>
      </c>
      <c r="KC35" s="184">
        <v>2</v>
      </c>
      <c r="KD35" s="159">
        <v>3</v>
      </c>
      <c r="KE35" s="184">
        <v>2</v>
      </c>
      <c r="KF35" s="184">
        <v>2</v>
      </c>
      <c r="KG35" s="159" t="s">
        <v>11</v>
      </c>
      <c r="KH35" s="184" t="s">
        <v>11</v>
      </c>
      <c r="KI35" s="159">
        <v>2</v>
      </c>
      <c r="KJ35" s="159">
        <v>2</v>
      </c>
      <c r="KK35" s="159">
        <v>14</v>
      </c>
      <c r="KL35" s="159">
        <v>2</v>
      </c>
      <c r="KM35" s="184">
        <v>14</v>
      </c>
      <c r="KN35" s="187" t="s">
        <v>11</v>
      </c>
      <c r="KO35" s="159">
        <v>7</v>
      </c>
      <c r="KP35" s="182" t="s">
        <v>11</v>
      </c>
      <c r="KQ35" s="159">
        <v>84</v>
      </c>
      <c r="KR35" s="184">
        <v>3</v>
      </c>
      <c r="KS35" s="184">
        <v>14</v>
      </c>
      <c r="KT35" s="159" t="s">
        <v>11</v>
      </c>
      <c r="KU35" s="159" t="s">
        <v>11</v>
      </c>
      <c r="KV35" s="184">
        <v>3</v>
      </c>
      <c r="KW35" s="184">
        <v>6</v>
      </c>
      <c r="KX35" s="184">
        <v>6</v>
      </c>
      <c r="KY35" s="243">
        <v>2</v>
      </c>
      <c r="KZ35" s="243">
        <v>3</v>
      </c>
      <c r="LA35" s="187">
        <v>7</v>
      </c>
      <c r="LB35" s="115">
        <v>9</v>
      </c>
      <c r="LC35" s="184">
        <v>3</v>
      </c>
      <c r="LD35" s="184">
        <v>3</v>
      </c>
      <c r="LE35" s="184">
        <v>3</v>
      </c>
      <c r="LF35" s="184">
        <v>2</v>
      </c>
      <c r="LG35" s="182">
        <v>14</v>
      </c>
      <c r="LH35" s="115">
        <v>2</v>
      </c>
      <c r="LI35" s="115" t="s">
        <v>11</v>
      </c>
      <c r="LJ35" s="115">
        <v>20</v>
      </c>
      <c r="LK35" s="115" t="s">
        <v>11</v>
      </c>
      <c r="LL35" s="188" t="s">
        <v>11</v>
      </c>
      <c r="LM35" s="120">
        <v>2</v>
      </c>
      <c r="LN35" s="263">
        <v>3</v>
      </c>
      <c r="LO35" s="115">
        <v>2</v>
      </c>
      <c r="LP35" s="115">
        <v>7</v>
      </c>
      <c r="LQ35" s="263">
        <v>8</v>
      </c>
      <c r="LR35" s="184">
        <v>14</v>
      </c>
      <c r="LS35" s="115">
        <v>20</v>
      </c>
      <c r="LT35" s="115" t="s">
        <v>11</v>
      </c>
      <c r="LU35" s="115" t="s">
        <v>11</v>
      </c>
      <c r="LV35" s="286" t="s">
        <v>11</v>
      </c>
      <c r="LW35" s="115" t="s">
        <v>11</v>
      </c>
      <c r="LX35" s="115" t="s">
        <v>11</v>
      </c>
      <c r="LY35" s="184">
        <v>3</v>
      </c>
      <c r="LZ35" s="115">
        <v>14</v>
      </c>
      <c r="MA35" s="115">
        <v>2</v>
      </c>
      <c r="MB35" s="115">
        <v>7</v>
      </c>
      <c r="MC35" s="184">
        <v>3</v>
      </c>
      <c r="MD35" s="184">
        <v>6</v>
      </c>
    </row>
    <row r="36" spans="1:342" s="68" customFormat="1" ht="14.4" x14ac:dyDescent="0.3">
      <c r="A36" s="92">
        <v>33</v>
      </c>
      <c r="B36" s="311"/>
      <c r="C36" s="64" t="s">
        <v>473</v>
      </c>
      <c r="D36" s="69"/>
      <c r="E36" s="66" t="s">
        <v>702</v>
      </c>
      <c r="F36" s="66" t="s">
        <v>11</v>
      </c>
      <c r="G36" s="66" t="s">
        <v>11</v>
      </c>
      <c r="H36" s="66" t="s">
        <v>11</v>
      </c>
      <c r="I36" s="66" t="s">
        <v>11</v>
      </c>
      <c r="J36" s="66" t="s">
        <v>702</v>
      </c>
      <c r="K36" s="66" t="s">
        <v>719</v>
      </c>
      <c r="L36" s="66" t="s">
        <v>11</v>
      </c>
      <c r="M36" s="66" t="s">
        <v>11</v>
      </c>
      <c r="N36" s="66" t="s">
        <v>11</v>
      </c>
      <c r="O36" s="66" t="s">
        <v>11</v>
      </c>
      <c r="P36" s="66" t="s">
        <v>11</v>
      </c>
      <c r="Q36" s="66" t="s">
        <v>11</v>
      </c>
      <c r="R36" s="66" t="s">
        <v>11</v>
      </c>
      <c r="S36" s="66" t="s">
        <v>11</v>
      </c>
      <c r="T36" s="66" t="s">
        <v>11</v>
      </c>
      <c r="U36" s="66" t="s">
        <v>698</v>
      </c>
      <c r="V36" s="66" t="s">
        <v>698</v>
      </c>
      <c r="W36" s="66" t="s">
        <v>698</v>
      </c>
      <c r="X36" s="66" t="s">
        <v>698</v>
      </c>
      <c r="Y36" s="66" t="s">
        <v>11</v>
      </c>
      <c r="Z36" s="66" t="s">
        <v>11</v>
      </c>
      <c r="AA36" s="66" t="s">
        <v>11</v>
      </c>
      <c r="AB36" s="66" t="s">
        <v>11</v>
      </c>
      <c r="AC36" s="66" t="s">
        <v>11</v>
      </c>
      <c r="AD36" s="66" t="s">
        <v>11</v>
      </c>
      <c r="AE36" s="66" t="s">
        <v>11</v>
      </c>
      <c r="AF36" s="66" t="s">
        <v>11</v>
      </c>
      <c r="AG36" s="66" t="s">
        <v>11</v>
      </c>
      <c r="AH36" s="66" t="s">
        <v>11</v>
      </c>
      <c r="AI36" s="66" t="s">
        <v>11</v>
      </c>
      <c r="AJ36" s="66" t="s">
        <v>11</v>
      </c>
      <c r="AK36" s="66" t="s">
        <v>11</v>
      </c>
      <c r="AL36" s="66" t="s">
        <v>11</v>
      </c>
      <c r="AM36" s="66" t="s">
        <v>11</v>
      </c>
      <c r="AN36" s="66" t="s">
        <v>698</v>
      </c>
      <c r="AO36" s="66" t="s">
        <v>11</v>
      </c>
      <c r="AP36" s="66" t="s">
        <v>11</v>
      </c>
      <c r="AQ36" s="66" t="s">
        <v>11</v>
      </c>
      <c r="AR36" s="66" t="s">
        <v>11</v>
      </c>
      <c r="AS36" s="66" t="s">
        <v>11</v>
      </c>
      <c r="AT36" s="66" t="s">
        <v>11</v>
      </c>
      <c r="AU36" s="66" t="s">
        <v>11</v>
      </c>
      <c r="AV36" s="66" t="s">
        <v>11</v>
      </c>
      <c r="AW36" s="66" t="s">
        <v>11</v>
      </c>
      <c r="AX36" s="94" t="s">
        <v>702</v>
      </c>
      <c r="AY36" s="66" t="s">
        <v>11</v>
      </c>
      <c r="AZ36" s="66" t="s">
        <v>11</v>
      </c>
      <c r="BA36" s="66" t="s">
        <v>11</v>
      </c>
      <c r="BB36" s="66" t="s">
        <v>11</v>
      </c>
      <c r="BC36" s="66" t="s">
        <v>11</v>
      </c>
      <c r="BD36" s="66" t="s">
        <v>11</v>
      </c>
      <c r="BE36" s="66" t="s">
        <v>11</v>
      </c>
      <c r="BF36" s="66" t="s">
        <v>11</v>
      </c>
      <c r="BG36" s="66" t="s">
        <v>11</v>
      </c>
      <c r="BH36" s="66" t="s">
        <v>11</v>
      </c>
      <c r="BI36" s="66" t="s">
        <v>11</v>
      </c>
      <c r="BJ36" s="66" t="s">
        <v>11</v>
      </c>
      <c r="BK36" s="38" t="s">
        <v>11</v>
      </c>
      <c r="BL36" s="38" t="s">
        <v>700</v>
      </c>
      <c r="BM36" s="72" t="s">
        <v>702</v>
      </c>
      <c r="BN36" s="72" t="s">
        <v>702</v>
      </c>
      <c r="BO36" s="72" t="s">
        <v>702</v>
      </c>
      <c r="BP36" s="72" t="s">
        <v>702</v>
      </c>
      <c r="BQ36" s="72" t="s">
        <v>702</v>
      </c>
      <c r="BR36" s="117" t="s">
        <v>11</v>
      </c>
      <c r="BS36" s="105" t="s">
        <v>11</v>
      </c>
      <c r="BT36" s="105" t="s">
        <v>11</v>
      </c>
      <c r="BU36" s="115" t="s">
        <v>702</v>
      </c>
      <c r="BV36" s="159" t="s">
        <v>11</v>
      </c>
      <c r="BW36" s="159" t="s">
        <v>11</v>
      </c>
      <c r="BX36" s="115" t="s">
        <v>703</v>
      </c>
      <c r="BY36" s="115" t="s">
        <v>703</v>
      </c>
      <c r="BZ36" s="115" t="s">
        <v>700</v>
      </c>
      <c r="CA36" s="68" t="s">
        <v>698</v>
      </c>
      <c r="CB36" s="68" t="s">
        <v>11</v>
      </c>
      <c r="CC36" s="68" t="s">
        <v>11</v>
      </c>
      <c r="CD36" s="68" t="s">
        <v>11</v>
      </c>
      <c r="CE36" s="68" t="s">
        <v>11</v>
      </c>
      <c r="CF36" s="68" t="s">
        <v>11</v>
      </c>
      <c r="CG36" s="68" t="s">
        <v>11</v>
      </c>
      <c r="CH36" s="68" t="s">
        <v>11</v>
      </c>
      <c r="CI36" s="68" t="s">
        <v>11</v>
      </c>
      <c r="CJ36" s="68" t="s">
        <v>11</v>
      </c>
      <c r="CK36" s="68" t="s">
        <v>851</v>
      </c>
      <c r="CL36" s="68" t="s">
        <v>11</v>
      </c>
      <c r="CM36" s="68" t="s">
        <v>11</v>
      </c>
      <c r="CN36" s="68" t="s">
        <v>11</v>
      </c>
      <c r="CO36" s="68" t="s">
        <v>11</v>
      </c>
      <c r="CP36" s="68" t="s">
        <v>702</v>
      </c>
      <c r="CQ36" s="68" t="s">
        <v>11</v>
      </c>
      <c r="CR36" s="68" t="s">
        <v>11</v>
      </c>
      <c r="CS36" s="68" t="s">
        <v>11</v>
      </c>
      <c r="CT36" s="68" t="s">
        <v>11</v>
      </c>
      <c r="CU36" s="68" t="s">
        <v>11</v>
      </c>
      <c r="CV36" s="68" t="s">
        <v>11</v>
      </c>
      <c r="CW36" s="68" t="s">
        <v>11</v>
      </c>
      <c r="CX36" s="68" t="s">
        <v>11</v>
      </c>
      <c r="CY36" s="68" t="s">
        <v>11</v>
      </c>
      <c r="CZ36" s="68" t="s">
        <v>11</v>
      </c>
      <c r="DA36" s="68" t="s">
        <v>11</v>
      </c>
      <c r="DB36" s="68" t="s">
        <v>11</v>
      </c>
      <c r="DC36" s="68" t="s">
        <v>11</v>
      </c>
      <c r="DD36" s="68" t="s">
        <v>11</v>
      </c>
      <c r="DE36" s="68" t="s">
        <v>11</v>
      </c>
      <c r="DF36" s="68" t="s">
        <v>11</v>
      </c>
      <c r="DG36" s="68" t="s">
        <v>11</v>
      </c>
      <c r="DH36" s="68" t="s">
        <v>11</v>
      </c>
      <c r="DI36" s="68" t="s">
        <v>11</v>
      </c>
      <c r="DJ36" s="68" t="s">
        <v>11</v>
      </c>
      <c r="DK36" s="68" t="s">
        <v>11</v>
      </c>
      <c r="DL36" s="68" t="s">
        <v>11</v>
      </c>
      <c r="DM36" s="68" t="s">
        <v>11</v>
      </c>
      <c r="DN36" s="68" t="s">
        <v>11</v>
      </c>
      <c r="DO36" s="68" t="s">
        <v>11</v>
      </c>
      <c r="DP36" s="68" t="s">
        <v>805</v>
      </c>
      <c r="DQ36" s="68" t="s">
        <v>805</v>
      </c>
      <c r="DR36" s="68" t="s">
        <v>11</v>
      </c>
      <c r="DS36" s="68" t="s">
        <v>11</v>
      </c>
      <c r="DT36" s="68" t="s">
        <v>11</v>
      </c>
      <c r="DU36" s="68" t="s">
        <v>11</v>
      </c>
      <c r="DV36" s="68" t="s">
        <v>702</v>
      </c>
      <c r="DW36" s="159" t="s">
        <v>11</v>
      </c>
      <c r="DX36" s="159" t="s">
        <v>11</v>
      </c>
      <c r="DY36" s="159" t="s">
        <v>11</v>
      </c>
      <c r="DZ36" s="159" t="s">
        <v>11</v>
      </c>
      <c r="EA36" s="159" t="s">
        <v>11</v>
      </c>
      <c r="EB36" s="159" t="s">
        <v>11</v>
      </c>
      <c r="EC36" s="159" t="s">
        <v>11</v>
      </c>
      <c r="ED36" s="159" t="s">
        <v>11</v>
      </c>
      <c r="EE36" s="159" t="s">
        <v>11</v>
      </c>
      <c r="EF36" s="159" t="s">
        <v>11</v>
      </c>
      <c r="EG36" s="159" t="s">
        <v>11</v>
      </c>
      <c r="EH36" s="159" t="s">
        <v>702</v>
      </c>
      <c r="EI36" s="187" t="s">
        <v>11</v>
      </c>
      <c r="EJ36" s="115" t="s">
        <v>11</v>
      </c>
      <c r="EK36" s="187" t="s">
        <v>1034</v>
      </c>
      <c r="EL36" s="115" t="s">
        <v>11</v>
      </c>
      <c r="EM36" s="188" t="s">
        <v>1441</v>
      </c>
      <c r="EN36" s="159" t="s">
        <v>11</v>
      </c>
      <c r="EO36" s="159" t="s">
        <v>11</v>
      </c>
      <c r="EP36" s="159" t="s">
        <v>11</v>
      </c>
      <c r="EQ36" s="159" t="s">
        <v>11</v>
      </c>
      <c r="ER36" s="115" t="s">
        <v>11</v>
      </c>
      <c r="ES36" s="159" t="s">
        <v>11</v>
      </c>
      <c r="ET36" s="159" t="s">
        <v>11</v>
      </c>
      <c r="EU36" s="159" t="s">
        <v>702</v>
      </c>
      <c r="EV36" s="159" t="s">
        <v>702</v>
      </c>
      <c r="EW36" s="159" t="s">
        <v>11</v>
      </c>
      <c r="EX36" s="115" t="s">
        <v>11</v>
      </c>
      <c r="EY36" s="115" t="s">
        <v>11</v>
      </c>
      <c r="EZ36" s="115" t="s">
        <v>11</v>
      </c>
      <c r="FA36" s="68" t="s">
        <v>702</v>
      </c>
      <c r="FB36" s="68" t="s">
        <v>11</v>
      </c>
      <c r="FC36" s="68" t="s">
        <v>702</v>
      </c>
      <c r="FD36" s="68" t="s">
        <v>11</v>
      </c>
      <c r="FE36" s="68" t="s">
        <v>702</v>
      </c>
      <c r="FF36" s="68" t="s">
        <v>11</v>
      </c>
      <c r="FG36" s="68" t="s">
        <v>11</v>
      </c>
      <c r="FH36" s="68" t="s">
        <v>11</v>
      </c>
      <c r="FI36" s="68" t="s">
        <v>11</v>
      </c>
      <c r="FJ36" s="68" t="s">
        <v>11</v>
      </c>
      <c r="FK36" s="68" t="s">
        <v>11</v>
      </c>
      <c r="FL36" s="68" t="s">
        <v>11</v>
      </c>
      <c r="FM36" s="120" t="s">
        <v>11</v>
      </c>
      <c r="FN36" s="187" t="s">
        <v>11</v>
      </c>
      <c r="FO36" s="187" t="s">
        <v>11</v>
      </c>
      <c r="FP36" s="187" t="s">
        <v>702</v>
      </c>
      <c r="FQ36" s="187" t="s">
        <v>698</v>
      </c>
      <c r="FR36" s="115" t="s">
        <v>11</v>
      </c>
      <c r="FS36" s="187" t="s">
        <v>1441</v>
      </c>
      <c r="FT36" s="156" t="s">
        <v>849</v>
      </c>
      <c r="FU36" s="191" t="s">
        <v>849</v>
      </c>
      <c r="FV36" s="159" t="s">
        <v>11</v>
      </c>
      <c r="FW36" s="159" t="s">
        <v>11</v>
      </c>
      <c r="FX36" s="159" t="s">
        <v>11</v>
      </c>
      <c r="FY36" s="115" t="s">
        <v>11</v>
      </c>
      <c r="FZ36" s="159" t="s">
        <v>702</v>
      </c>
      <c r="GA36" s="184" t="s">
        <v>698</v>
      </c>
      <c r="GB36" s="115" t="s">
        <v>11</v>
      </c>
      <c r="GC36" s="115" t="s">
        <v>2908</v>
      </c>
      <c r="GD36" s="209" t="s">
        <v>1034</v>
      </c>
      <c r="GE36" s="159" t="s">
        <v>11</v>
      </c>
      <c r="GF36" s="159" t="s">
        <v>11</v>
      </c>
      <c r="GG36" s="208" t="s">
        <v>697</v>
      </c>
      <c r="GH36" s="159" t="s">
        <v>1441</v>
      </c>
      <c r="GI36" s="159" t="s">
        <v>1441</v>
      </c>
      <c r="GJ36" s="182" t="s">
        <v>704</v>
      </c>
      <c r="GK36" s="159" t="s">
        <v>11</v>
      </c>
      <c r="GL36" s="115" t="s">
        <v>11</v>
      </c>
      <c r="GM36" s="115" t="s">
        <v>11</v>
      </c>
      <c r="GN36" s="159" t="s">
        <v>11</v>
      </c>
      <c r="GO36" s="159" t="s">
        <v>11</v>
      </c>
      <c r="GP36" s="115" t="s">
        <v>11</v>
      </c>
      <c r="GQ36" s="211" t="s">
        <v>702</v>
      </c>
      <c r="GR36" s="115" t="s">
        <v>11</v>
      </c>
      <c r="GS36" s="159" t="s">
        <v>11</v>
      </c>
      <c r="GT36" s="184" t="s">
        <v>702</v>
      </c>
      <c r="GU36" s="159" t="s">
        <v>11</v>
      </c>
      <c r="GV36" s="184" t="s">
        <v>698</v>
      </c>
      <c r="GW36" s="159" t="s">
        <v>700</v>
      </c>
      <c r="GX36" s="159" t="s">
        <v>702</v>
      </c>
      <c r="GY36" s="115" t="s">
        <v>11</v>
      </c>
      <c r="GZ36" s="188" t="s">
        <v>1441</v>
      </c>
      <c r="HA36" s="159" t="s">
        <v>11</v>
      </c>
      <c r="HB36" s="159" t="s">
        <v>849</v>
      </c>
      <c r="HC36" s="159" t="s">
        <v>11</v>
      </c>
      <c r="HD36" s="188" t="s">
        <v>1441</v>
      </c>
      <c r="HE36" s="159" t="s">
        <v>11</v>
      </c>
      <c r="HF36" s="159" t="s">
        <v>11</v>
      </c>
      <c r="HG36" s="187" t="s">
        <v>697</v>
      </c>
      <c r="HH36" s="159" t="s">
        <v>11</v>
      </c>
      <c r="HI36" s="200" t="s">
        <v>702</v>
      </c>
      <c r="HJ36" s="115" t="s">
        <v>11</v>
      </c>
      <c r="HK36" s="115" t="s">
        <v>11</v>
      </c>
      <c r="HL36" s="159" t="s">
        <v>702</v>
      </c>
      <c r="HM36" s="115" t="s">
        <v>702</v>
      </c>
      <c r="HN36" s="159" t="s">
        <v>11</v>
      </c>
      <c r="HO36" s="159" t="s">
        <v>11</v>
      </c>
      <c r="HP36" s="159" t="s">
        <v>853</v>
      </c>
      <c r="HQ36" s="159" t="s">
        <v>11</v>
      </c>
      <c r="HR36" s="159" t="s">
        <v>851</v>
      </c>
      <c r="HS36" s="159" t="s">
        <v>849</v>
      </c>
      <c r="HT36" s="184" t="s">
        <v>697</v>
      </c>
      <c r="HU36" s="159" t="s">
        <v>696</v>
      </c>
      <c r="HV36" s="159" t="s">
        <v>11</v>
      </c>
      <c r="HW36" s="159" t="s">
        <v>702</v>
      </c>
      <c r="HX36" s="159" t="s">
        <v>11</v>
      </c>
      <c r="HY36" s="115" t="s">
        <v>11</v>
      </c>
      <c r="HZ36" s="159" t="s">
        <v>11</v>
      </c>
      <c r="IA36" s="159" t="s">
        <v>11</v>
      </c>
      <c r="IB36" s="184" t="s">
        <v>698</v>
      </c>
      <c r="IC36" s="115" t="s">
        <v>11</v>
      </c>
      <c r="ID36" s="184" t="s">
        <v>698</v>
      </c>
      <c r="IE36" s="159" t="s">
        <v>11</v>
      </c>
      <c r="IF36" s="183" t="s">
        <v>698</v>
      </c>
      <c r="IG36" s="185" t="s">
        <v>11</v>
      </c>
      <c r="IH36" s="185" t="s">
        <v>1034</v>
      </c>
      <c r="II36" s="185" t="s">
        <v>698</v>
      </c>
      <c r="IJ36" s="185" t="s">
        <v>11</v>
      </c>
      <c r="IK36" s="183" t="s">
        <v>699</v>
      </c>
      <c r="IL36" s="183" t="s">
        <v>698</v>
      </c>
      <c r="IM36" s="159" t="s">
        <v>698</v>
      </c>
      <c r="IN36" s="159" t="s">
        <v>699</v>
      </c>
      <c r="IO36" s="159" t="s">
        <v>11</v>
      </c>
      <c r="IP36" s="159" t="s">
        <v>11</v>
      </c>
      <c r="IQ36" s="115" t="s">
        <v>11</v>
      </c>
      <c r="IR36" s="159" t="s">
        <v>699</v>
      </c>
      <c r="IS36" s="159" t="s">
        <v>11</v>
      </c>
      <c r="IT36" s="159" t="s">
        <v>699</v>
      </c>
      <c r="IU36" s="159" t="s">
        <v>699</v>
      </c>
      <c r="IV36" s="159" t="s">
        <v>699</v>
      </c>
      <c r="IW36" s="159" t="s">
        <v>699</v>
      </c>
      <c r="IX36" s="159"/>
      <c r="IY36" s="159" t="s">
        <v>2176</v>
      </c>
      <c r="IZ36" s="159" t="s">
        <v>11</v>
      </c>
      <c r="JA36" s="159" t="s">
        <v>1133</v>
      </c>
      <c r="JB36" s="159" t="s">
        <v>703</v>
      </c>
      <c r="JC36" s="159" t="s">
        <v>702</v>
      </c>
      <c r="JD36" s="159" t="s">
        <v>11</v>
      </c>
      <c r="JE36" s="159" t="s">
        <v>2176</v>
      </c>
      <c r="JF36" s="159" t="s">
        <v>11</v>
      </c>
      <c r="JG36" s="159" t="s">
        <v>11</v>
      </c>
      <c r="JH36" s="159" t="s">
        <v>11</v>
      </c>
      <c r="JI36" s="159" t="s">
        <v>702</v>
      </c>
      <c r="JJ36" s="243" t="s">
        <v>702</v>
      </c>
      <c r="JK36" s="243" t="s">
        <v>702</v>
      </c>
      <c r="JL36" s="243" t="s">
        <v>702</v>
      </c>
      <c r="JM36" s="243" t="s">
        <v>2908</v>
      </c>
      <c r="JN36" s="159" t="s">
        <v>11</v>
      </c>
      <c r="JO36" s="159" t="s">
        <v>11</v>
      </c>
      <c r="JP36" s="159" t="s">
        <v>11</v>
      </c>
      <c r="JQ36" s="159" t="s">
        <v>11</v>
      </c>
      <c r="JR36" s="159" t="s">
        <v>11</v>
      </c>
      <c r="JS36" s="159" t="s">
        <v>702</v>
      </c>
      <c r="JT36" s="159" t="s">
        <v>11</v>
      </c>
      <c r="JU36" s="159" t="s">
        <v>702</v>
      </c>
      <c r="JV36" s="159" t="s">
        <v>702</v>
      </c>
      <c r="JW36" s="159" t="s">
        <v>702</v>
      </c>
      <c r="JX36" s="159" t="s">
        <v>702</v>
      </c>
      <c r="JY36" s="159" t="s">
        <v>702</v>
      </c>
      <c r="JZ36" s="159" t="s">
        <v>702</v>
      </c>
      <c r="KA36" s="159" t="s">
        <v>702</v>
      </c>
      <c r="KB36" s="159" t="s">
        <v>702</v>
      </c>
      <c r="KC36" s="159" t="s">
        <v>702</v>
      </c>
      <c r="KD36" s="159" t="s">
        <v>2176</v>
      </c>
      <c r="KE36" s="159" t="s">
        <v>702</v>
      </c>
      <c r="KF36" s="159" t="s">
        <v>702</v>
      </c>
      <c r="KG36" s="159" t="s">
        <v>11</v>
      </c>
      <c r="KH36" s="159" t="s">
        <v>11</v>
      </c>
      <c r="KI36" s="159" t="s">
        <v>704</v>
      </c>
      <c r="KJ36" s="159" t="s">
        <v>703</v>
      </c>
      <c r="KK36" s="159" t="s">
        <v>698</v>
      </c>
      <c r="KL36" s="159" t="s">
        <v>702</v>
      </c>
      <c r="KM36" s="184" t="s">
        <v>698</v>
      </c>
      <c r="KN36" s="187" t="s">
        <v>11</v>
      </c>
      <c r="KO36" s="159" t="s">
        <v>704</v>
      </c>
      <c r="KP36" s="159" t="s">
        <v>11</v>
      </c>
      <c r="KQ36" s="159" t="s">
        <v>704</v>
      </c>
      <c r="KR36" s="159" t="s">
        <v>11</v>
      </c>
      <c r="KS36" s="159" t="s">
        <v>697</v>
      </c>
      <c r="KT36" s="159" t="s">
        <v>11</v>
      </c>
      <c r="KU36" s="159" t="s">
        <v>11</v>
      </c>
      <c r="KV36" s="159" t="s">
        <v>11</v>
      </c>
      <c r="KW36" s="115" t="s">
        <v>698</v>
      </c>
      <c r="KX36" s="115" t="s">
        <v>698</v>
      </c>
      <c r="KY36" s="243" t="s">
        <v>704</v>
      </c>
      <c r="KZ36" s="243" t="s">
        <v>11</v>
      </c>
      <c r="LA36" s="187" t="s">
        <v>11</v>
      </c>
      <c r="LB36" s="115" t="s">
        <v>11</v>
      </c>
      <c r="LC36" s="115" t="s">
        <v>703</v>
      </c>
      <c r="LD36" s="115" t="s">
        <v>703</v>
      </c>
      <c r="LE36" s="115" t="s">
        <v>703</v>
      </c>
      <c r="LF36" s="184" t="s">
        <v>702</v>
      </c>
      <c r="LG36" s="115" t="s">
        <v>11</v>
      </c>
      <c r="LH36" s="184" t="s">
        <v>704</v>
      </c>
      <c r="LI36" s="115" t="s">
        <v>11</v>
      </c>
      <c r="LJ36" s="115" t="s">
        <v>11</v>
      </c>
      <c r="LK36" s="115" t="s">
        <v>11</v>
      </c>
      <c r="LL36" s="187" t="s">
        <v>11</v>
      </c>
      <c r="LM36" s="120" t="s">
        <v>11</v>
      </c>
      <c r="LN36" s="263" t="s">
        <v>11</v>
      </c>
      <c r="LO36" s="115" t="s">
        <v>1033</v>
      </c>
      <c r="LP36" s="115" t="s">
        <v>1034</v>
      </c>
      <c r="LQ36" s="263" t="s">
        <v>11</v>
      </c>
      <c r="LR36" s="115" t="s">
        <v>11</v>
      </c>
      <c r="LS36" s="115" t="s">
        <v>11</v>
      </c>
      <c r="LT36" s="115" t="s">
        <v>11</v>
      </c>
      <c r="LU36" s="115" t="s">
        <v>11</v>
      </c>
      <c r="LV36" s="286" t="s">
        <v>11</v>
      </c>
      <c r="LW36" s="115" t="s">
        <v>11</v>
      </c>
      <c r="LX36" s="115" t="s">
        <v>11</v>
      </c>
      <c r="LY36" s="115" t="s">
        <v>699</v>
      </c>
      <c r="LZ36" s="115" t="s">
        <v>11</v>
      </c>
      <c r="MA36" s="184" t="s">
        <v>704</v>
      </c>
      <c r="MB36" s="115" t="s">
        <v>1640</v>
      </c>
      <c r="MC36" s="115" t="s">
        <v>699</v>
      </c>
      <c r="MD36" s="115" t="s">
        <v>703</v>
      </c>
    </row>
    <row r="37" spans="1:342" s="68" customFormat="1" ht="14.4" x14ac:dyDescent="0.3">
      <c r="A37" s="92">
        <v>34</v>
      </c>
      <c r="B37" s="311"/>
      <c r="C37" s="64" t="s">
        <v>474</v>
      </c>
      <c r="D37" s="69"/>
      <c r="E37" s="66">
        <v>3</v>
      </c>
      <c r="F37" s="66" t="s">
        <v>11</v>
      </c>
      <c r="G37" s="66" t="s">
        <v>11</v>
      </c>
      <c r="H37" s="66" t="s">
        <v>11</v>
      </c>
      <c r="I37" s="66" t="s">
        <v>11</v>
      </c>
      <c r="J37" s="66">
        <v>3</v>
      </c>
      <c r="K37" s="66" t="s">
        <v>708</v>
      </c>
      <c r="L37" s="66" t="s">
        <v>11</v>
      </c>
      <c r="M37" s="66" t="s">
        <v>11</v>
      </c>
      <c r="N37" s="66" t="s">
        <v>11</v>
      </c>
      <c r="O37" s="66" t="s">
        <v>11</v>
      </c>
      <c r="P37" s="66" t="s">
        <v>11</v>
      </c>
      <c r="Q37" s="66" t="s">
        <v>11</v>
      </c>
      <c r="R37" s="66" t="s">
        <v>11</v>
      </c>
      <c r="S37" s="66" t="s">
        <v>11</v>
      </c>
      <c r="T37" s="66" t="s">
        <v>11</v>
      </c>
      <c r="U37" s="66">
        <v>2</v>
      </c>
      <c r="V37" s="66">
        <v>2</v>
      </c>
      <c r="W37" s="66">
        <v>2</v>
      </c>
      <c r="X37" s="66">
        <v>2</v>
      </c>
      <c r="Y37" s="66" t="s">
        <v>11</v>
      </c>
      <c r="Z37" s="66" t="s">
        <v>11</v>
      </c>
      <c r="AA37" s="66" t="s">
        <v>11</v>
      </c>
      <c r="AB37" s="66" t="s">
        <v>11</v>
      </c>
      <c r="AC37" s="66" t="s">
        <v>11</v>
      </c>
      <c r="AD37" s="66" t="s">
        <v>11</v>
      </c>
      <c r="AE37" s="66" t="s">
        <v>11</v>
      </c>
      <c r="AF37" s="66" t="s">
        <v>11</v>
      </c>
      <c r="AG37" s="66" t="s">
        <v>11</v>
      </c>
      <c r="AH37" s="66" t="s">
        <v>11</v>
      </c>
      <c r="AI37" s="66" t="s">
        <v>11</v>
      </c>
      <c r="AJ37" s="66" t="s">
        <v>11</v>
      </c>
      <c r="AK37" s="66" t="s">
        <v>11</v>
      </c>
      <c r="AL37" s="66" t="s">
        <v>11</v>
      </c>
      <c r="AM37" s="66" t="s">
        <v>11</v>
      </c>
      <c r="AN37" s="66">
        <v>2</v>
      </c>
      <c r="AO37" s="66" t="s">
        <v>11</v>
      </c>
      <c r="AP37" s="66" t="s">
        <v>11</v>
      </c>
      <c r="AQ37" s="66" t="s">
        <v>11</v>
      </c>
      <c r="AR37" s="66" t="s">
        <v>11</v>
      </c>
      <c r="AS37" s="66" t="s">
        <v>11</v>
      </c>
      <c r="AT37" s="66" t="s">
        <v>11</v>
      </c>
      <c r="AU37" s="66" t="s">
        <v>11</v>
      </c>
      <c r="AV37" s="66" t="s">
        <v>11</v>
      </c>
      <c r="AW37" s="66" t="s">
        <v>11</v>
      </c>
      <c r="AX37" s="94">
        <v>3</v>
      </c>
      <c r="AY37" s="66" t="s">
        <v>11</v>
      </c>
      <c r="AZ37" s="66" t="s">
        <v>11</v>
      </c>
      <c r="BA37" s="66" t="s">
        <v>11</v>
      </c>
      <c r="BB37" s="66" t="s">
        <v>11</v>
      </c>
      <c r="BC37" s="66" t="s">
        <v>11</v>
      </c>
      <c r="BD37" s="66" t="s">
        <v>11</v>
      </c>
      <c r="BE37" s="66" t="s">
        <v>11</v>
      </c>
      <c r="BF37" s="66" t="s">
        <v>11</v>
      </c>
      <c r="BG37" s="66" t="s">
        <v>11</v>
      </c>
      <c r="BH37" s="66" t="s">
        <v>11</v>
      </c>
      <c r="BI37" s="66" t="s">
        <v>11</v>
      </c>
      <c r="BJ37" s="66" t="s">
        <v>11</v>
      </c>
      <c r="BK37" s="38" t="s">
        <v>11</v>
      </c>
      <c r="BL37" s="72" t="s">
        <v>708</v>
      </c>
      <c r="BM37" s="68">
        <v>14</v>
      </c>
      <c r="BN37" s="68">
        <v>14</v>
      </c>
      <c r="BO37" s="68">
        <v>14</v>
      </c>
      <c r="BP37" s="68">
        <v>14</v>
      </c>
      <c r="BQ37" s="68">
        <v>14</v>
      </c>
      <c r="BR37" s="117" t="s">
        <v>11</v>
      </c>
      <c r="BS37" s="105" t="s">
        <v>11</v>
      </c>
      <c r="BT37" s="105" t="s">
        <v>11</v>
      </c>
      <c r="BU37" s="115">
        <v>3</v>
      </c>
      <c r="BV37" s="159" t="s">
        <v>11</v>
      </c>
      <c r="BW37" s="159" t="s">
        <v>11</v>
      </c>
      <c r="BX37" s="115">
        <v>8</v>
      </c>
      <c r="BY37" s="115">
        <v>8</v>
      </c>
      <c r="BZ37" s="115">
        <v>6</v>
      </c>
      <c r="CA37" s="68">
        <v>2</v>
      </c>
      <c r="CB37" s="68" t="s">
        <v>11</v>
      </c>
      <c r="CC37" s="68" t="s">
        <v>11</v>
      </c>
      <c r="CD37" s="68" t="s">
        <v>11</v>
      </c>
      <c r="CE37" s="68" t="s">
        <v>11</v>
      </c>
      <c r="CF37" s="68" t="s">
        <v>11</v>
      </c>
      <c r="CG37" s="68" t="s">
        <v>11</v>
      </c>
      <c r="CH37" s="68" t="s">
        <v>11</v>
      </c>
      <c r="CI37" s="68" t="s">
        <v>11</v>
      </c>
      <c r="CJ37" s="68" t="s">
        <v>11</v>
      </c>
      <c r="CK37" s="68">
        <v>84</v>
      </c>
      <c r="CL37" s="68" t="s">
        <v>11</v>
      </c>
      <c r="CM37" s="68" t="s">
        <v>11</v>
      </c>
      <c r="CN37" s="68" t="s">
        <v>11</v>
      </c>
      <c r="CO37" s="68" t="s">
        <v>11</v>
      </c>
      <c r="CP37" s="68">
        <v>3</v>
      </c>
      <c r="CQ37" s="68" t="s">
        <v>11</v>
      </c>
      <c r="CR37" s="68" t="s">
        <v>11</v>
      </c>
      <c r="CS37" s="68" t="s">
        <v>11</v>
      </c>
      <c r="CT37" s="68" t="s">
        <v>11</v>
      </c>
      <c r="CU37" s="68" t="s">
        <v>11</v>
      </c>
      <c r="CV37" s="68" t="s">
        <v>11</v>
      </c>
      <c r="CW37" s="68" t="s">
        <v>11</v>
      </c>
      <c r="CX37" s="68" t="s">
        <v>11</v>
      </c>
      <c r="CY37" s="68" t="s">
        <v>11</v>
      </c>
      <c r="CZ37" s="68" t="s">
        <v>11</v>
      </c>
      <c r="DA37" s="68" t="s">
        <v>11</v>
      </c>
      <c r="DB37" s="68" t="s">
        <v>11</v>
      </c>
      <c r="DC37" s="68" t="s">
        <v>11</v>
      </c>
      <c r="DD37" s="68" t="s">
        <v>11</v>
      </c>
      <c r="DE37" s="68" t="s">
        <v>11</v>
      </c>
      <c r="DF37" s="68" t="s">
        <v>11</v>
      </c>
      <c r="DG37" s="68" t="s">
        <v>11</v>
      </c>
      <c r="DH37" s="68" t="s">
        <v>11</v>
      </c>
      <c r="DI37" s="68" t="s">
        <v>11</v>
      </c>
      <c r="DJ37" s="68" t="s">
        <v>11</v>
      </c>
      <c r="DK37" s="68" t="s">
        <v>11</v>
      </c>
      <c r="DL37" s="68" t="s">
        <v>11</v>
      </c>
      <c r="DM37" s="68" t="s">
        <v>11</v>
      </c>
      <c r="DN37" s="68" t="s">
        <v>11</v>
      </c>
      <c r="DO37" s="68" t="s">
        <v>11</v>
      </c>
      <c r="DP37" s="68">
        <v>6</v>
      </c>
      <c r="DQ37" s="68">
        <v>6</v>
      </c>
      <c r="DR37" s="68" t="s">
        <v>11</v>
      </c>
      <c r="DS37" s="68" t="s">
        <v>11</v>
      </c>
      <c r="DT37" s="68" t="s">
        <v>11</v>
      </c>
      <c r="DU37" s="68" t="s">
        <v>11</v>
      </c>
      <c r="DV37" s="68">
        <v>3</v>
      </c>
      <c r="DW37" s="159" t="s">
        <v>11</v>
      </c>
      <c r="DX37" s="159" t="s">
        <v>11</v>
      </c>
      <c r="DY37" s="159" t="s">
        <v>11</v>
      </c>
      <c r="DZ37" s="159" t="s">
        <v>11</v>
      </c>
      <c r="EA37" s="159" t="s">
        <v>11</v>
      </c>
      <c r="EB37" s="159" t="s">
        <v>11</v>
      </c>
      <c r="EC37" s="159" t="s">
        <v>11</v>
      </c>
      <c r="ED37" s="159" t="s">
        <v>11</v>
      </c>
      <c r="EE37" s="159" t="s">
        <v>11</v>
      </c>
      <c r="EF37" s="159" t="s">
        <v>11</v>
      </c>
      <c r="EG37" s="159" t="s">
        <v>11</v>
      </c>
      <c r="EH37" s="159">
        <v>3</v>
      </c>
      <c r="EI37" s="187" t="s">
        <v>11</v>
      </c>
      <c r="EJ37" s="115" t="s">
        <v>11</v>
      </c>
      <c r="EK37" s="187">
        <v>20</v>
      </c>
      <c r="EL37" s="115" t="s">
        <v>11</v>
      </c>
      <c r="EM37" s="187">
        <v>86</v>
      </c>
      <c r="EN37" s="159" t="s">
        <v>11</v>
      </c>
      <c r="EO37" s="159" t="s">
        <v>11</v>
      </c>
      <c r="EP37" s="159" t="s">
        <v>11</v>
      </c>
      <c r="EQ37" s="159" t="s">
        <v>11</v>
      </c>
      <c r="ER37" s="115" t="s">
        <v>11</v>
      </c>
      <c r="ES37" s="159" t="s">
        <v>11</v>
      </c>
      <c r="ET37" s="159" t="s">
        <v>11</v>
      </c>
      <c r="EU37" s="159">
        <v>9</v>
      </c>
      <c r="EV37" s="159">
        <v>3</v>
      </c>
      <c r="EW37" s="159" t="s">
        <v>11</v>
      </c>
      <c r="EX37" s="115" t="s">
        <v>11</v>
      </c>
      <c r="EY37" s="115" t="s">
        <v>11</v>
      </c>
      <c r="EZ37" s="115" t="s">
        <v>11</v>
      </c>
      <c r="FA37" s="68">
        <v>3</v>
      </c>
      <c r="FB37" s="68" t="s">
        <v>11</v>
      </c>
      <c r="FC37" s="68">
        <v>3</v>
      </c>
      <c r="FD37" s="68" t="s">
        <v>11</v>
      </c>
      <c r="FE37" s="68">
        <v>3</v>
      </c>
      <c r="FF37" s="68" t="s">
        <v>11</v>
      </c>
      <c r="FG37" s="68" t="s">
        <v>11</v>
      </c>
      <c r="FH37" s="68" t="s">
        <v>11</v>
      </c>
      <c r="FI37" s="68" t="s">
        <v>11</v>
      </c>
      <c r="FJ37" s="68" t="s">
        <v>11</v>
      </c>
      <c r="FK37" s="68" t="s">
        <v>11</v>
      </c>
      <c r="FL37" s="68" t="s">
        <v>11</v>
      </c>
      <c r="FM37" s="120" t="s">
        <v>11</v>
      </c>
      <c r="FN37" s="187" t="s">
        <v>11</v>
      </c>
      <c r="FO37" s="187" t="s">
        <v>11</v>
      </c>
      <c r="FP37" s="155">
        <v>3</v>
      </c>
      <c r="FQ37" s="155">
        <v>2</v>
      </c>
      <c r="FR37" s="115" t="s">
        <v>11</v>
      </c>
      <c r="FS37" s="155">
        <v>86</v>
      </c>
      <c r="FT37" s="155">
        <v>4</v>
      </c>
      <c r="FU37" s="69">
        <v>4</v>
      </c>
      <c r="FV37" s="159" t="s">
        <v>11</v>
      </c>
      <c r="FW37" s="159" t="s">
        <v>11</v>
      </c>
      <c r="FX37" s="159" t="s">
        <v>11</v>
      </c>
      <c r="FY37" s="115" t="s">
        <v>11</v>
      </c>
      <c r="FZ37" s="159">
        <v>3</v>
      </c>
      <c r="GA37" s="184">
        <v>2</v>
      </c>
      <c r="GB37" s="115" t="s">
        <v>11</v>
      </c>
      <c r="GC37" s="115">
        <v>92</v>
      </c>
      <c r="GD37" s="209">
        <v>20</v>
      </c>
      <c r="GE37" s="159" t="s">
        <v>11</v>
      </c>
      <c r="GF37" s="159" t="s">
        <v>11</v>
      </c>
      <c r="GG37" s="210">
        <v>6</v>
      </c>
      <c r="GH37" s="159">
        <v>86</v>
      </c>
      <c r="GI37" s="159">
        <v>86</v>
      </c>
      <c r="GJ37" s="159">
        <v>3</v>
      </c>
      <c r="GK37" s="159" t="s">
        <v>11</v>
      </c>
      <c r="GL37" s="115" t="s">
        <v>11</v>
      </c>
      <c r="GM37" s="115" t="s">
        <v>11</v>
      </c>
      <c r="GN37" s="159" t="s">
        <v>11</v>
      </c>
      <c r="GO37" s="159" t="s">
        <v>11</v>
      </c>
      <c r="GP37" s="115" t="s">
        <v>11</v>
      </c>
      <c r="GQ37" s="210">
        <v>14</v>
      </c>
      <c r="GR37" s="115" t="s">
        <v>11</v>
      </c>
      <c r="GS37" s="159" t="s">
        <v>11</v>
      </c>
      <c r="GT37" s="184">
        <v>3</v>
      </c>
      <c r="GU37" s="159" t="s">
        <v>11</v>
      </c>
      <c r="GV37" s="184">
        <v>2</v>
      </c>
      <c r="GW37" s="184">
        <v>6</v>
      </c>
      <c r="GX37" s="159">
        <v>3</v>
      </c>
      <c r="GY37" s="115" t="s">
        <v>11</v>
      </c>
      <c r="GZ37" s="188">
        <v>86</v>
      </c>
      <c r="HA37" s="159" t="s">
        <v>11</v>
      </c>
      <c r="HB37" s="159">
        <v>4</v>
      </c>
      <c r="HC37" s="159" t="s">
        <v>11</v>
      </c>
      <c r="HD37" s="188">
        <v>86</v>
      </c>
      <c r="HE37" s="159" t="s">
        <v>11</v>
      </c>
      <c r="HF37" s="159" t="s">
        <v>11</v>
      </c>
      <c r="HG37" s="187">
        <v>6</v>
      </c>
      <c r="HH37" s="159" t="s">
        <v>11</v>
      </c>
      <c r="HI37" s="200">
        <v>14</v>
      </c>
      <c r="HJ37" s="115" t="s">
        <v>11</v>
      </c>
      <c r="HK37" s="115" t="s">
        <v>11</v>
      </c>
      <c r="HL37" s="159">
        <v>3</v>
      </c>
      <c r="HM37" s="115">
        <v>14</v>
      </c>
      <c r="HN37" s="159" t="s">
        <v>11</v>
      </c>
      <c r="HO37" s="159" t="s">
        <v>11</v>
      </c>
      <c r="HP37" s="159">
        <v>12</v>
      </c>
      <c r="HQ37" s="159" t="s">
        <v>11</v>
      </c>
      <c r="HR37" s="159">
        <v>13</v>
      </c>
      <c r="HS37" s="159">
        <v>4</v>
      </c>
      <c r="HT37" s="184">
        <v>6</v>
      </c>
      <c r="HU37" s="159">
        <v>7</v>
      </c>
      <c r="HV37" s="159" t="s">
        <v>11</v>
      </c>
      <c r="HW37" s="159">
        <v>3</v>
      </c>
      <c r="HX37" s="159" t="s">
        <v>11</v>
      </c>
      <c r="HY37" s="115" t="s">
        <v>11</v>
      </c>
      <c r="HZ37" s="159" t="s">
        <v>11</v>
      </c>
      <c r="IA37" s="159" t="s">
        <v>11</v>
      </c>
      <c r="IB37" s="159">
        <v>2</v>
      </c>
      <c r="IC37" s="115" t="s">
        <v>11</v>
      </c>
      <c r="ID37" s="184">
        <v>2</v>
      </c>
      <c r="IE37" s="159" t="s">
        <v>11</v>
      </c>
      <c r="IF37" s="183">
        <v>85</v>
      </c>
      <c r="IG37" s="185" t="s">
        <v>11</v>
      </c>
      <c r="IH37" s="185">
        <v>20</v>
      </c>
      <c r="II37" s="185">
        <v>2</v>
      </c>
      <c r="IJ37" s="185" t="s">
        <v>11</v>
      </c>
      <c r="IK37" s="183">
        <v>6</v>
      </c>
      <c r="IL37" s="183">
        <v>2</v>
      </c>
      <c r="IM37" s="159">
        <v>2</v>
      </c>
      <c r="IN37" s="184">
        <v>6</v>
      </c>
      <c r="IO37" s="159" t="s">
        <v>11</v>
      </c>
      <c r="IP37" s="159" t="s">
        <v>11</v>
      </c>
      <c r="IQ37" s="115" t="s">
        <v>11</v>
      </c>
      <c r="IR37" s="184">
        <v>6</v>
      </c>
      <c r="IS37" s="159" t="s">
        <v>11</v>
      </c>
      <c r="IT37" s="159">
        <v>6</v>
      </c>
      <c r="IU37" s="159">
        <v>6</v>
      </c>
      <c r="IV37" s="159">
        <v>6</v>
      </c>
      <c r="IW37" s="159">
        <v>6</v>
      </c>
      <c r="IX37" s="159"/>
      <c r="IY37" s="159">
        <v>88</v>
      </c>
      <c r="IZ37" s="159" t="s">
        <v>11</v>
      </c>
      <c r="JA37" s="159">
        <v>11</v>
      </c>
      <c r="JB37" s="159">
        <v>8</v>
      </c>
      <c r="JC37" s="159">
        <v>3</v>
      </c>
      <c r="JD37" s="159" t="s">
        <v>11</v>
      </c>
      <c r="JE37" s="159">
        <v>88</v>
      </c>
      <c r="JF37" s="159" t="s">
        <v>11</v>
      </c>
      <c r="JG37" s="159" t="s">
        <v>11</v>
      </c>
      <c r="JH37" s="159" t="s">
        <v>11</v>
      </c>
      <c r="JI37" s="159">
        <v>3</v>
      </c>
      <c r="JJ37" s="243">
        <v>3</v>
      </c>
      <c r="JK37" s="243">
        <v>3</v>
      </c>
      <c r="JL37" s="243">
        <v>3</v>
      </c>
      <c r="JM37" s="243">
        <v>92</v>
      </c>
      <c r="JN37" s="159" t="s">
        <v>11</v>
      </c>
      <c r="JO37" s="159" t="s">
        <v>11</v>
      </c>
      <c r="JP37" s="159" t="s">
        <v>11</v>
      </c>
      <c r="JQ37" s="159" t="s">
        <v>11</v>
      </c>
      <c r="JR37" s="159" t="s">
        <v>11</v>
      </c>
      <c r="JS37" s="159">
        <v>3</v>
      </c>
      <c r="JT37" s="159" t="s">
        <v>11</v>
      </c>
      <c r="JU37" s="159">
        <v>3</v>
      </c>
      <c r="JV37" s="159">
        <v>3</v>
      </c>
      <c r="JW37" s="159">
        <v>3</v>
      </c>
      <c r="JX37" s="159">
        <v>3</v>
      </c>
      <c r="JY37" s="159">
        <v>3</v>
      </c>
      <c r="JZ37" s="159">
        <v>3</v>
      </c>
      <c r="KA37" s="159">
        <v>3</v>
      </c>
      <c r="KB37" s="159">
        <v>3</v>
      </c>
      <c r="KC37" s="159">
        <v>3</v>
      </c>
      <c r="KD37" s="159">
        <v>88</v>
      </c>
      <c r="KE37" s="159">
        <v>3</v>
      </c>
      <c r="KF37" s="159">
        <v>3</v>
      </c>
      <c r="KG37" s="159" t="s">
        <v>11</v>
      </c>
      <c r="KH37" s="159" t="s">
        <v>11</v>
      </c>
      <c r="KI37" s="159">
        <v>9</v>
      </c>
      <c r="KJ37" s="159">
        <v>8</v>
      </c>
      <c r="KK37" s="159">
        <v>2</v>
      </c>
      <c r="KL37" s="184">
        <v>9</v>
      </c>
      <c r="KM37" s="184">
        <v>2</v>
      </c>
      <c r="KN37" s="187" t="s">
        <v>11</v>
      </c>
      <c r="KO37" s="159">
        <v>3</v>
      </c>
      <c r="KP37" s="159" t="s">
        <v>11</v>
      </c>
      <c r="KQ37" s="159">
        <v>3</v>
      </c>
      <c r="KR37" s="159" t="s">
        <v>11</v>
      </c>
      <c r="KS37" s="184">
        <v>6</v>
      </c>
      <c r="KT37" s="159" t="s">
        <v>11</v>
      </c>
      <c r="KU37" s="159" t="s">
        <v>11</v>
      </c>
      <c r="KV37" s="159" t="s">
        <v>11</v>
      </c>
      <c r="KW37" s="184">
        <v>2</v>
      </c>
      <c r="KX37" s="184">
        <v>2</v>
      </c>
      <c r="KY37" s="243">
        <v>3</v>
      </c>
      <c r="KZ37" s="243" t="s">
        <v>11</v>
      </c>
      <c r="LA37" s="187" t="s">
        <v>11</v>
      </c>
      <c r="LB37" s="115" t="s">
        <v>11</v>
      </c>
      <c r="LC37" s="115">
        <v>8</v>
      </c>
      <c r="LD37" s="115">
        <v>8</v>
      </c>
      <c r="LE37" s="115">
        <v>8</v>
      </c>
      <c r="LF37" s="184">
        <v>3</v>
      </c>
      <c r="LG37" s="115" t="s">
        <v>11</v>
      </c>
      <c r="LH37" s="115">
        <v>14</v>
      </c>
      <c r="LI37" s="115" t="s">
        <v>11</v>
      </c>
      <c r="LJ37" s="115" t="s">
        <v>11</v>
      </c>
      <c r="LK37" s="115" t="s">
        <v>11</v>
      </c>
      <c r="LL37" s="187" t="s">
        <v>11</v>
      </c>
      <c r="LM37" s="120" t="s">
        <v>11</v>
      </c>
      <c r="LN37" s="263" t="s">
        <v>11</v>
      </c>
      <c r="LO37" s="115">
        <v>4</v>
      </c>
      <c r="LP37" s="184">
        <v>20</v>
      </c>
      <c r="LQ37" s="263" t="s">
        <v>11</v>
      </c>
      <c r="LR37" s="115" t="s">
        <v>11</v>
      </c>
      <c r="LS37" s="115" t="s">
        <v>11</v>
      </c>
      <c r="LT37" s="115" t="s">
        <v>11</v>
      </c>
      <c r="LU37" s="115" t="s">
        <v>11</v>
      </c>
      <c r="LV37" s="286" t="s">
        <v>11</v>
      </c>
      <c r="LW37" s="115" t="s">
        <v>11</v>
      </c>
      <c r="LX37" s="115" t="s">
        <v>11</v>
      </c>
      <c r="LY37" s="115">
        <v>6</v>
      </c>
      <c r="LZ37" s="115" t="s">
        <v>11</v>
      </c>
      <c r="MA37" s="115">
        <v>14</v>
      </c>
      <c r="MB37" s="115">
        <v>105</v>
      </c>
      <c r="MC37" s="115">
        <v>6</v>
      </c>
      <c r="MD37" s="115">
        <v>8</v>
      </c>
    </row>
    <row r="38" spans="1:342" s="68" customFormat="1" ht="14.4" x14ac:dyDescent="0.3">
      <c r="A38" s="92">
        <v>35</v>
      </c>
      <c r="B38" s="311"/>
      <c r="C38" s="64" t="s">
        <v>475</v>
      </c>
      <c r="D38" s="69"/>
      <c r="E38" s="66" t="s">
        <v>11</v>
      </c>
      <c r="F38" s="66" t="s">
        <v>11</v>
      </c>
      <c r="G38" s="66" t="s">
        <v>11</v>
      </c>
      <c r="H38" s="66" t="s">
        <v>11</v>
      </c>
      <c r="I38" s="66" t="s">
        <v>11</v>
      </c>
      <c r="J38" s="66" t="s">
        <v>11</v>
      </c>
      <c r="K38" s="66" t="s">
        <v>11</v>
      </c>
      <c r="L38" s="66" t="s">
        <v>11</v>
      </c>
      <c r="M38" s="66" t="s">
        <v>11</v>
      </c>
      <c r="N38" s="66" t="s">
        <v>11</v>
      </c>
      <c r="O38" s="66" t="s">
        <v>11</v>
      </c>
      <c r="P38" s="66" t="s">
        <v>11</v>
      </c>
      <c r="Q38" s="66" t="s">
        <v>11</v>
      </c>
      <c r="R38" s="66" t="s">
        <v>11</v>
      </c>
      <c r="S38" s="66" t="s">
        <v>11</v>
      </c>
      <c r="T38" s="66" t="s">
        <v>11</v>
      </c>
      <c r="U38" s="66" t="s">
        <v>11</v>
      </c>
      <c r="V38" s="66" t="s">
        <v>11</v>
      </c>
      <c r="W38" s="66" t="s">
        <v>11</v>
      </c>
      <c r="X38" s="66" t="s">
        <v>11</v>
      </c>
      <c r="Y38" s="66" t="s">
        <v>11</v>
      </c>
      <c r="Z38" s="66" t="s">
        <v>11</v>
      </c>
      <c r="AA38" s="66" t="s">
        <v>11</v>
      </c>
      <c r="AB38" s="66" t="s">
        <v>11</v>
      </c>
      <c r="AC38" s="66" t="s">
        <v>11</v>
      </c>
      <c r="AD38" s="66" t="s">
        <v>11</v>
      </c>
      <c r="AE38" s="66" t="s">
        <v>11</v>
      </c>
      <c r="AF38" s="66" t="s">
        <v>11</v>
      </c>
      <c r="AG38" s="66" t="s">
        <v>11</v>
      </c>
      <c r="AH38" s="66" t="s">
        <v>11</v>
      </c>
      <c r="AI38" s="66" t="s">
        <v>11</v>
      </c>
      <c r="AJ38" s="66" t="s">
        <v>11</v>
      </c>
      <c r="AK38" s="66" t="s">
        <v>11</v>
      </c>
      <c r="AL38" s="66" t="s">
        <v>11</v>
      </c>
      <c r="AM38" s="66" t="s">
        <v>11</v>
      </c>
      <c r="AN38" s="66" t="s">
        <v>11</v>
      </c>
      <c r="AO38" s="66" t="s">
        <v>11</v>
      </c>
      <c r="AP38" s="66" t="s">
        <v>11</v>
      </c>
      <c r="AQ38" s="66" t="s">
        <v>11</v>
      </c>
      <c r="AR38" s="66" t="s">
        <v>11</v>
      </c>
      <c r="AS38" s="66" t="s">
        <v>11</v>
      </c>
      <c r="AT38" s="66" t="s">
        <v>11</v>
      </c>
      <c r="AU38" s="66" t="s">
        <v>11</v>
      </c>
      <c r="AV38" s="66" t="s">
        <v>11</v>
      </c>
      <c r="AW38" s="66" t="s">
        <v>11</v>
      </c>
      <c r="AX38" s="66" t="s">
        <v>11</v>
      </c>
      <c r="AY38" s="66" t="s">
        <v>11</v>
      </c>
      <c r="AZ38" s="66" t="s">
        <v>11</v>
      </c>
      <c r="BA38" s="66" t="s">
        <v>11</v>
      </c>
      <c r="BB38" s="66" t="s">
        <v>11</v>
      </c>
      <c r="BC38" s="66" t="s">
        <v>11</v>
      </c>
      <c r="BD38" s="66" t="s">
        <v>11</v>
      </c>
      <c r="BE38" s="66" t="s">
        <v>11</v>
      </c>
      <c r="BF38" s="66" t="s">
        <v>11</v>
      </c>
      <c r="BG38" s="66" t="s">
        <v>11</v>
      </c>
      <c r="BH38" s="66" t="s">
        <v>11</v>
      </c>
      <c r="BI38" s="66" t="s">
        <v>11</v>
      </c>
      <c r="BJ38" s="66" t="s">
        <v>11</v>
      </c>
      <c r="BK38" s="38" t="s">
        <v>11</v>
      </c>
      <c r="BL38" s="38" t="s">
        <v>11</v>
      </c>
      <c r="BM38" s="72" t="s">
        <v>1034</v>
      </c>
      <c r="BN38" s="72" t="s">
        <v>1034</v>
      </c>
      <c r="BO38" s="72" t="s">
        <v>1034</v>
      </c>
      <c r="BP38" s="72" t="s">
        <v>1034</v>
      </c>
      <c r="BQ38" s="72" t="s">
        <v>1034</v>
      </c>
      <c r="BR38" s="117" t="s">
        <v>11</v>
      </c>
      <c r="BS38" s="105" t="s">
        <v>11</v>
      </c>
      <c r="BT38" s="105" t="s">
        <v>11</v>
      </c>
      <c r="BU38" s="115" t="s">
        <v>11</v>
      </c>
      <c r="BV38" s="159" t="s">
        <v>11</v>
      </c>
      <c r="BW38" s="159" t="s">
        <v>11</v>
      </c>
      <c r="BX38" s="115" t="s">
        <v>1441</v>
      </c>
      <c r="BY38" s="115" t="s">
        <v>1441</v>
      </c>
      <c r="BZ38" s="115" t="s">
        <v>703</v>
      </c>
      <c r="CA38" s="68" t="s">
        <v>11</v>
      </c>
      <c r="CB38" s="68" t="s">
        <v>11</v>
      </c>
      <c r="CC38" s="68" t="s">
        <v>11</v>
      </c>
      <c r="CD38" s="68" t="s">
        <v>11</v>
      </c>
      <c r="CE38" s="68" t="s">
        <v>11</v>
      </c>
      <c r="CF38" s="68" t="s">
        <v>11</v>
      </c>
      <c r="CG38" s="68" t="s">
        <v>11</v>
      </c>
      <c r="CH38" s="68" t="s">
        <v>11</v>
      </c>
      <c r="CI38" s="68" t="s">
        <v>11</v>
      </c>
      <c r="CJ38" s="68" t="s">
        <v>11</v>
      </c>
      <c r="CK38" s="68" t="s">
        <v>11</v>
      </c>
      <c r="CL38" s="68" t="s">
        <v>11</v>
      </c>
      <c r="CM38" s="68" t="s">
        <v>11</v>
      </c>
      <c r="CN38" s="68" t="s">
        <v>11</v>
      </c>
      <c r="CO38" s="68" t="s">
        <v>11</v>
      </c>
      <c r="CP38" s="68" t="s">
        <v>11</v>
      </c>
      <c r="CQ38" s="68" t="s">
        <v>11</v>
      </c>
      <c r="CR38" s="68" t="s">
        <v>11</v>
      </c>
      <c r="CS38" s="68" t="s">
        <v>11</v>
      </c>
      <c r="CT38" s="68" t="s">
        <v>11</v>
      </c>
      <c r="CU38" s="68" t="s">
        <v>11</v>
      </c>
      <c r="CV38" s="68" t="s">
        <v>11</v>
      </c>
      <c r="CW38" s="68" t="s">
        <v>11</v>
      </c>
      <c r="CX38" s="68" t="s">
        <v>11</v>
      </c>
      <c r="CY38" s="68" t="s">
        <v>11</v>
      </c>
      <c r="CZ38" s="68" t="s">
        <v>11</v>
      </c>
      <c r="DA38" s="68" t="s">
        <v>11</v>
      </c>
      <c r="DB38" s="68" t="s">
        <v>11</v>
      </c>
      <c r="DC38" s="68" t="s">
        <v>11</v>
      </c>
      <c r="DD38" s="68" t="s">
        <v>11</v>
      </c>
      <c r="DE38" s="68" t="s">
        <v>11</v>
      </c>
      <c r="DF38" s="68" t="s">
        <v>11</v>
      </c>
      <c r="DG38" s="68" t="s">
        <v>11</v>
      </c>
      <c r="DH38" s="68" t="s">
        <v>11</v>
      </c>
      <c r="DI38" s="68" t="s">
        <v>11</v>
      </c>
      <c r="DJ38" s="68" t="s">
        <v>11</v>
      </c>
      <c r="DK38" s="68" t="s">
        <v>11</v>
      </c>
      <c r="DL38" s="68" t="s">
        <v>11</v>
      </c>
      <c r="DM38" s="68" t="s">
        <v>11</v>
      </c>
      <c r="DN38" s="68" t="s">
        <v>11</v>
      </c>
      <c r="DO38" s="68" t="s">
        <v>11</v>
      </c>
      <c r="DP38" s="68" t="s">
        <v>702</v>
      </c>
      <c r="DQ38" s="68" t="s">
        <v>702</v>
      </c>
      <c r="DR38" s="68" t="s">
        <v>11</v>
      </c>
      <c r="DS38" s="68" t="s">
        <v>11</v>
      </c>
      <c r="DT38" s="68" t="s">
        <v>11</v>
      </c>
      <c r="DU38" s="68" t="s">
        <v>11</v>
      </c>
      <c r="DV38" s="68" t="s">
        <v>11</v>
      </c>
      <c r="DW38" s="159" t="s">
        <v>11</v>
      </c>
      <c r="DX38" s="159" t="s">
        <v>11</v>
      </c>
      <c r="DY38" s="159" t="s">
        <v>11</v>
      </c>
      <c r="DZ38" s="159" t="s">
        <v>11</v>
      </c>
      <c r="EA38" s="159" t="s">
        <v>11</v>
      </c>
      <c r="EB38" s="159" t="s">
        <v>11</v>
      </c>
      <c r="EC38" s="159" t="s">
        <v>11</v>
      </c>
      <c r="ED38" s="159" t="s">
        <v>11</v>
      </c>
      <c r="EE38" s="159" t="s">
        <v>11</v>
      </c>
      <c r="EF38" s="159" t="s">
        <v>11</v>
      </c>
      <c r="EG38" s="159" t="s">
        <v>11</v>
      </c>
      <c r="EH38" s="159" t="s">
        <v>11</v>
      </c>
      <c r="EI38" s="187" t="s">
        <v>11</v>
      </c>
      <c r="EJ38" s="115" t="s">
        <v>11</v>
      </c>
      <c r="EK38" s="187" t="s">
        <v>11</v>
      </c>
      <c r="EL38" s="115" t="s">
        <v>11</v>
      </c>
      <c r="EM38" s="187" t="s">
        <v>1034</v>
      </c>
      <c r="EN38" s="159" t="s">
        <v>11</v>
      </c>
      <c r="EO38" s="159" t="s">
        <v>11</v>
      </c>
      <c r="EP38" s="159" t="s">
        <v>11</v>
      </c>
      <c r="EQ38" s="159" t="s">
        <v>11</v>
      </c>
      <c r="ER38" s="115" t="s">
        <v>11</v>
      </c>
      <c r="ES38" s="159" t="s">
        <v>11</v>
      </c>
      <c r="ET38" s="159" t="s">
        <v>11</v>
      </c>
      <c r="EU38" s="159" t="s">
        <v>11</v>
      </c>
      <c r="EV38" s="159" t="s">
        <v>11</v>
      </c>
      <c r="EW38" s="159" t="s">
        <v>11</v>
      </c>
      <c r="EX38" s="115" t="s">
        <v>11</v>
      </c>
      <c r="EY38" s="115" t="s">
        <v>11</v>
      </c>
      <c r="EZ38" s="115" t="s">
        <v>11</v>
      </c>
      <c r="FA38" s="68" t="s">
        <v>851</v>
      </c>
      <c r="FB38" s="68" t="s">
        <v>11</v>
      </c>
      <c r="FC38" s="68" t="s">
        <v>851</v>
      </c>
      <c r="FD38" s="68" t="s">
        <v>11</v>
      </c>
      <c r="FE38" s="68" t="s">
        <v>698</v>
      </c>
      <c r="FF38" s="68" t="s">
        <v>11</v>
      </c>
      <c r="FG38" s="68" t="s">
        <v>11</v>
      </c>
      <c r="FH38" s="68" t="s">
        <v>11</v>
      </c>
      <c r="FI38" s="68" t="s">
        <v>11</v>
      </c>
      <c r="FJ38" s="68" t="s">
        <v>11</v>
      </c>
      <c r="FK38" s="68" t="s">
        <v>11</v>
      </c>
      <c r="FL38" s="68" t="s">
        <v>11</v>
      </c>
      <c r="FM38" s="120" t="s">
        <v>11</v>
      </c>
      <c r="FN38" s="187" t="s">
        <v>11</v>
      </c>
      <c r="FO38" s="187" t="s">
        <v>11</v>
      </c>
      <c r="FP38" s="187" t="s">
        <v>698</v>
      </c>
      <c r="FQ38" s="187" t="s">
        <v>11</v>
      </c>
      <c r="FR38" s="115" t="s">
        <v>11</v>
      </c>
      <c r="FS38" s="187" t="s">
        <v>1034</v>
      </c>
      <c r="FT38" s="187" t="s">
        <v>11</v>
      </c>
      <c r="FU38" s="188" t="s">
        <v>1441</v>
      </c>
      <c r="FV38" s="159" t="s">
        <v>11</v>
      </c>
      <c r="FW38" s="159" t="s">
        <v>11</v>
      </c>
      <c r="FX38" s="159" t="s">
        <v>11</v>
      </c>
      <c r="FY38" s="115" t="s">
        <v>11</v>
      </c>
      <c r="FZ38" s="159" t="s">
        <v>11</v>
      </c>
      <c r="GA38" s="159" t="s">
        <v>702</v>
      </c>
      <c r="GB38" s="115" t="s">
        <v>11</v>
      </c>
      <c r="GC38" s="115" t="s">
        <v>11</v>
      </c>
      <c r="GD38" s="208" t="s">
        <v>704</v>
      </c>
      <c r="GE38" s="159" t="s">
        <v>11</v>
      </c>
      <c r="GF38" s="159" t="s">
        <v>11</v>
      </c>
      <c r="GG38" s="208" t="s">
        <v>11</v>
      </c>
      <c r="GH38" s="159" t="s">
        <v>11</v>
      </c>
      <c r="GI38" s="159" t="s">
        <v>11</v>
      </c>
      <c r="GJ38" s="159" t="s">
        <v>11</v>
      </c>
      <c r="GK38" s="159" t="s">
        <v>11</v>
      </c>
      <c r="GL38" s="115" t="s">
        <v>11</v>
      </c>
      <c r="GM38" s="115" t="s">
        <v>11</v>
      </c>
      <c r="GN38" s="159" t="s">
        <v>11</v>
      </c>
      <c r="GO38" s="159" t="s">
        <v>11</v>
      </c>
      <c r="GP38" s="115" t="s">
        <v>11</v>
      </c>
      <c r="GQ38" s="211" t="s">
        <v>698</v>
      </c>
      <c r="GR38" s="115" t="s">
        <v>11</v>
      </c>
      <c r="GS38" s="159" t="s">
        <v>11</v>
      </c>
      <c r="GT38" s="159" t="s">
        <v>11</v>
      </c>
      <c r="GU38" s="159" t="s">
        <v>11</v>
      </c>
      <c r="GV38" s="159" t="s">
        <v>702</v>
      </c>
      <c r="GW38" s="184" t="s">
        <v>805</v>
      </c>
      <c r="GX38" s="159" t="s">
        <v>11</v>
      </c>
      <c r="GY38" s="115" t="s">
        <v>11</v>
      </c>
      <c r="GZ38" s="191" t="s">
        <v>1034</v>
      </c>
      <c r="HA38" s="159" t="s">
        <v>11</v>
      </c>
      <c r="HB38" s="159" t="s">
        <v>1441</v>
      </c>
      <c r="HC38" s="159" t="s">
        <v>11</v>
      </c>
      <c r="HD38" s="156" t="s">
        <v>1034</v>
      </c>
      <c r="HE38" s="159" t="s">
        <v>11</v>
      </c>
      <c r="HF38" s="159" t="s">
        <v>11</v>
      </c>
      <c r="HG38" s="187" t="s">
        <v>11</v>
      </c>
      <c r="HH38" s="159" t="s">
        <v>11</v>
      </c>
      <c r="HI38" s="200" t="s">
        <v>698</v>
      </c>
      <c r="HJ38" s="115" t="s">
        <v>11</v>
      </c>
      <c r="HK38" s="115" t="s">
        <v>11</v>
      </c>
      <c r="HL38" s="159" t="s">
        <v>11</v>
      </c>
      <c r="HM38" s="184" t="s">
        <v>804</v>
      </c>
      <c r="HN38" s="159" t="s">
        <v>11</v>
      </c>
      <c r="HO38" s="159" t="s">
        <v>11</v>
      </c>
      <c r="HP38" s="159" t="s">
        <v>11</v>
      </c>
      <c r="HQ38" s="159" t="s">
        <v>11</v>
      </c>
      <c r="HR38" s="159" t="s">
        <v>11</v>
      </c>
      <c r="HS38" s="159" t="s">
        <v>11</v>
      </c>
      <c r="HT38" s="233" t="s">
        <v>849</v>
      </c>
      <c r="HU38" s="159" t="s">
        <v>11</v>
      </c>
      <c r="HV38" s="159" t="s">
        <v>11</v>
      </c>
      <c r="HW38" s="159" t="s">
        <v>11</v>
      </c>
      <c r="HX38" s="159" t="s">
        <v>11</v>
      </c>
      <c r="HY38" s="115" t="s">
        <v>11</v>
      </c>
      <c r="HZ38" s="159" t="s">
        <v>11</v>
      </c>
      <c r="IA38" s="159" t="s">
        <v>11</v>
      </c>
      <c r="IB38" s="184" t="s">
        <v>702</v>
      </c>
      <c r="IC38" s="115" t="s">
        <v>11</v>
      </c>
      <c r="ID38" s="159" t="s">
        <v>1133</v>
      </c>
      <c r="IE38" s="159" t="s">
        <v>11</v>
      </c>
      <c r="IF38" s="183" t="s">
        <v>704</v>
      </c>
      <c r="IG38" s="185" t="s">
        <v>11</v>
      </c>
      <c r="IH38" s="185" t="s">
        <v>11</v>
      </c>
      <c r="II38" s="185" t="s">
        <v>704</v>
      </c>
      <c r="IJ38" s="185" t="s">
        <v>11</v>
      </c>
      <c r="IK38" s="183" t="s">
        <v>700</v>
      </c>
      <c r="IL38" s="183" t="s">
        <v>704</v>
      </c>
      <c r="IM38" s="159" t="s">
        <v>11</v>
      </c>
      <c r="IN38" s="159" t="s">
        <v>700</v>
      </c>
      <c r="IO38" s="159" t="s">
        <v>11</v>
      </c>
      <c r="IP38" s="159" t="s">
        <v>11</v>
      </c>
      <c r="IQ38" s="115" t="s">
        <v>11</v>
      </c>
      <c r="IR38" s="159" t="s">
        <v>700</v>
      </c>
      <c r="IS38" s="159" t="s">
        <v>11</v>
      </c>
      <c r="IT38" s="159" t="s">
        <v>700</v>
      </c>
      <c r="IU38" s="159" t="s">
        <v>700</v>
      </c>
      <c r="IV38" s="159" t="s">
        <v>700</v>
      </c>
      <c r="IW38" s="159" t="s">
        <v>700</v>
      </c>
      <c r="IX38" s="159"/>
      <c r="IY38" s="159" t="s">
        <v>11</v>
      </c>
      <c r="IZ38" s="159" t="s">
        <v>11</v>
      </c>
      <c r="JA38" s="159" t="s">
        <v>702</v>
      </c>
      <c r="JB38" s="159" t="s">
        <v>2176</v>
      </c>
      <c r="JC38" s="159" t="s">
        <v>11</v>
      </c>
      <c r="JD38" s="159" t="s">
        <v>11</v>
      </c>
      <c r="JE38" s="159" t="s">
        <v>11</v>
      </c>
      <c r="JF38" s="159" t="s">
        <v>11</v>
      </c>
      <c r="JG38" s="159" t="s">
        <v>11</v>
      </c>
      <c r="JH38" s="159" t="s">
        <v>11</v>
      </c>
      <c r="JI38" s="159" t="s">
        <v>11</v>
      </c>
      <c r="JJ38" s="243" t="s">
        <v>2908</v>
      </c>
      <c r="JK38" s="243" t="s">
        <v>2908</v>
      </c>
      <c r="JL38" s="243" t="s">
        <v>11</v>
      </c>
      <c r="JM38" s="243" t="s">
        <v>11</v>
      </c>
      <c r="JN38" s="159" t="s">
        <v>11</v>
      </c>
      <c r="JO38" s="159" t="s">
        <v>11</v>
      </c>
      <c r="JP38" s="159" t="s">
        <v>11</v>
      </c>
      <c r="JQ38" s="159" t="s">
        <v>11</v>
      </c>
      <c r="JR38" s="159" t="s">
        <v>11</v>
      </c>
      <c r="JS38" s="159" t="s">
        <v>11</v>
      </c>
      <c r="JT38" s="159" t="s">
        <v>11</v>
      </c>
      <c r="JU38" s="159" t="s">
        <v>11</v>
      </c>
      <c r="JV38" s="159" t="s">
        <v>11</v>
      </c>
      <c r="JW38" s="159" t="s">
        <v>2176</v>
      </c>
      <c r="JX38" s="159" t="s">
        <v>2176</v>
      </c>
      <c r="JY38" s="159" t="s">
        <v>2176</v>
      </c>
      <c r="JZ38" s="159" t="s">
        <v>2176</v>
      </c>
      <c r="KA38" s="159" t="s">
        <v>2176</v>
      </c>
      <c r="KB38" s="159" t="s">
        <v>2176</v>
      </c>
      <c r="KC38" s="159" t="s">
        <v>2176</v>
      </c>
      <c r="KD38" s="159" t="s">
        <v>11</v>
      </c>
      <c r="KE38" s="159" t="s">
        <v>1034</v>
      </c>
      <c r="KF38" s="159" t="s">
        <v>2176</v>
      </c>
      <c r="KG38" s="159" t="s">
        <v>11</v>
      </c>
      <c r="KH38" s="159" t="s">
        <v>11</v>
      </c>
      <c r="KI38" s="159" t="s">
        <v>11</v>
      </c>
      <c r="KJ38" s="159" t="s">
        <v>11</v>
      </c>
      <c r="KK38" s="159" t="s">
        <v>703</v>
      </c>
      <c r="KL38" s="159" t="s">
        <v>1034</v>
      </c>
      <c r="KM38" s="159" t="s">
        <v>11</v>
      </c>
      <c r="KN38" s="187" t="s">
        <v>11</v>
      </c>
      <c r="KO38" s="159" t="s">
        <v>698</v>
      </c>
      <c r="KP38" s="159" t="s">
        <v>11</v>
      </c>
      <c r="KQ38" s="159" t="s">
        <v>11</v>
      </c>
      <c r="KR38" s="159" t="s">
        <v>11</v>
      </c>
      <c r="KS38" s="184" t="s">
        <v>698</v>
      </c>
      <c r="KT38" s="159" t="s">
        <v>11</v>
      </c>
      <c r="KU38" s="159" t="s">
        <v>11</v>
      </c>
      <c r="KV38" s="159" t="s">
        <v>11</v>
      </c>
      <c r="KW38" s="115" t="s">
        <v>3554</v>
      </c>
      <c r="KX38" s="115" t="s">
        <v>3554</v>
      </c>
      <c r="KY38" s="243" t="s">
        <v>2908</v>
      </c>
      <c r="KZ38" s="243" t="s">
        <v>11</v>
      </c>
      <c r="LA38" s="187" t="s">
        <v>11</v>
      </c>
      <c r="LB38" s="115" t="s">
        <v>11</v>
      </c>
      <c r="LC38" s="115" t="s">
        <v>1441</v>
      </c>
      <c r="LD38" s="115" t="s">
        <v>1441</v>
      </c>
      <c r="LE38" s="115" t="s">
        <v>1441</v>
      </c>
      <c r="LF38" s="115" t="s">
        <v>703</v>
      </c>
      <c r="LG38" s="115" t="s">
        <v>11</v>
      </c>
      <c r="LH38" s="115" t="s">
        <v>11</v>
      </c>
      <c r="LI38" s="115" t="s">
        <v>11</v>
      </c>
      <c r="LJ38" s="115" t="s">
        <v>11</v>
      </c>
      <c r="LK38" s="115" t="s">
        <v>11</v>
      </c>
      <c r="LL38" s="187" t="s">
        <v>11</v>
      </c>
      <c r="LM38" s="120" t="s">
        <v>11</v>
      </c>
      <c r="LN38" s="263" t="s">
        <v>11</v>
      </c>
      <c r="LO38" s="115" t="s">
        <v>11</v>
      </c>
      <c r="LP38" s="115" t="s">
        <v>11</v>
      </c>
      <c r="LQ38" s="263" t="s">
        <v>11</v>
      </c>
      <c r="LR38" s="115" t="s">
        <v>11</v>
      </c>
      <c r="LS38" s="115" t="s">
        <v>11</v>
      </c>
      <c r="LT38" s="115" t="s">
        <v>11</v>
      </c>
      <c r="LU38" s="115" t="s">
        <v>11</v>
      </c>
      <c r="LV38" s="286" t="s">
        <v>11</v>
      </c>
      <c r="LW38" s="115" t="s">
        <v>11</v>
      </c>
      <c r="LX38" s="115" t="s">
        <v>11</v>
      </c>
      <c r="LY38" s="115" t="s">
        <v>700</v>
      </c>
      <c r="LZ38" s="115" t="s">
        <v>11</v>
      </c>
      <c r="MA38" s="115" t="s">
        <v>11</v>
      </c>
      <c r="MB38" s="115" t="s">
        <v>1033</v>
      </c>
      <c r="MC38" s="115" t="s">
        <v>700</v>
      </c>
      <c r="MD38" s="115" t="s">
        <v>11</v>
      </c>
    </row>
    <row r="39" spans="1:342" s="68" customFormat="1" ht="14.4" x14ac:dyDescent="0.3">
      <c r="A39" s="92">
        <v>36</v>
      </c>
      <c r="B39" s="311"/>
      <c r="C39" s="64" t="s">
        <v>476</v>
      </c>
      <c r="D39" s="69"/>
      <c r="E39" s="66" t="s">
        <v>11</v>
      </c>
      <c r="F39" s="66" t="s">
        <v>11</v>
      </c>
      <c r="G39" s="66" t="s">
        <v>11</v>
      </c>
      <c r="H39" s="66" t="s">
        <v>11</v>
      </c>
      <c r="I39" s="66" t="s">
        <v>11</v>
      </c>
      <c r="J39" s="66" t="s">
        <v>11</v>
      </c>
      <c r="K39" s="66" t="s">
        <v>11</v>
      </c>
      <c r="L39" s="66" t="s">
        <v>11</v>
      </c>
      <c r="M39" s="66" t="s">
        <v>11</v>
      </c>
      <c r="N39" s="66" t="s">
        <v>11</v>
      </c>
      <c r="O39" s="66" t="s">
        <v>11</v>
      </c>
      <c r="P39" s="66" t="s">
        <v>11</v>
      </c>
      <c r="Q39" s="66" t="s">
        <v>11</v>
      </c>
      <c r="R39" s="66" t="s">
        <v>11</v>
      </c>
      <c r="S39" s="66" t="s">
        <v>11</v>
      </c>
      <c r="T39" s="66" t="s">
        <v>11</v>
      </c>
      <c r="U39" s="66" t="s">
        <v>11</v>
      </c>
      <c r="V39" s="66" t="s">
        <v>11</v>
      </c>
      <c r="W39" s="66" t="s">
        <v>11</v>
      </c>
      <c r="X39" s="66" t="s">
        <v>11</v>
      </c>
      <c r="Y39" s="66" t="s">
        <v>11</v>
      </c>
      <c r="Z39" s="66" t="s">
        <v>11</v>
      </c>
      <c r="AA39" s="66" t="s">
        <v>11</v>
      </c>
      <c r="AB39" s="66" t="s">
        <v>11</v>
      </c>
      <c r="AC39" s="66" t="s">
        <v>11</v>
      </c>
      <c r="AD39" s="66" t="s">
        <v>11</v>
      </c>
      <c r="AE39" s="66" t="s">
        <v>11</v>
      </c>
      <c r="AF39" s="66" t="s">
        <v>11</v>
      </c>
      <c r="AG39" s="66" t="s">
        <v>11</v>
      </c>
      <c r="AH39" s="66" t="s">
        <v>11</v>
      </c>
      <c r="AI39" s="66" t="s">
        <v>11</v>
      </c>
      <c r="AJ39" s="66" t="s">
        <v>11</v>
      </c>
      <c r="AK39" s="66" t="s">
        <v>11</v>
      </c>
      <c r="AL39" s="66" t="s">
        <v>11</v>
      </c>
      <c r="AM39" s="66" t="s">
        <v>11</v>
      </c>
      <c r="AN39" s="66" t="s">
        <v>11</v>
      </c>
      <c r="AO39" s="66" t="s">
        <v>11</v>
      </c>
      <c r="AP39" s="66" t="s">
        <v>11</v>
      </c>
      <c r="AQ39" s="66" t="s">
        <v>11</v>
      </c>
      <c r="AR39" s="66" t="s">
        <v>11</v>
      </c>
      <c r="AS39" s="66" t="s">
        <v>11</v>
      </c>
      <c r="AT39" s="66" t="s">
        <v>11</v>
      </c>
      <c r="AU39" s="66" t="s">
        <v>11</v>
      </c>
      <c r="AV39" s="66" t="s">
        <v>11</v>
      </c>
      <c r="AW39" s="66" t="s">
        <v>11</v>
      </c>
      <c r="AX39" s="66" t="s">
        <v>11</v>
      </c>
      <c r="AY39" s="66" t="s">
        <v>11</v>
      </c>
      <c r="AZ39" s="66" t="s">
        <v>11</v>
      </c>
      <c r="BA39" s="66" t="s">
        <v>11</v>
      </c>
      <c r="BB39" s="66" t="s">
        <v>11</v>
      </c>
      <c r="BC39" s="66" t="s">
        <v>11</v>
      </c>
      <c r="BD39" s="66" t="s">
        <v>11</v>
      </c>
      <c r="BE39" s="66" t="s">
        <v>11</v>
      </c>
      <c r="BF39" s="66" t="s">
        <v>11</v>
      </c>
      <c r="BG39" s="66" t="s">
        <v>11</v>
      </c>
      <c r="BH39" s="66" t="s">
        <v>11</v>
      </c>
      <c r="BI39" s="66" t="s">
        <v>11</v>
      </c>
      <c r="BJ39" s="66" t="s">
        <v>11</v>
      </c>
      <c r="BK39" s="38" t="s">
        <v>11</v>
      </c>
      <c r="BL39" s="38" t="s">
        <v>11</v>
      </c>
      <c r="BM39" s="68">
        <v>20</v>
      </c>
      <c r="BN39" s="68">
        <v>20</v>
      </c>
      <c r="BO39" s="68">
        <v>20</v>
      </c>
      <c r="BP39" s="68">
        <v>20</v>
      </c>
      <c r="BQ39" s="68">
        <v>20</v>
      </c>
      <c r="BR39" s="117" t="s">
        <v>11</v>
      </c>
      <c r="BS39" s="105" t="s">
        <v>11</v>
      </c>
      <c r="BT39" s="105" t="s">
        <v>11</v>
      </c>
      <c r="BU39" s="115" t="s">
        <v>11</v>
      </c>
      <c r="BV39" s="159" t="s">
        <v>11</v>
      </c>
      <c r="BW39" s="159" t="s">
        <v>11</v>
      </c>
      <c r="BX39" s="115">
        <v>78</v>
      </c>
      <c r="BY39" s="115">
        <v>78</v>
      </c>
      <c r="BZ39" s="115">
        <v>8</v>
      </c>
      <c r="CA39" s="68" t="s">
        <v>11</v>
      </c>
      <c r="CB39" s="68" t="s">
        <v>11</v>
      </c>
      <c r="CC39" s="68" t="s">
        <v>11</v>
      </c>
      <c r="CD39" s="68" t="s">
        <v>11</v>
      </c>
      <c r="CE39" s="68" t="s">
        <v>11</v>
      </c>
      <c r="CF39" s="68" t="s">
        <v>11</v>
      </c>
      <c r="CG39" s="68" t="s">
        <v>11</v>
      </c>
      <c r="CH39" s="68" t="s">
        <v>11</v>
      </c>
      <c r="CI39" s="68" t="s">
        <v>11</v>
      </c>
      <c r="CJ39" s="68" t="s">
        <v>11</v>
      </c>
      <c r="CK39" s="68" t="s">
        <v>11</v>
      </c>
      <c r="CL39" s="68" t="s">
        <v>11</v>
      </c>
      <c r="CM39" s="68" t="s">
        <v>11</v>
      </c>
      <c r="CN39" s="68" t="s">
        <v>11</v>
      </c>
      <c r="CO39" s="68" t="s">
        <v>11</v>
      </c>
      <c r="CP39" s="68" t="s">
        <v>11</v>
      </c>
      <c r="CQ39" s="68" t="s">
        <v>11</v>
      </c>
      <c r="CR39" s="68" t="s">
        <v>11</v>
      </c>
      <c r="CS39" s="68" t="s">
        <v>11</v>
      </c>
      <c r="CT39" s="68" t="s">
        <v>11</v>
      </c>
      <c r="CU39" s="68" t="s">
        <v>11</v>
      </c>
      <c r="CV39" s="68" t="s">
        <v>11</v>
      </c>
      <c r="CW39" s="68" t="s">
        <v>11</v>
      </c>
      <c r="CX39" s="68" t="s">
        <v>11</v>
      </c>
      <c r="CY39" s="68" t="s">
        <v>11</v>
      </c>
      <c r="CZ39" s="68" t="s">
        <v>11</v>
      </c>
      <c r="DA39" s="68" t="s">
        <v>11</v>
      </c>
      <c r="DB39" s="68" t="s">
        <v>11</v>
      </c>
      <c r="DC39" s="68" t="s">
        <v>11</v>
      </c>
      <c r="DD39" s="68" t="s">
        <v>11</v>
      </c>
      <c r="DE39" s="68" t="s">
        <v>11</v>
      </c>
      <c r="DF39" s="68" t="s">
        <v>11</v>
      </c>
      <c r="DG39" s="68" t="s">
        <v>11</v>
      </c>
      <c r="DH39" s="68" t="s">
        <v>11</v>
      </c>
      <c r="DI39" s="68" t="s">
        <v>11</v>
      </c>
      <c r="DJ39" s="68" t="s">
        <v>11</v>
      </c>
      <c r="DK39" s="68" t="s">
        <v>11</v>
      </c>
      <c r="DL39" s="68" t="s">
        <v>11</v>
      </c>
      <c r="DM39" s="68" t="s">
        <v>11</v>
      </c>
      <c r="DN39" s="68" t="s">
        <v>11</v>
      </c>
      <c r="DO39" s="68" t="s">
        <v>11</v>
      </c>
      <c r="DP39" s="68">
        <v>3</v>
      </c>
      <c r="DQ39" s="68">
        <v>3</v>
      </c>
      <c r="DR39" s="68" t="s">
        <v>11</v>
      </c>
      <c r="DS39" s="68" t="s">
        <v>11</v>
      </c>
      <c r="DT39" s="68" t="s">
        <v>11</v>
      </c>
      <c r="DU39" s="68" t="s">
        <v>11</v>
      </c>
      <c r="DV39" s="68" t="s">
        <v>11</v>
      </c>
      <c r="DW39" s="159" t="s">
        <v>11</v>
      </c>
      <c r="DX39" s="159" t="s">
        <v>11</v>
      </c>
      <c r="DY39" s="159" t="s">
        <v>11</v>
      </c>
      <c r="DZ39" s="159" t="s">
        <v>11</v>
      </c>
      <c r="EA39" s="159" t="s">
        <v>11</v>
      </c>
      <c r="EB39" s="159" t="s">
        <v>11</v>
      </c>
      <c r="EC39" s="159" t="s">
        <v>11</v>
      </c>
      <c r="ED39" s="159" t="s">
        <v>11</v>
      </c>
      <c r="EE39" s="159" t="s">
        <v>11</v>
      </c>
      <c r="EF39" s="159" t="s">
        <v>11</v>
      </c>
      <c r="EG39" s="159" t="s">
        <v>11</v>
      </c>
      <c r="EH39" s="159" t="s">
        <v>11</v>
      </c>
      <c r="EI39" s="187" t="s">
        <v>11</v>
      </c>
      <c r="EJ39" s="115" t="s">
        <v>11</v>
      </c>
      <c r="EK39" s="187" t="s">
        <v>11</v>
      </c>
      <c r="EL39" s="115" t="s">
        <v>11</v>
      </c>
      <c r="EM39" s="187">
        <v>20</v>
      </c>
      <c r="EN39" s="159" t="s">
        <v>11</v>
      </c>
      <c r="EO39" s="159" t="s">
        <v>11</v>
      </c>
      <c r="EP39" s="159" t="s">
        <v>11</v>
      </c>
      <c r="EQ39" s="159" t="s">
        <v>11</v>
      </c>
      <c r="ER39" s="115" t="s">
        <v>11</v>
      </c>
      <c r="ES39" s="159" t="s">
        <v>11</v>
      </c>
      <c r="ET39" s="159" t="s">
        <v>11</v>
      </c>
      <c r="EU39" s="159" t="s">
        <v>11</v>
      </c>
      <c r="EV39" s="159" t="s">
        <v>11</v>
      </c>
      <c r="EW39" s="159" t="s">
        <v>11</v>
      </c>
      <c r="EX39" s="115" t="s">
        <v>11</v>
      </c>
      <c r="EY39" s="115" t="s">
        <v>11</v>
      </c>
      <c r="EZ39" s="115" t="s">
        <v>11</v>
      </c>
      <c r="FA39" s="68">
        <v>13</v>
      </c>
      <c r="FB39" s="68" t="s">
        <v>11</v>
      </c>
      <c r="FC39" s="68">
        <v>13</v>
      </c>
      <c r="FD39" s="68" t="s">
        <v>11</v>
      </c>
      <c r="FE39" s="68">
        <v>2</v>
      </c>
      <c r="FF39" s="68" t="s">
        <v>11</v>
      </c>
      <c r="FG39" s="68" t="s">
        <v>11</v>
      </c>
      <c r="FH39" s="68" t="s">
        <v>11</v>
      </c>
      <c r="FI39" s="68" t="s">
        <v>11</v>
      </c>
      <c r="FJ39" s="68" t="s">
        <v>11</v>
      </c>
      <c r="FK39" s="68" t="s">
        <v>11</v>
      </c>
      <c r="FL39" s="68" t="s">
        <v>11</v>
      </c>
      <c r="FM39" s="120" t="s">
        <v>11</v>
      </c>
      <c r="FN39" s="187" t="s">
        <v>11</v>
      </c>
      <c r="FO39" s="187" t="s">
        <v>11</v>
      </c>
      <c r="FP39" s="155">
        <v>2</v>
      </c>
      <c r="FQ39" s="187" t="s">
        <v>11</v>
      </c>
      <c r="FR39" s="115" t="s">
        <v>11</v>
      </c>
      <c r="FS39" s="155">
        <v>20</v>
      </c>
      <c r="FT39" s="187" t="s">
        <v>11</v>
      </c>
      <c r="FU39" s="188">
        <v>86</v>
      </c>
      <c r="FV39" s="159" t="s">
        <v>11</v>
      </c>
      <c r="FW39" s="159" t="s">
        <v>11</v>
      </c>
      <c r="FX39" s="159" t="s">
        <v>11</v>
      </c>
      <c r="FY39" s="115" t="s">
        <v>11</v>
      </c>
      <c r="FZ39" s="159" t="s">
        <v>11</v>
      </c>
      <c r="GA39" s="159">
        <v>3</v>
      </c>
      <c r="GB39" s="115" t="s">
        <v>11</v>
      </c>
      <c r="GC39" s="115" t="s">
        <v>11</v>
      </c>
      <c r="GD39" s="209">
        <v>14</v>
      </c>
      <c r="GE39" s="159" t="s">
        <v>11</v>
      </c>
      <c r="GF39" s="159" t="s">
        <v>11</v>
      </c>
      <c r="GG39" s="208" t="s">
        <v>11</v>
      </c>
      <c r="GH39" s="159" t="s">
        <v>11</v>
      </c>
      <c r="GI39" s="159" t="s">
        <v>11</v>
      </c>
      <c r="GJ39" s="159" t="s">
        <v>11</v>
      </c>
      <c r="GK39" s="159" t="s">
        <v>11</v>
      </c>
      <c r="GL39" s="115" t="s">
        <v>11</v>
      </c>
      <c r="GM39" s="115" t="s">
        <v>11</v>
      </c>
      <c r="GN39" s="159" t="s">
        <v>11</v>
      </c>
      <c r="GO39" s="159" t="s">
        <v>11</v>
      </c>
      <c r="GP39" s="115" t="s">
        <v>11</v>
      </c>
      <c r="GQ39" s="210">
        <v>2</v>
      </c>
      <c r="GR39" s="115" t="s">
        <v>11</v>
      </c>
      <c r="GS39" s="159" t="s">
        <v>11</v>
      </c>
      <c r="GT39" s="159" t="s">
        <v>11</v>
      </c>
      <c r="GU39" s="159" t="s">
        <v>11</v>
      </c>
      <c r="GV39" s="159">
        <v>3</v>
      </c>
      <c r="GW39" s="184">
        <v>2</v>
      </c>
      <c r="GX39" s="159" t="s">
        <v>11</v>
      </c>
      <c r="GY39" s="115" t="s">
        <v>11</v>
      </c>
      <c r="GZ39" s="188">
        <v>20</v>
      </c>
      <c r="HA39" s="159" t="s">
        <v>11</v>
      </c>
      <c r="HB39" s="159">
        <v>86</v>
      </c>
      <c r="HC39" s="159" t="s">
        <v>11</v>
      </c>
      <c r="HD39" s="188">
        <v>20</v>
      </c>
      <c r="HE39" s="159" t="s">
        <v>11</v>
      </c>
      <c r="HF39" s="159" t="s">
        <v>11</v>
      </c>
      <c r="HG39" s="187" t="s">
        <v>11</v>
      </c>
      <c r="HH39" s="159" t="s">
        <v>11</v>
      </c>
      <c r="HI39" s="200">
        <v>2</v>
      </c>
      <c r="HJ39" s="115" t="s">
        <v>11</v>
      </c>
      <c r="HK39" s="115" t="s">
        <v>11</v>
      </c>
      <c r="HL39" s="159" t="s">
        <v>11</v>
      </c>
      <c r="HM39" s="184">
        <v>2</v>
      </c>
      <c r="HN39" s="159" t="s">
        <v>11</v>
      </c>
      <c r="HO39" s="159" t="s">
        <v>11</v>
      </c>
      <c r="HP39" s="159" t="s">
        <v>11</v>
      </c>
      <c r="HQ39" s="159" t="s">
        <v>11</v>
      </c>
      <c r="HR39" s="159" t="s">
        <v>11</v>
      </c>
      <c r="HS39" s="159" t="s">
        <v>11</v>
      </c>
      <c r="HT39" s="185">
        <v>4</v>
      </c>
      <c r="HU39" s="159" t="s">
        <v>11</v>
      </c>
      <c r="HV39" s="159" t="s">
        <v>11</v>
      </c>
      <c r="HW39" s="159" t="s">
        <v>11</v>
      </c>
      <c r="HX39" s="159" t="s">
        <v>11</v>
      </c>
      <c r="HY39" s="115" t="s">
        <v>11</v>
      </c>
      <c r="HZ39" s="159" t="s">
        <v>11</v>
      </c>
      <c r="IA39" s="159" t="s">
        <v>11</v>
      </c>
      <c r="IB39" s="184">
        <v>3</v>
      </c>
      <c r="IC39" s="115" t="s">
        <v>11</v>
      </c>
      <c r="ID39" s="159">
        <v>11</v>
      </c>
      <c r="IE39" s="159" t="s">
        <v>11</v>
      </c>
      <c r="IF39" s="185">
        <v>3</v>
      </c>
      <c r="IG39" s="185" t="s">
        <v>11</v>
      </c>
      <c r="IH39" s="185" t="s">
        <v>11</v>
      </c>
      <c r="II39" s="185">
        <v>3</v>
      </c>
      <c r="IJ39" s="185" t="s">
        <v>11</v>
      </c>
      <c r="IK39" s="185">
        <v>6</v>
      </c>
      <c r="IL39" s="185">
        <v>3</v>
      </c>
      <c r="IM39" s="159" t="s">
        <v>11</v>
      </c>
      <c r="IN39" s="184">
        <v>6</v>
      </c>
      <c r="IO39" s="159" t="s">
        <v>11</v>
      </c>
      <c r="IP39" s="159" t="s">
        <v>11</v>
      </c>
      <c r="IQ39" s="115" t="s">
        <v>11</v>
      </c>
      <c r="IR39" s="184">
        <v>6</v>
      </c>
      <c r="IS39" s="159" t="s">
        <v>11</v>
      </c>
      <c r="IT39" s="184">
        <v>6</v>
      </c>
      <c r="IU39" s="184">
        <v>6</v>
      </c>
      <c r="IV39" s="184">
        <v>6</v>
      </c>
      <c r="IW39" s="184">
        <v>6</v>
      </c>
      <c r="IX39" s="159"/>
      <c r="IY39" s="159" t="s">
        <v>11</v>
      </c>
      <c r="IZ39" s="159" t="s">
        <v>11</v>
      </c>
      <c r="JA39" s="159">
        <v>3</v>
      </c>
      <c r="JB39" s="159">
        <v>101</v>
      </c>
      <c r="JC39" s="159" t="s">
        <v>11</v>
      </c>
      <c r="JD39" s="159" t="s">
        <v>11</v>
      </c>
      <c r="JE39" s="159" t="s">
        <v>11</v>
      </c>
      <c r="JF39" s="159" t="s">
        <v>11</v>
      </c>
      <c r="JG39" s="159" t="s">
        <v>11</v>
      </c>
      <c r="JH39" s="159" t="s">
        <v>11</v>
      </c>
      <c r="JI39" s="159" t="s">
        <v>11</v>
      </c>
      <c r="JJ39" s="243">
        <v>92</v>
      </c>
      <c r="JK39" s="243">
        <v>92</v>
      </c>
      <c r="JL39" s="243" t="s">
        <v>11</v>
      </c>
      <c r="JM39" s="243" t="s">
        <v>11</v>
      </c>
      <c r="JN39" s="159" t="s">
        <v>11</v>
      </c>
      <c r="JO39" s="159" t="s">
        <v>11</v>
      </c>
      <c r="JP39" s="159" t="s">
        <v>11</v>
      </c>
      <c r="JQ39" s="159" t="s">
        <v>11</v>
      </c>
      <c r="JR39" s="159" t="s">
        <v>11</v>
      </c>
      <c r="JS39" s="159" t="s">
        <v>11</v>
      </c>
      <c r="JT39" s="159" t="s">
        <v>11</v>
      </c>
      <c r="JU39" s="159" t="s">
        <v>11</v>
      </c>
      <c r="JV39" s="159" t="s">
        <v>11</v>
      </c>
      <c r="JW39" s="159">
        <v>101</v>
      </c>
      <c r="JX39" s="159">
        <v>101</v>
      </c>
      <c r="JY39" s="159">
        <v>101</v>
      </c>
      <c r="JZ39" s="159">
        <v>101</v>
      </c>
      <c r="KA39" s="159">
        <v>101</v>
      </c>
      <c r="KB39" s="159">
        <v>101</v>
      </c>
      <c r="KC39" s="159">
        <v>101</v>
      </c>
      <c r="KD39" s="159" t="s">
        <v>11</v>
      </c>
      <c r="KE39" s="159">
        <v>20</v>
      </c>
      <c r="KF39" s="159">
        <v>101</v>
      </c>
      <c r="KG39" s="159" t="s">
        <v>11</v>
      </c>
      <c r="KH39" s="159" t="s">
        <v>11</v>
      </c>
      <c r="KI39" s="159" t="s">
        <v>11</v>
      </c>
      <c r="KJ39" s="159" t="s">
        <v>11</v>
      </c>
      <c r="KK39" s="159">
        <v>8</v>
      </c>
      <c r="KL39" s="184">
        <v>20</v>
      </c>
      <c r="KM39" s="159" t="s">
        <v>11</v>
      </c>
      <c r="KN39" s="187" t="s">
        <v>11</v>
      </c>
      <c r="KO39" s="159">
        <v>2</v>
      </c>
      <c r="KP39" s="159" t="s">
        <v>11</v>
      </c>
      <c r="KQ39" s="159" t="s">
        <v>11</v>
      </c>
      <c r="KR39" s="159" t="s">
        <v>11</v>
      </c>
      <c r="KS39" s="184">
        <v>2</v>
      </c>
      <c r="KT39" s="159" t="s">
        <v>11</v>
      </c>
      <c r="KU39" s="159" t="s">
        <v>11</v>
      </c>
      <c r="KV39" s="159" t="s">
        <v>11</v>
      </c>
      <c r="KW39" s="115">
        <v>85</v>
      </c>
      <c r="KX39" s="115">
        <v>85</v>
      </c>
      <c r="KY39" s="243">
        <v>92</v>
      </c>
      <c r="KZ39" s="243" t="s">
        <v>11</v>
      </c>
      <c r="LA39" s="187" t="s">
        <v>11</v>
      </c>
      <c r="LB39" s="115" t="s">
        <v>11</v>
      </c>
      <c r="LC39" s="115">
        <v>86</v>
      </c>
      <c r="LD39" s="115">
        <v>86</v>
      </c>
      <c r="LE39" s="115">
        <v>86</v>
      </c>
      <c r="LF39" s="115">
        <v>8</v>
      </c>
      <c r="LG39" s="115" t="s">
        <v>11</v>
      </c>
      <c r="LH39" s="115" t="s">
        <v>11</v>
      </c>
      <c r="LI39" s="115" t="s">
        <v>11</v>
      </c>
      <c r="LJ39" s="115" t="s">
        <v>11</v>
      </c>
      <c r="LK39" s="115" t="s">
        <v>11</v>
      </c>
      <c r="LL39" s="187" t="s">
        <v>11</v>
      </c>
      <c r="LM39" s="120" t="s">
        <v>11</v>
      </c>
      <c r="LN39" s="263" t="s">
        <v>11</v>
      </c>
      <c r="LO39" s="115" t="s">
        <v>11</v>
      </c>
      <c r="LP39" s="115" t="s">
        <v>11</v>
      </c>
      <c r="LQ39" s="263" t="s">
        <v>11</v>
      </c>
      <c r="LR39" s="115" t="s">
        <v>11</v>
      </c>
      <c r="LS39" s="115" t="s">
        <v>11</v>
      </c>
      <c r="LT39" s="115" t="s">
        <v>11</v>
      </c>
      <c r="LU39" s="115" t="s">
        <v>11</v>
      </c>
      <c r="LV39" s="286" t="s">
        <v>11</v>
      </c>
      <c r="LW39" s="115" t="s">
        <v>11</v>
      </c>
      <c r="LX39" s="115" t="s">
        <v>11</v>
      </c>
      <c r="LY39" s="184">
        <v>6</v>
      </c>
      <c r="LZ39" s="115" t="s">
        <v>11</v>
      </c>
      <c r="MA39" s="115" t="s">
        <v>11</v>
      </c>
      <c r="MB39" s="115">
        <v>104</v>
      </c>
      <c r="MC39" s="184">
        <v>6</v>
      </c>
      <c r="MD39" s="115" t="s">
        <v>11</v>
      </c>
    </row>
    <row r="40" spans="1:342" s="68" customFormat="1" ht="14.4" x14ac:dyDescent="0.3">
      <c r="A40" s="92">
        <v>37</v>
      </c>
      <c r="B40" s="311"/>
      <c r="C40" s="64" t="s">
        <v>477</v>
      </c>
      <c r="D40" s="69"/>
      <c r="E40" s="66" t="s">
        <v>11</v>
      </c>
      <c r="F40" s="66" t="s">
        <v>11</v>
      </c>
      <c r="G40" s="66" t="s">
        <v>11</v>
      </c>
      <c r="H40" s="66" t="s">
        <v>11</v>
      </c>
      <c r="I40" s="66" t="s">
        <v>11</v>
      </c>
      <c r="J40" s="66" t="s">
        <v>11</v>
      </c>
      <c r="K40" s="66" t="s">
        <v>11</v>
      </c>
      <c r="L40" s="66" t="s">
        <v>11</v>
      </c>
      <c r="M40" s="66" t="s">
        <v>11</v>
      </c>
      <c r="N40" s="66" t="s">
        <v>11</v>
      </c>
      <c r="O40" s="66" t="s">
        <v>11</v>
      </c>
      <c r="P40" s="66" t="s">
        <v>11</v>
      </c>
      <c r="Q40" s="66" t="s">
        <v>11</v>
      </c>
      <c r="R40" s="66" t="s">
        <v>11</v>
      </c>
      <c r="S40" s="66" t="s">
        <v>11</v>
      </c>
      <c r="T40" s="66" t="s">
        <v>11</v>
      </c>
      <c r="U40" s="66" t="s">
        <v>11</v>
      </c>
      <c r="V40" s="66" t="s">
        <v>11</v>
      </c>
      <c r="W40" s="66" t="s">
        <v>11</v>
      </c>
      <c r="X40" s="66" t="s">
        <v>11</v>
      </c>
      <c r="Y40" s="66" t="s">
        <v>11</v>
      </c>
      <c r="Z40" s="66" t="s">
        <v>11</v>
      </c>
      <c r="AA40" s="66" t="s">
        <v>11</v>
      </c>
      <c r="AB40" s="66" t="s">
        <v>11</v>
      </c>
      <c r="AC40" s="66" t="s">
        <v>11</v>
      </c>
      <c r="AD40" s="66" t="s">
        <v>11</v>
      </c>
      <c r="AE40" s="66" t="s">
        <v>11</v>
      </c>
      <c r="AF40" s="66" t="s">
        <v>11</v>
      </c>
      <c r="AG40" s="66" t="s">
        <v>11</v>
      </c>
      <c r="AH40" s="66" t="s">
        <v>11</v>
      </c>
      <c r="AI40" s="66" t="s">
        <v>11</v>
      </c>
      <c r="AJ40" s="66" t="s">
        <v>11</v>
      </c>
      <c r="AK40" s="66" t="s">
        <v>11</v>
      </c>
      <c r="AL40" s="66" t="s">
        <v>11</v>
      </c>
      <c r="AM40" s="66" t="s">
        <v>11</v>
      </c>
      <c r="AN40" s="66" t="s">
        <v>11</v>
      </c>
      <c r="AO40" s="66" t="s">
        <v>11</v>
      </c>
      <c r="AP40" s="66" t="s">
        <v>11</v>
      </c>
      <c r="AQ40" s="66" t="s">
        <v>11</v>
      </c>
      <c r="AR40" s="66" t="s">
        <v>11</v>
      </c>
      <c r="AS40" s="66" t="s">
        <v>11</v>
      </c>
      <c r="AT40" s="66" t="s">
        <v>11</v>
      </c>
      <c r="AU40" s="66" t="s">
        <v>11</v>
      </c>
      <c r="AV40" s="66" t="s">
        <v>11</v>
      </c>
      <c r="AW40" s="66" t="s">
        <v>11</v>
      </c>
      <c r="AX40" s="66" t="s">
        <v>11</v>
      </c>
      <c r="AY40" s="66" t="s">
        <v>11</v>
      </c>
      <c r="AZ40" s="66" t="s">
        <v>11</v>
      </c>
      <c r="BA40" s="66" t="s">
        <v>11</v>
      </c>
      <c r="BB40" s="66" t="s">
        <v>11</v>
      </c>
      <c r="BC40" s="66" t="s">
        <v>11</v>
      </c>
      <c r="BD40" s="66" t="s">
        <v>11</v>
      </c>
      <c r="BE40" s="66" t="s">
        <v>11</v>
      </c>
      <c r="BF40" s="66" t="s">
        <v>11</v>
      </c>
      <c r="BG40" s="66" t="s">
        <v>11</v>
      </c>
      <c r="BH40" s="66" t="s">
        <v>11</v>
      </c>
      <c r="BI40" s="66" t="s">
        <v>11</v>
      </c>
      <c r="BJ40" s="66" t="s">
        <v>11</v>
      </c>
      <c r="BK40" s="38" t="s">
        <v>11</v>
      </c>
      <c r="BL40" s="38" t="s">
        <v>11</v>
      </c>
      <c r="BM40" s="38" t="s">
        <v>11</v>
      </c>
      <c r="BN40" s="38" t="s">
        <v>11</v>
      </c>
      <c r="BO40" s="38" t="s">
        <v>11</v>
      </c>
      <c r="BP40" s="38" t="s">
        <v>11</v>
      </c>
      <c r="BQ40" s="38" t="s">
        <v>11</v>
      </c>
      <c r="BR40" s="117" t="s">
        <v>11</v>
      </c>
      <c r="BS40" s="105" t="s">
        <v>11</v>
      </c>
      <c r="BT40" s="105" t="s">
        <v>11</v>
      </c>
      <c r="BU40" s="115" t="s">
        <v>11</v>
      </c>
      <c r="BV40" s="159" t="s">
        <v>11</v>
      </c>
      <c r="BW40" s="159" t="s">
        <v>11</v>
      </c>
      <c r="BX40" s="115" t="s">
        <v>702</v>
      </c>
      <c r="BY40" s="115" t="s">
        <v>702</v>
      </c>
      <c r="BZ40" s="115" t="s">
        <v>1441</v>
      </c>
      <c r="CA40" s="68" t="s">
        <v>11</v>
      </c>
      <c r="CB40" s="68" t="s">
        <v>11</v>
      </c>
      <c r="CC40" s="68" t="s">
        <v>11</v>
      </c>
      <c r="CD40" s="68" t="s">
        <v>11</v>
      </c>
      <c r="CE40" s="68" t="s">
        <v>11</v>
      </c>
      <c r="CF40" s="68" t="s">
        <v>11</v>
      </c>
      <c r="CG40" s="68" t="s">
        <v>11</v>
      </c>
      <c r="CH40" s="68" t="s">
        <v>11</v>
      </c>
      <c r="CI40" s="68" t="s">
        <v>11</v>
      </c>
      <c r="CJ40" s="68" t="s">
        <v>11</v>
      </c>
      <c r="CK40" s="68" t="s">
        <v>11</v>
      </c>
      <c r="CL40" s="68" t="s">
        <v>11</v>
      </c>
      <c r="CM40" s="68" t="s">
        <v>11</v>
      </c>
      <c r="CN40" s="68" t="s">
        <v>11</v>
      </c>
      <c r="CO40" s="68" t="s">
        <v>11</v>
      </c>
      <c r="CP40" s="68" t="s">
        <v>11</v>
      </c>
      <c r="CQ40" s="68" t="s">
        <v>11</v>
      </c>
      <c r="CR40" s="68" t="s">
        <v>11</v>
      </c>
      <c r="CS40" s="68" t="s">
        <v>11</v>
      </c>
      <c r="CT40" s="68" t="s">
        <v>11</v>
      </c>
      <c r="CU40" s="68" t="s">
        <v>11</v>
      </c>
      <c r="CV40" s="68" t="s">
        <v>11</v>
      </c>
      <c r="CW40" s="68" t="s">
        <v>11</v>
      </c>
      <c r="CX40" s="68" t="s">
        <v>11</v>
      </c>
      <c r="CY40" s="68" t="s">
        <v>11</v>
      </c>
      <c r="CZ40" s="68" t="s">
        <v>11</v>
      </c>
      <c r="DA40" s="68" t="s">
        <v>11</v>
      </c>
      <c r="DB40" s="68" t="s">
        <v>11</v>
      </c>
      <c r="DC40" s="68" t="s">
        <v>11</v>
      </c>
      <c r="DD40" s="68" t="s">
        <v>11</v>
      </c>
      <c r="DE40" s="68" t="s">
        <v>11</v>
      </c>
      <c r="DF40" s="68" t="s">
        <v>11</v>
      </c>
      <c r="DG40" s="68" t="s">
        <v>11</v>
      </c>
      <c r="DH40" s="68" t="s">
        <v>11</v>
      </c>
      <c r="DI40" s="68" t="s">
        <v>11</v>
      </c>
      <c r="DJ40" s="68" t="s">
        <v>11</v>
      </c>
      <c r="DK40" s="68" t="s">
        <v>11</v>
      </c>
      <c r="DL40" s="68" t="s">
        <v>11</v>
      </c>
      <c r="DM40" s="68" t="s">
        <v>11</v>
      </c>
      <c r="DN40" s="68" t="s">
        <v>11</v>
      </c>
      <c r="DO40" s="68" t="s">
        <v>11</v>
      </c>
      <c r="DP40" s="68" t="s">
        <v>11</v>
      </c>
      <c r="DQ40" s="68" t="s">
        <v>11</v>
      </c>
      <c r="DR40" s="68" t="s">
        <v>11</v>
      </c>
      <c r="DS40" s="68" t="s">
        <v>11</v>
      </c>
      <c r="DT40" s="68" t="s">
        <v>11</v>
      </c>
      <c r="DU40" s="68" t="s">
        <v>11</v>
      </c>
      <c r="DV40" s="68" t="s">
        <v>11</v>
      </c>
      <c r="DW40" s="159" t="s">
        <v>11</v>
      </c>
      <c r="DX40" s="159" t="s">
        <v>11</v>
      </c>
      <c r="DY40" s="159" t="s">
        <v>11</v>
      </c>
      <c r="DZ40" s="159" t="s">
        <v>11</v>
      </c>
      <c r="EA40" s="159" t="s">
        <v>11</v>
      </c>
      <c r="EB40" s="159" t="s">
        <v>11</v>
      </c>
      <c r="EC40" s="159" t="s">
        <v>11</v>
      </c>
      <c r="ED40" s="159" t="s">
        <v>11</v>
      </c>
      <c r="EE40" s="159" t="s">
        <v>11</v>
      </c>
      <c r="EF40" s="159" t="s">
        <v>11</v>
      </c>
      <c r="EG40" s="159" t="s">
        <v>11</v>
      </c>
      <c r="EH40" s="159" t="s">
        <v>11</v>
      </c>
      <c r="EI40" s="187" t="s">
        <v>11</v>
      </c>
      <c r="EJ40" s="115" t="s">
        <v>11</v>
      </c>
      <c r="EK40" s="187" t="s">
        <v>11</v>
      </c>
      <c r="EL40" s="115" t="s">
        <v>11</v>
      </c>
      <c r="EM40" s="187" t="s">
        <v>11</v>
      </c>
      <c r="EN40" s="159" t="s">
        <v>11</v>
      </c>
      <c r="EO40" s="159" t="s">
        <v>11</v>
      </c>
      <c r="EP40" s="159" t="s">
        <v>11</v>
      </c>
      <c r="EQ40" s="159" t="s">
        <v>11</v>
      </c>
      <c r="ER40" s="115" t="s">
        <v>11</v>
      </c>
      <c r="ES40" s="159" t="s">
        <v>11</v>
      </c>
      <c r="ET40" s="159" t="s">
        <v>11</v>
      </c>
      <c r="EU40" s="159" t="s">
        <v>11</v>
      </c>
      <c r="EV40" s="159" t="s">
        <v>11</v>
      </c>
      <c r="EW40" s="159" t="s">
        <v>11</v>
      </c>
      <c r="EX40" s="115" t="s">
        <v>11</v>
      </c>
      <c r="EY40" s="115" t="s">
        <v>11</v>
      </c>
      <c r="EZ40" s="115" t="s">
        <v>11</v>
      </c>
      <c r="FA40" s="68" t="s">
        <v>11</v>
      </c>
      <c r="FB40" s="68" t="s">
        <v>11</v>
      </c>
      <c r="FC40" s="68" t="s">
        <v>11</v>
      </c>
      <c r="FD40" s="68" t="s">
        <v>11</v>
      </c>
      <c r="FE40" s="68" t="s">
        <v>1441</v>
      </c>
      <c r="FF40" s="68" t="s">
        <v>11</v>
      </c>
      <c r="FG40" s="68" t="s">
        <v>11</v>
      </c>
      <c r="FH40" s="68" t="s">
        <v>11</v>
      </c>
      <c r="FI40" s="68" t="s">
        <v>11</v>
      </c>
      <c r="FJ40" s="68" t="s">
        <v>11</v>
      </c>
      <c r="FK40" s="68" t="s">
        <v>11</v>
      </c>
      <c r="FL40" s="68" t="s">
        <v>11</v>
      </c>
      <c r="FM40" s="120" t="s">
        <v>11</v>
      </c>
      <c r="FN40" s="187" t="s">
        <v>11</v>
      </c>
      <c r="FO40" s="187" t="s">
        <v>11</v>
      </c>
      <c r="FP40" s="187" t="s">
        <v>11</v>
      </c>
      <c r="FQ40" s="187" t="s">
        <v>11</v>
      </c>
      <c r="FR40" s="115" t="s">
        <v>11</v>
      </c>
      <c r="FS40" s="187" t="s">
        <v>11</v>
      </c>
      <c r="FT40" s="187" t="s">
        <v>11</v>
      </c>
      <c r="FU40" s="187" t="s">
        <v>11</v>
      </c>
      <c r="FV40" s="159" t="s">
        <v>11</v>
      </c>
      <c r="FW40" s="159" t="s">
        <v>11</v>
      </c>
      <c r="FX40" s="159" t="s">
        <v>11</v>
      </c>
      <c r="FY40" s="115" t="s">
        <v>11</v>
      </c>
      <c r="FZ40" s="159" t="s">
        <v>11</v>
      </c>
      <c r="GA40" s="159" t="s">
        <v>11</v>
      </c>
      <c r="GB40" s="115" t="s">
        <v>11</v>
      </c>
      <c r="GC40" s="115" t="s">
        <v>11</v>
      </c>
      <c r="GD40" s="187" t="s">
        <v>11</v>
      </c>
      <c r="GE40" s="159" t="s">
        <v>11</v>
      </c>
      <c r="GF40" s="159" t="s">
        <v>11</v>
      </c>
      <c r="GG40" s="208" t="s">
        <v>11</v>
      </c>
      <c r="GH40" s="159" t="s">
        <v>11</v>
      </c>
      <c r="GI40" s="159" t="s">
        <v>11</v>
      </c>
      <c r="GJ40" s="159" t="s">
        <v>11</v>
      </c>
      <c r="GK40" s="159" t="s">
        <v>11</v>
      </c>
      <c r="GL40" s="115" t="s">
        <v>11</v>
      </c>
      <c r="GM40" s="115" t="s">
        <v>11</v>
      </c>
      <c r="GN40" s="159" t="s">
        <v>11</v>
      </c>
      <c r="GO40" s="159" t="s">
        <v>11</v>
      </c>
      <c r="GP40" s="115" t="s">
        <v>11</v>
      </c>
      <c r="GQ40" s="208" t="s">
        <v>11</v>
      </c>
      <c r="GR40" s="115" t="s">
        <v>11</v>
      </c>
      <c r="GS40" s="159" t="s">
        <v>11</v>
      </c>
      <c r="GT40" s="159" t="s">
        <v>11</v>
      </c>
      <c r="GU40" s="159" t="s">
        <v>11</v>
      </c>
      <c r="GV40" s="159" t="s">
        <v>11</v>
      </c>
      <c r="GW40" s="159" t="s">
        <v>702</v>
      </c>
      <c r="GX40" s="159" t="s">
        <v>11</v>
      </c>
      <c r="GY40" s="115" t="s">
        <v>11</v>
      </c>
      <c r="GZ40" s="187" t="s">
        <v>11</v>
      </c>
      <c r="HA40" s="159" t="s">
        <v>11</v>
      </c>
      <c r="HB40" s="159" t="s">
        <v>1034</v>
      </c>
      <c r="HC40" s="159" t="s">
        <v>11</v>
      </c>
      <c r="HD40" s="187" t="s">
        <v>11</v>
      </c>
      <c r="HE40" s="115" t="s">
        <v>11</v>
      </c>
      <c r="HF40" s="115" t="s">
        <v>11</v>
      </c>
      <c r="HG40" s="187" t="s">
        <v>11</v>
      </c>
      <c r="HH40" s="115" t="s">
        <v>11</v>
      </c>
      <c r="HI40" s="200" t="s">
        <v>1034</v>
      </c>
      <c r="HJ40" s="115" t="s">
        <v>11</v>
      </c>
      <c r="HK40" s="115" t="s">
        <v>11</v>
      </c>
      <c r="HL40" s="159" t="s">
        <v>11</v>
      </c>
      <c r="HM40" s="169" t="s">
        <v>805</v>
      </c>
      <c r="HN40" s="159" t="s">
        <v>11</v>
      </c>
      <c r="HO40" s="159" t="s">
        <v>11</v>
      </c>
      <c r="HP40" s="159" t="s">
        <v>11</v>
      </c>
      <c r="HQ40" s="159" t="s">
        <v>11</v>
      </c>
      <c r="HR40" s="159" t="s">
        <v>11</v>
      </c>
      <c r="HS40" s="159" t="s">
        <v>11</v>
      </c>
      <c r="HT40" s="159" t="s">
        <v>11</v>
      </c>
      <c r="HU40" s="159" t="s">
        <v>11</v>
      </c>
      <c r="HV40" s="159" t="s">
        <v>11</v>
      </c>
      <c r="HW40" s="159" t="s">
        <v>11</v>
      </c>
      <c r="HX40" s="159" t="s">
        <v>11</v>
      </c>
      <c r="HY40" s="115" t="s">
        <v>11</v>
      </c>
      <c r="HZ40" s="159" t="s">
        <v>11</v>
      </c>
      <c r="IA40" s="159" t="s">
        <v>11</v>
      </c>
      <c r="IB40" s="159" t="s">
        <v>11</v>
      </c>
      <c r="IC40" s="115" t="s">
        <v>11</v>
      </c>
      <c r="ID40" s="115" t="s">
        <v>1034</v>
      </c>
      <c r="IE40" s="159" t="s">
        <v>11</v>
      </c>
      <c r="IF40" s="183" t="s">
        <v>11</v>
      </c>
      <c r="IG40" s="185" t="s">
        <v>11</v>
      </c>
      <c r="IH40" s="185" t="s">
        <v>11</v>
      </c>
      <c r="II40" s="185" t="s">
        <v>11</v>
      </c>
      <c r="IJ40" s="185" t="s">
        <v>11</v>
      </c>
      <c r="IK40" s="183" t="s">
        <v>11</v>
      </c>
      <c r="IL40" s="183" t="s">
        <v>11</v>
      </c>
      <c r="IM40" s="159" t="s">
        <v>11</v>
      </c>
      <c r="IN40" s="159" t="s">
        <v>11</v>
      </c>
      <c r="IO40" s="159" t="s">
        <v>11</v>
      </c>
      <c r="IP40" s="159" t="s">
        <v>11</v>
      </c>
      <c r="IQ40" s="115" t="s">
        <v>11</v>
      </c>
      <c r="IR40" s="159" t="s">
        <v>11</v>
      </c>
      <c r="IS40" s="159" t="s">
        <v>11</v>
      </c>
      <c r="IT40" s="159" t="s">
        <v>11</v>
      </c>
      <c r="IU40" s="159" t="s">
        <v>11</v>
      </c>
      <c r="IV40" s="159" t="s">
        <v>11</v>
      </c>
      <c r="IW40" s="159" t="s">
        <v>11</v>
      </c>
      <c r="IX40" s="159"/>
      <c r="IY40" s="159" t="s">
        <v>11</v>
      </c>
      <c r="IZ40" s="159" t="s">
        <v>11</v>
      </c>
      <c r="JA40" s="159" t="s">
        <v>2176</v>
      </c>
      <c r="JB40" s="159" t="s">
        <v>11</v>
      </c>
      <c r="JC40" s="159" t="s">
        <v>11</v>
      </c>
      <c r="JD40" s="159" t="s">
        <v>11</v>
      </c>
      <c r="JE40" s="159" t="s">
        <v>11</v>
      </c>
      <c r="JF40" s="159" t="s">
        <v>11</v>
      </c>
      <c r="JG40" s="159" t="s">
        <v>11</v>
      </c>
      <c r="JH40" s="159" t="s">
        <v>11</v>
      </c>
      <c r="JI40" s="159" t="s">
        <v>11</v>
      </c>
      <c r="JJ40" s="243" t="s">
        <v>11</v>
      </c>
      <c r="JK40" s="243" t="s">
        <v>11</v>
      </c>
      <c r="JL40" s="243" t="s">
        <v>11</v>
      </c>
      <c r="JM40" s="243" t="s">
        <v>11</v>
      </c>
      <c r="JN40" s="159" t="s">
        <v>11</v>
      </c>
      <c r="JO40" s="159" t="s">
        <v>11</v>
      </c>
      <c r="JP40" s="159" t="s">
        <v>11</v>
      </c>
      <c r="JQ40" s="159" t="s">
        <v>11</v>
      </c>
      <c r="JR40" s="159" t="s">
        <v>11</v>
      </c>
      <c r="JS40" s="159" t="s">
        <v>11</v>
      </c>
      <c r="JT40" s="159" t="s">
        <v>11</v>
      </c>
      <c r="JU40" s="159" t="s">
        <v>11</v>
      </c>
      <c r="JV40" s="159" t="s">
        <v>11</v>
      </c>
      <c r="JW40" s="159" t="s">
        <v>11</v>
      </c>
      <c r="JX40" s="159" t="s">
        <v>11</v>
      </c>
      <c r="JY40" s="159" t="s">
        <v>11</v>
      </c>
      <c r="JZ40" s="159" t="s">
        <v>11</v>
      </c>
      <c r="KA40" s="159" t="s">
        <v>11</v>
      </c>
      <c r="KB40" s="159" t="s">
        <v>11</v>
      </c>
      <c r="KC40" s="159" t="s">
        <v>11</v>
      </c>
      <c r="KD40" s="159" t="s">
        <v>11</v>
      </c>
      <c r="KE40" s="159" t="s">
        <v>2176</v>
      </c>
      <c r="KF40" s="159" t="s">
        <v>1034</v>
      </c>
      <c r="KG40" s="159" t="s">
        <v>11</v>
      </c>
      <c r="KH40" s="159" t="s">
        <v>11</v>
      </c>
      <c r="KI40" s="159" t="s">
        <v>11</v>
      </c>
      <c r="KJ40" s="159" t="s">
        <v>11</v>
      </c>
      <c r="KK40" s="159" t="s">
        <v>11</v>
      </c>
      <c r="KL40" s="159" t="s">
        <v>11</v>
      </c>
      <c r="KM40" s="159" t="s">
        <v>11</v>
      </c>
      <c r="KN40" s="187" t="s">
        <v>11</v>
      </c>
      <c r="KO40" s="159" t="s">
        <v>11</v>
      </c>
      <c r="KP40" s="159" t="s">
        <v>11</v>
      </c>
      <c r="KQ40" s="159" t="s">
        <v>11</v>
      </c>
      <c r="KR40" s="159" t="s">
        <v>11</v>
      </c>
      <c r="KS40" s="184" t="s">
        <v>702</v>
      </c>
      <c r="KT40" s="159" t="s">
        <v>11</v>
      </c>
      <c r="KU40" s="159" t="s">
        <v>11</v>
      </c>
      <c r="KV40" s="159" t="s">
        <v>11</v>
      </c>
      <c r="KW40" s="115" t="s">
        <v>702</v>
      </c>
      <c r="KX40" s="115" t="s">
        <v>702</v>
      </c>
      <c r="KY40" s="243" t="s">
        <v>11</v>
      </c>
      <c r="KZ40" s="243" t="s">
        <v>11</v>
      </c>
      <c r="LA40" s="187" t="s">
        <v>11</v>
      </c>
      <c r="LB40" s="115" t="s">
        <v>11</v>
      </c>
      <c r="LC40" s="115" t="s">
        <v>11</v>
      </c>
      <c r="LD40" s="115" t="s">
        <v>11</v>
      </c>
      <c r="LE40" s="115" t="s">
        <v>11</v>
      </c>
      <c r="LF40" s="115" t="s">
        <v>1441</v>
      </c>
      <c r="LG40" s="115" t="s">
        <v>11</v>
      </c>
      <c r="LH40" s="115" t="s">
        <v>11</v>
      </c>
      <c r="LI40" s="115" t="s">
        <v>11</v>
      </c>
      <c r="LJ40" s="115" t="s">
        <v>11</v>
      </c>
      <c r="LK40" s="115" t="s">
        <v>11</v>
      </c>
      <c r="LL40" s="187" t="s">
        <v>11</v>
      </c>
      <c r="LM40" s="120" t="s">
        <v>11</v>
      </c>
      <c r="LN40" s="263" t="s">
        <v>11</v>
      </c>
      <c r="LO40" s="115" t="s">
        <v>11</v>
      </c>
      <c r="LP40" s="115" t="s">
        <v>11</v>
      </c>
      <c r="LQ40" s="263" t="s">
        <v>11</v>
      </c>
      <c r="LR40" s="115" t="s">
        <v>11</v>
      </c>
      <c r="LS40" s="115" t="s">
        <v>11</v>
      </c>
      <c r="LT40" s="115" t="s">
        <v>11</v>
      </c>
      <c r="LU40" s="115" t="s">
        <v>11</v>
      </c>
      <c r="LV40" s="286" t="s">
        <v>11</v>
      </c>
      <c r="LW40" s="115" t="s">
        <v>11</v>
      </c>
      <c r="LX40" s="115" t="s">
        <v>11</v>
      </c>
      <c r="LY40" s="115" t="s">
        <v>703</v>
      </c>
      <c r="LZ40" s="115" t="s">
        <v>11</v>
      </c>
      <c r="MA40" s="115" t="s">
        <v>11</v>
      </c>
      <c r="MB40" s="115" t="s">
        <v>849</v>
      </c>
      <c r="MC40" s="115" t="s">
        <v>703</v>
      </c>
      <c r="MD40" s="115" t="s">
        <v>11</v>
      </c>
    </row>
    <row r="41" spans="1:342" s="68" customFormat="1" ht="14.4" x14ac:dyDescent="0.3">
      <c r="A41" s="92">
        <v>38</v>
      </c>
      <c r="B41" s="311"/>
      <c r="C41" s="64" t="s">
        <v>478</v>
      </c>
      <c r="D41" s="69"/>
      <c r="E41" s="66" t="s">
        <v>11</v>
      </c>
      <c r="F41" s="66" t="s">
        <v>11</v>
      </c>
      <c r="G41" s="66" t="s">
        <v>11</v>
      </c>
      <c r="H41" s="66" t="s">
        <v>11</v>
      </c>
      <c r="I41" s="66" t="s">
        <v>11</v>
      </c>
      <c r="J41" s="66" t="s">
        <v>11</v>
      </c>
      <c r="K41" s="66" t="s">
        <v>11</v>
      </c>
      <c r="L41" s="66" t="s">
        <v>11</v>
      </c>
      <c r="M41" s="66" t="s">
        <v>11</v>
      </c>
      <c r="N41" s="66" t="s">
        <v>11</v>
      </c>
      <c r="O41" s="66" t="s">
        <v>11</v>
      </c>
      <c r="P41" s="66" t="s">
        <v>11</v>
      </c>
      <c r="Q41" s="66" t="s">
        <v>11</v>
      </c>
      <c r="R41" s="66" t="s">
        <v>11</v>
      </c>
      <c r="S41" s="66" t="s">
        <v>11</v>
      </c>
      <c r="T41" s="66" t="s">
        <v>11</v>
      </c>
      <c r="U41" s="66" t="s">
        <v>11</v>
      </c>
      <c r="V41" s="66" t="s">
        <v>11</v>
      </c>
      <c r="W41" s="66" t="s">
        <v>11</v>
      </c>
      <c r="X41" s="66" t="s">
        <v>11</v>
      </c>
      <c r="Y41" s="66" t="s">
        <v>11</v>
      </c>
      <c r="Z41" s="66" t="s">
        <v>11</v>
      </c>
      <c r="AA41" s="66" t="s">
        <v>11</v>
      </c>
      <c r="AB41" s="66" t="s">
        <v>11</v>
      </c>
      <c r="AC41" s="66" t="s">
        <v>11</v>
      </c>
      <c r="AD41" s="66" t="s">
        <v>11</v>
      </c>
      <c r="AE41" s="66" t="s">
        <v>11</v>
      </c>
      <c r="AF41" s="66" t="s">
        <v>11</v>
      </c>
      <c r="AG41" s="66" t="s">
        <v>11</v>
      </c>
      <c r="AH41" s="66" t="s">
        <v>11</v>
      </c>
      <c r="AI41" s="66" t="s">
        <v>11</v>
      </c>
      <c r="AJ41" s="66" t="s">
        <v>11</v>
      </c>
      <c r="AK41" s="66" t="s">
        <v>11</v>
      </c>
      <c r="AL41" s="66" t="s">
        <v>11</v>
      </c>
      <c r="AM41" s="66" t="s">
        <v>11</v>
      </c>
      <c r="AN41" s="66" t="s">
        <v>11</v>
      </c>
      <c r="AO41" s="66" t="s">
        <v>11</v>
      </c>
      <c r="AP41" s="66" t="s">
        <v>11</v>
      </c>
      <c r="AQ41" s="66" t="s">
        <v>11</v>
      </c>
      <c r="AR41" s="66" t="s">
        <v>11</v>
      </c>
      <c r="AS41" s="66" t="s">
        <v>11</v>
      </c>
      <c r="AT41" s="66" t="s">
        <v>11</v>
      </c>
      <c r="AU41" s="66" t="s">
        <v>11</v>
      </c>
      <c r="AV41" s="66" t="s">
        <v>11</v>
      </c>
      <c r="AW41" s="66" t="s">
        <v>11</v>
      </c>
      <c r="AX41" s="66" t="s">
        <v>11</v>
      </c>
      <c r="AY41" s="66" t="s">
        <v>11</v>
      </c>
      <c r="AZ41" s="66" t="s">
        <v>11</v>
      </c>
      <c r="BA41" s="66" t="s">
        <v>11</v>
      </c>
      <c r="BB41" s="66" t="s">
        <v>11</v>
      </c>
      <c r="BC41" s="66" t="s">
        <v>11</v>
      </c>
      <c r="BD41" s="66" t="s">
        <v>11</v>
      </c>
      <c r="BE41" s="66" t="s">
        <v>11</v>
      </c>
      <c r="BF41" s="66" t="s">
        <v>11</v>
      </c>
      <c r="BG41" s="66" t="s">
        <v>11</v>
      </c>
      <c r="BH41" s="66" t="s">
        <v>11</v>
      </c>
      <c r="BI41" s="66" t="s">
        <v>11</v>
      </c>
      <c r="BJ41" s="66" t="s">
        <v>11</v>
      </c>
      <c r="BK41" s="38" t="s">
        <v>11</v>
      </c>
      <c r="BL41" s="38" t="s">
        <v>11</v>
      </c>
      <c r="BM41" s="38" t="s">
        <v>11</v>
      </c>
      <c r="BN41" s="38" t="s">
        <v>11</v>
      </c>
      <c r="BO41" s="38" t="s">
        <v>11</v>
      </c>
      <c r="BP41" s="38" t="s">
        <v>11</v>
      </c>
      <c r="BQ41" s="38" t="s">
        <v>11</v>
      </c>
      <c r="BR41" s="117" t="s">
        <v>11</v>
      </c>
      <c r="BS41" s="105" t="s">
        <v>11</v>
      </c>
      <c r="BT41" s="105" t="s">
        <v>11</v>
      </c>
      <c r="BU41" s="115" t="s">
        <v>11</v>
      </c>
      <c r="BV41" s="159" t="s">
        <v>11</v>
      </c>
      <c r="BW41" s="159" t="s">
        <v>11</v>
      </c>
      <c r="BX41" s="115">
        <v>3</v>
      </c>
      <c r="BY41" s="115">
        <v>3</v>
      </c>
      <c r="BZ41" s="115">
        <v>78</v>
      </c>
      <c r="CA41" s="68" t="s">
        <v>11</v>
      </c>
      <c r="CB41" s="68" t="s">
        <v>11</v>
      </c>
      <c r="CC41" s="68" t="s">
        <v>11</v>
      </c>
      <c r="CD41" s="68" t="s">
        <v>11</v>
      </c>
      <c r="CE41" s="68" t="s">
        <v>11</v>
      </c>
      <c r="CF41" s="68" t="s">
        <v>11</v>
      </c>
      <c r="CG41" s="68" t="s">
        <v>11</v>
      </c>
      <c r="CH41" s="68" t="s">
        <v>11</v>
      </c>
      <c r="CI41" s="68" t="s">
        <v>11</v>
      </c>
      <c r="CJ41" s="68" t="s">
        <v>11</v>
      </c>
      <c r="CK41" s="68" t="s">
        <v>11</v>
      </c>
      <c r="CL41" s="68" t="s">
        <v>11</v>
      </c>
      <c r="CM41" s="68" t="s">
        <v>11</v>
      </c>
      <c r="CN41" s="68" t="s">
        <v>11</v>
      </c>
      <c r="CO41" s="68" t="s">
        <v>11</v>
      </c>
      <c r="CP41" s="68" t="s">
        <v>11</v>
      </c>
      <c r="CQ41" s="68" t="s">
        <v>11</v>
      </c>
      <c r="CR41" s="68" t="s">
        <v>11</v>
      </c>
      <c r="CS41" s="68" t="s">
        <v>11</v>
      </c>
      <c r="CT41" s="68" t="s">
        <v>11</v>
      </c>
      <c r="CU41" s="68" t="s">
        <v>11</v>
      </c>
      <c r="CV41" s="68" t="s">
        <v>11</v>
      </c>
      <c r="CW41" s="68" t="s">
        <v>11</v>
      </c>
      <c r="CX41" s="68" t="s">
        <v>11</v>
      </c>
      <c r="CY41" s="68" t="s">
        <v>11</v>
      </c>
      <c r="CZ41" s="68" t="s">
        <v>11</v>
      </c>
      <c r="DA41" s="68" t="s">
        <v>11</v>
      </c>
      <c r="DB41" s="68" t="s">
        <v>11</v>
      </c>
      <c r="DC41" s="68" t="s">
        <v>11</v>
      </c>
      <c r="DD41" s="68" t="s">
        <v>11</v>
      </c>
      <c r="DE41" s="68" t="s">
        <v>11</v>
      </c>
      <c r="DF41" s="68" t="s">
        <v>11</v>
      </c>
      <c r="DG41" s="68" t="s">
        <v>11</v>
      </c>
      <c r="DH41" s="68" t="s">
        <v>11</v>
      </c>
      <c r="DI41" s="68" t="s">
        <v>11</v>
      </c>
      <c r="DJ41" s="68" t="s">
        <v>11</v>
      </c>
      <c r="DK41" s="68" t="s">
        <v>11</v>
      </c>
      <c r="DL41" s="68" t="s">
        <v>11</v>
      </c>
      <c r="DM41" s="68" t="s">
        <v>11</v>
      </c>
      <c r="DN41" s="68" t="s">
        <v>11</v>
      </c>
      <c r="DO41" s="68" t="s">
        <v>11</v>
      </c>
      <c r="DP41" s="68" t="s">
        <v>11</v>
      </c>
      <c r="DQ41" s="68" t="s">
        <v>11</v>
      </c>
      <c r="DR41" s="68" t="s">
        <v>11</v>
      </c>
      <c r="DS41" s="68" t="s">
        <v>11</v>
      </c>
      <c r="DT41" s="68" t="s">
        <v>11</v>
      </c>
      <c r="DU41" s="68" t="s">
        <v>11</v>
      </c>
      <c r="DV41" s="68" t="s">
        <v>11</v>
      </c>
      <c r="DW41" s="159" t="s">
        <v>11</v>
      </c>
      <c r="DX41" s="159" t="s">
        <v>11</v>
      </c>
      <c r="DY41" s="159" t="s">
        <v>11</v>
      </c>
      <c r="DZ41" s="159" t="s">
        <v>11</v>
      </c>
      <c r="EA41" s="159" t="s">
        <v>11</v>
      </c>
      <c r="EB41" s="159" t="s">
        <v>11</v>
      </c>
      <c r="EC41" s="159" t="s">
        <v>11</v>
      </c>
      <c r="ED41" s="159" t="s">
        <v>11</v>
      </c>
      <c r="EE41" s="159" t="s">
        <v>11</v>
      </c>
      <c r="EF41" s="159" t="s">
        <v>11</v>
      </c>
      <c r="EG41" s="159" t="s">
        <v>11</v>
      </c>
      <c r="EH41" s="159" t="s">
        <v>11</v>
      </c>
      <c r="EI41" s="187" t="s">
        <v>11</v>
      </c>
      <c r="EJ41" s="115" t="s">
        <v>11</v>
      </c>
      <c r="EK41" s="187" t="s">
        <v>11</v>
      </c>
      <c r="EL41" s="115" t="s">
        <v>11</v>
      </c>
      <c r="EM41" s="187" t="s">
        <v>11</v>
      </c>
      <c r="EN41" s="159" t="s">
        <v>11</v>
      </c>
      <c r="EO41" s="159" t="s">
        <v>11</v>
      </c>
      <c r="EP41" s="159" t="s">
        <v>11</v>
      </c>
      <c r="EQ41" s="159" t="s">
        <v>11</v>
      </c>
      <c r="ER41" s="115" t="s">
        <v>11</v>
      </c>
      <c r="ES41" s="159" t="s">
        <v>11</v>
      </c>
      <c r="ET41" s="159" t="s">
        <v>11</v>
      </c>
      <c r="EU41" s="159" t="s">
        <v>11</v>
      </c>
      <c r="EV41" s="159" t="s">
        <v>11</v>
      </c>
      <c r="EW41" s="159" t="s">
        <v>11</v>
      </c>
      <c r="EX41" s="115" t="s">
        <v>11</v>
      </c>
      <c r="EY41" s="115" t="s">
        <v>11</v>
      </c>
      <c r="EZ41" s="115" t="s">
        <v>11</v>
      </c>
      <c r="FA41" s="68" t="s">
        <v>11</v>
      </c>
      <c r="FB41" s="68" t="s">
        <v>11</v>
      </c>
      <c r="FC41" s="68" t="s">
        <v>11</v>
      </c>
      <c r="FD41" s="68" t="s">
        <v>11</v>
      </c>
      <c r="FE41" s="68">
        <v>86</v>
      </c>
      <c r="FF41" s="68" t="s">
        <v>11</v>
      </c>
      <c r="FG41" s="68" t="s">
        <v>11</v>
      </c>
      <c r="FH41" s="68" t="s">
        <v>11</v>
      </c>
      <c r="FI41" s="68" t="s">
        <v>11</v>
      </c>
      <c r="FJ41" s="68" t="s">
        <v>11</v>
      </c>
      <c r="FK41" s="68" t="s">
        <v>11</v>
      </c>
      <c r="FL41" s="68" t="s">
        <v>11</v>
      </c>
      <c r="FM41" s="120" t="s">
        <v>11</v>
      </c>
      <c r="FN41" s="187" t="s">
        <v>11</v>
      </c>
      <c r="FO41" s="187" t="s">
        <v>11</v>
      </c>
      <c r="FP41" s="187" t="s">
        <v>11</v>
      </c>
      <c r="FQ41" s="187" t="s">
        <v>11</v>
      </c>
      <c r="FR41" s="115" t="s">
        <v>11</v>
      </c>
      <c r="FS41" s="187" t="s">
        <v>11</v>
      </c>
      <c r="FT41" s="187" t="s">
        <v>11</v>
      </c>
      <c r="FU41" s="187" t="s">
        <v>11</v>
      </c>
      <c r="FV41" s="159" t="s">
        <v>11</v>
      </c>
      <c r="FW41" s="159" t="s">
        <v>11</v>
      </c>
      <c r="FX41" s="159" t="s">
        <v>11</v>
      </c>
      <c r="FY41" s="115" t="s">
        <v>11</v>
      </c>
      <c r="FZ41" s="159" t="s">
        <v>11</v>
      </c>
      <c r="GA41" s="159" t="s">
        <v>11</v>
      </c>
      <c r="GB41" s="115" t="s">
        <v>11</v>
      </c>
      <c r="GC41" s="115" t="s">
        <v>11</v>
      </c>
      <c r="GD41" s="187" t="s">
        <v>11</v>
      </c>
      <c r="GE41" s="159" t="s">
        <v>11</v>
      </c>
      <c r="GF41" s="159" t="s">
        <v>11</v>
      </c>
      <c r="GG41" s="208" t="s">
        <v>11</v>
      </c>
      <c r="GH41" s="159" t="s">
        <v>11</v>
      </c>
      <c r="GI41" s="159" t="s">
        <v>11</v>
      </c>
      <c r="GJ41" s="159" t="s">
        <v>11</v>
      </c>
      <c r="GK41" s="159" t="s">
        <v>11</v>
      </c>
      <c r="GL41" s="115" t="s">
        <v>11</v>
      </c>
      <c r="GM41" s="115" t="s">
        <v>11</v>
      </c>
      <c r="GN41" s="159" t="s">
        <v>11</v>
      </c>
      <c r="GO41" s="159" t="s">
        <v>11</v>
      </c>
      <c r="GP41" s="115" t="s">
        <v>11</v>
      </c>
      <c r="GQ41" s="208" t="s">
        <v>11</v>
      </c>
      <c r="GR41" s="115" t="s">
        <v>11</v>
      </c>
      <c r="GS41" s="159" t="s">
        <v>11</v>
      </c>
      <c r="GT41" s="159" t="s">
        <v>11</v>
      </c>
      <c r="GU41" s="159" t="s">
        <v>11</v>
      </c>
      <c r="GV41" s="159" t="s">
        <v>11</v>
      </c>
      <c r="GW41" s="159">
        <v>3</v>
      </c>
      <c r="GX41" s="159" t="s">
        <v>11</v>
      </c>
      <c r="GY41" s="115" t="s">
        <v>11</v>
      </c>
      <c r="GZ41" s="187" t="s">
        <v>11</v>
      </c>
      <c r="HA41" s="159" t="s">
        <v>11</v>
      </c>
      <c r="HB41" s="159">
        <v>20</v>
      </c>
      <c r="HC41" s="159" t="s">
        <v>11</v>
      </c>
      <c r="HD41" s="187" t="s">
        <v>11</v>
      </c>
      <c r="HE41" s="115" t="s">
        <v>11</v>
      </c>
      <c r="HF41" s="115" t="s">
        <v>11</v>
      </c>
      <c r="HG41" s="187" t="s">
        <v>11</v>
      </c>
      <c r="HH41" s="115" t="s">
        <v>11</v>
      </c>
      <c r="HI41" s="200">
        <v>20</v>
      </c>
      <c r="HJ41" s="115" t="s">
        <v>11</v>
      </c>
      <c r="HK41" s="115" t="s">
        <v>11</v>
      </c>
      <c r="HL41" s="159" t="s">
        <v>11</v>
      </c>
      <c r="HM41" s="185">
        <v>2</v>
      </c>
      <c r="HN41" s="159" t="s">
        <v>11</v>
      </c>
      <c r="HO41" s="159" t="s">
        <v>11</v>
      </c>
      <c r="HP41" s="159" t="s">
        <v>11</v>
      </c>
      <c r="HQ41" s="159" t="s">
        <v>11</v>
      </c>
      <c r="HR41" s="159" t="s">
        <v>11</v>
      </c>
      <c r="HS41" s="159" t="s">
        <v>11</v>
      </c>
      <c r="HT41" s="159" t="s">
        <v>11</v>
      </c>
      <c r="HU41" s="159" t="s">
        <v>11</v>
      </c>
      <c r="HV41" s="159" t="s">
        <v>11</v>
      </c>
      <c r="HW41" s="159" t="s">
        <v>11</v>
      </c>
      <c r="HX41" s="159" t="s">
        <v>11</v>
      </c>
      <c r="HY41" s="115" t="s">
        <v>11</v>
      </c>
      <c r="HZ41" s="159" t="s">
        <v>11</v>
      </c>
      <c r="IA41" s="159" t="s">
        <v>11</v>
      </c>
      <c r="IB41" s="159" t="s">
        <v>11</v>
      </c>
      <c r="IC41" s="115" t="s">
        <v>11</v>
      </c>
      <c r="ID41" s="115">
        <v>20</v>
      </c>
      <c r="IE41" s="159" t="s">
        <v>11</v>
      </c>
      <c r="IF41" s="183" t="s">
        <v>11</v>
      </c>
      <c r="IG41" s="185" t="s">
        <v>11</v>
      </c>
      <c r="IH41" s="185" t="s">
        <v>11</v>
      </c>
      <c r="II41" s="185" t="s">
        <v>11</v>
      </c>
      <c r="IJ41" s="185" t="s">
        <v>11</v>
      </c>
      <c r="IK41" s="183" t="s">
        <v>11</v>
      </c>
      <c r="IL41" s="183" t="s">
        <v>11</v>
      </c>
      <c r="IM41" s="159" t="s">
        <v>11</v>
      </c>
      <c r="IN41" s="159" t="s">
        <v>11</v>
      </c>
      <c r="IO41" s="159" t="s">
        <v>11</v>
      </c>
      <c r="IP41" s="159" t="s">
        <v>11</v>
      </c>
      <c r="IQ41" s="115" t="s">
        <v>11</v>
      </c>
      <c r="IR41" s="159" t="s">
        <v>11</v>
      </c>
      <c r="IS41" s="159" t="s">
        <v>11</v>
      </c>
      <c r="IT41" s="159" t="s">
        <v>11</v>
      </c>
      <c r="IU41" s="159" t="s">
        <v>11</v>
      </c>
      <c r="IV41" s="159" t="s">
        <v>11</v>
      </c>
      <c r="IW41" s="159" t="s">
        <v>11</v>
      </c>
      <c r="IX41" s="159"/>
      <c r="IY41" s="159" t="s">
        <v>11</v>
      </c>
      <c r="IZ41" s="159" t="s">
        <v>11</v>
      </c>
      <c r="JA41" s="159">
        <v>101</v>
      </c>
      <c r="JB41" s="159" t="s">
        <v>11</v>
      </c>
      <c r="JC41" s="159" t="s">
        <v>11</v>
      </c>
      <c r="JD41" s="159" t="s">
        <v>11</v>
      </c>
      <c r="JE41" s="159" t="s">
        <v>11</v>
      </c>
      <c r="JF41" s="159" t="s">
        <v>11</v>
      </c>
      <c r="JG41" s="159" t="s">
        <v>11</v>
      </c>
      <c r="JH41" s="159" t="s">
        <v>11</v>
      </c>
      <c r="JI41" s="159" t="s">
        <v>11</v>
      </c>
      <c r="JJ41" s="243" t="s">
        <v>11</v>
      </c>
      <c r="JK41" s="243" t="s">
        <v>11</v>
      </c>
      <c r="JL41" s="243" t="s">
        <v>11</v>
      </c>
      <c r="JM41" s="243" t="s">
        <v>11</v>
      </c>
      <c r="JN41" s="159" t="s">
        <v>11</v>
      </c>
      <c r="JO41" s="159" t="s">
        <v>11</v>
      </c>
      <c r="JP41" s="159" t="s">
        <v>11</v>
      </c>
      <c r="JQ41" s="159" t="s">
        <v>11</v>
      </c>
      <c r="JR41" s="159" t="s">
        <v>11</v>
      </c>
      <c r="JS41" s="159" t="s">
        <v>11</v>
      </c>
      <c r="JT41" s="159" t="s">
        <v>11</v>
      </c>
      <c r="JU41" s="159" t="s">
        <v>11</v>
      </c>
      <c r="JV41" s="159" t="s">
        <v>11</v>
      </c>
      <c r="JW41" s="159" t="s">
        <v>11</v>
      </c>
      <c r="JX41" s="159" t="s">
        <v>11</v>
      </c>
      <c r="JY41" s="159" t="s">
        <v>11</v>
      </c>
      <c r="JZ41" s="159" t="s">
        <v>11</v>
      </c>
      <c r="KA41" s="159" t="s">
        <v>11</v>
      </c>
      <c r="KB41" s="159" t="s">
        <v>11</v>
      </c>
      <c r="KC41" s="159" t="s">
        <v>11</v>
      </c>
      <c r="KD41" s="159" t="s">
        <v>11</v>
      </c>
      <c r="KE41" s="159">
        <v>101</v>
      </c>
      <c r="KF41" s="159">
        <v>20</v>
      </c>
      <c r="KG41" s="159" t="s">
        <v>11</v>
      </c>
      <c r="KH41" s="159" t="s">
        <v>11</v>
      </c>
      <c r="KI41" s="159" t="s">
        <v>11</v>
      </c>
      <c r="KJ41" s="159" t="s">
        <v>11</v>
      </c>
      <c r="KK41" s="159" t="s">
        <v>11</v>
      </c>
      <c r="KL41" s="159" t="s">
        <v>11</v>
      </c>
      <c r="KM41" s="159" t="s">
        <v>11</v>
      </c>
      <c r="KN41" s="187" t="s">
        <v>11</v>
      </c>
      <c r="KO41" s="159" t="s">
        <v>11</v>
      </c>
      <c r="KP41" s="159" t="s">
        <v>11</v>
      </c>
      <c r="KQ41" s="159" t="s">
        <v>11</v>
      </c>
      <c r="KR41" s="159" t="s">
        <v>11</v>
      </c>
      <c r="KS41" s="184">
        <v>3</v>
      </c>
      <c r="KT41" s="159" t="s">
        <v>11</v>
      </c>
      <c r="KU41" s="159" t="s">
        <v>11</v>
      </c>
      <c r="KV41" s="159" t="s">
        <v>11</v>
      </c>
      <c r="KW41" s="115">
        <v>3</v>
      </c>
      <c r="KX41" s="115">
        <v>3</v>
      </c>
      <c r="KY41" s="243" t="s">
        <v>11</v>
      </c>
      <c r="KZ41" s="243" t="s">
        <v>11</v>
      </c>
      <c r="LA41" s="187" t="s">
        <v>11</v>
      </c>
      <c r="LB41" s="115" t="s">
        <v>11</v>
      </c>
      <c r="LC41" s="115" t="s">
        <v>11</v>
      </c>
      <c r="LD41" s="115" t="s">
        <v>11</v>
      </c>
      <c r="LE41" s="115" t="s">
        <v>11</v>
      </c>
      <c r="LF41" s="115">
        <v>86</v>
      </c>
      <c r="LG41" s="115" t="s">
        <v>11</v>
      </c>
      <c r="LH41" s="115" t="s">
        <v>11</v>
      </c>
      <c r="LI41" s="115" t="s">
        <v>11</v>
      </c>
      <c r="LJ41" s="115" t="s">
        <v>11</v>
      </c>
      <c r="LK41" s="115" t="s">
        <v>11</v>
      </c>
      <c r="LL41" s="187" t="s">
        <v>11</v>
      </c>
      <c r="LM41" s="120" t="s">
        <v>11</v>
      </c>
      <c r="LN41" s="263" t="s">
        <v>11</v>
      </c>
      <c r="LO41" s="115" t="s">
        <v>11</v>
      </c>
      <c r="LP41" s="115" t="s">
        <v>11</v>
      </c>
      <c r="LQ41" s="263" t="s">
        <v>11</v>
      </c>
      <c r="LR41" s="115" t="s">
        <v>11</v>
      </c>
      <c r="LS41" s="115" t="s">
        <v>11</v>
      </c>
      <c r="LT41" s="115" t="s">
        <v>11</v>
      </c>
      <c r="LU41" s="115" t="s">
        <v>11</v>
      </c>
      <c r="LV41" s="286" t="s">
        <v>11</v>
      </c>
      <c r="LW41" s="115" t="s">
        <v>11</v>
      </c>
      <c r="LX41" s="115" t="s">
        <v>11</v>
      </c>
      <c r="LY41" s="115">
        <v>8</v>
      </c>
      <c r="LZ41" s="115" t="s">
        <v>11</v>
      </c>
      <c r="MA41" s="115" t="s">
        <v>11</v>
      </c>
      <c r="MB41" s="115">
        <v>4</v>
      </c>
      <c r="MC41" s="115">
        <v>8</v>
      </c>
      <c r="MD41" s="115" t="s">
        <v>11</v>
      </c>
    </row>
    <row r="42" spans="1:342" s="68" customFormat="1" ht="14.4" x14ac:dyDescent="0.3">
      <c r="A42" s="92">
        <v>39</v>
      </c>
      <c r="B42" s="311"/>
      <c r="C42" s="64" t="s">
        <v>479</v>
      </c>
      <c r="D42" s="69"/>
      <c r="E42" s="66" t="s">
        <v>11</v>
      </c>
      <c r="F42" s="66" t="s">
        <v>11</v>
      </c>
      <c r="G42" s="66" t="s">
        <v>11</v>
      </c>
      <c r="H42" s="66" t="s">
        <v>11</v>
      </c>
      <c r="I42" s="66" t="s">
        <v>11</v>
      </c>
      <c r="J42" s="66" t="s">
        <v>11</v>
      </c>
      <c r="K42" s="66" t="s">
        <v>11</v>
      </c>
      <c r="L42" s="66" t="s">
        <v>11</v>
      </c>
      <c r="M42" s="66" t="s">
        <v>11</v>
      </c>
      <c r="N42" s="66" t="s">
        <v>11</v>
      </c>
      <c r="O42" s="66" t="s">
        <v>11</v>
      </c>
      <c r="P42" s="66" t="s">
        <v>11</v>
      </c>
      <c r="Q42" s="66" t="s">
        <v>11</v>
      </c>
      <c r="R42" s="66" t="s">
        <v>11</v>
      </c>
      <c r="S42" s="66" t="s">
        <v>11</v>
      </c>
      <c r="T42" s="66" t="s">
        <v>11</v>
      </c>
      <c r="U42" s="66" t="s">
        <v>11</v>
      </c>
      <c r="V42" s="66" t="s">
        <v>11</v>
      </c>
      <c r="W42" s="66" t="s">
        <v>11</v>
      </c>
      <c r="X42" s="66" t="s">
        <v>11</v>
      </c>
      <c r="Y42" s="66" t="s">
        <v>11</v>
      </c>
      <c r="Z42" s="66" t="s">
        <v>11</v>
      </c>
      <c r="AA42" s="66" t="s">
        <v>11</v>
      </c>
      <c r="AB42" s="66" t="s">
        <v>11</v>
      </c>
      <c r="AC42" s="66" t="s">
        <v>11</v>
      </c>
      <c r="AD42" s="66" t="s">
        <v>11</v>
      </c>
      <c r="AE42" s="66" t="s">
        <v>11</v>
      </c>
      <c r="AF42" s="66" t="s">
        <v>11</v>
      </c>
      <c r="AG42" s="66" t="s">
        <v>11</v>
      </c>
      <c r="AH42" s="66" t="s">
        <v>11</v>
      </c>
      <c r="AI42" s="66" t="s">
        <v>11</v>
      </c>
      <c r="AJ42" s="66" t="s">
        <v>11</v>
      </c>
      <c r="AK42" s="66" t="s">
        <v>11</v>
      </c>
      <c r="AL42" s="66" t="s">
        <v>11</v>
      </c>
      <c r="AM42" s="66" t="s">
        <v>11</v>
      </c>
      <c r="AN42" s="66" t="s">
        <v>11</v>
      </c>
      <c r="AO42" s="66" t="s">
        <v>11</v>
      </c>
      <c r="AP42" s="66" t="s">
        <v>11</v>
      </c>
      <c r="AQ42" s="66" t="s">
        <v>11</v>
      </c>
      <c r="AR42" s="66" t="s">
        <v>11</v>
      </c>
      <c r="AS42" s="66" t="s">
        <v>11</v>
      </c>
      <c r="AT42" s="66" t="s">
        <v>11</v>
      </c>
      <c r="AU42" s="66" t="s">
        <v>11</v>
      </c>
      <c r="AV42" s="66" t="s">
        <v>11</v>
      </c>
      <c r="AW42" s="66" t="s">
        <v>11</v>
      </c>
      <c r="AX42" s="66" t="s">
        <v>11</v>
      </c>
      <c r="AY42" s="66" t="s">
        <v>11</v>
      </c>
      <c r="AZ42" s="66" t="s">
        <v>11</v>
      </c>
      <c r="BA42" s="66" t="s">
        <v>11</v>
      </c>
      <c r="BB42" s="66" t="s">
        <v>11</v>
      </c>
      <c r="BC42" s="66" t="s">
        <v>11</v>
      </c>
      <c r="BD42" s="66" t="s">
        <v>11</v>
      </c>
      <c r="BE42" s="66" t="s">
        <v>11</v>
      </c>
      <c r="BF42" s="66" t="s">
        <v>11</v>
      </c>
      <c r="BG42" s="66" t="s">
        <v>11</v>
      </c>
      <c r="BH42" s="66" t="s">
        <v>11</v>
      </c>
      <c r="BI42" s="66" t="s">
        <v>11</v>
      </c>
      <c r="BJ42" s="66" t="s">
        <v>11</v>
      </c>
      <c r="BK42" s="38" t="s">
        <v>11</v>
      </c>
      <c r="BL42" s="38" t="s">
        <v>11</v>
      </c>
      <c r="BM42" s="38" t="s">
        <v>11</v>
      </c>
      <c r="BN42" s="38" t="s">
        <v>11</v>
      </c>
      <c r="BO42" s="38" t="s">
        <v>11</v>
      </c>
      <c r="BP42" s="38" t="s">
        <v>11</v>
      </c>
      <c r="BQ42" s="38" t="s">
        <v>11</v>
      </c>
      <c r="BR42" s="117" t="s">
        <v>11</v>
      </c>
      <c r="BS42" s="105" t="s">
        <v>11</v>
      </c>
      <c r="BT42" s="105" t="s">
        <v>11</v>
      </c>
      <c r="BU42" s="115" t="s">
        <v>11</v>
      </c>
      <c r="BV42" s="159" t="s">
        <v>11</v>
      </c>
      <c r="BW42" s="159" t="s">
        <v>11</v>
      </c>
      <c r="BX42" s="115" t="s">
        <v>11</v>
      </c>
      <c r="BY42" s="115" t="s">
        <v>11</v>
      </c>
      <c r="BZ42" s="115" t="s">
        <v>702</v>
      </c>
      <c r="CA42" s="68" t="s">
        <v>11</v>
      </c>
      <c r="CB42" s="68" t="s">
        <v>11</v>
      </c>
      <c r="CC42" s="68" t="s">
        <v>11</v>
      </c>
      <c r="CD42" s="68" t="s">
        <v>11</v>
      </c>
      <c r="CE42" s="68" t="s">
        <v>11</v>
      </c>
      <c r="CF42" s="68" t="s">
        <v>11</v>
      </c>
      <c r="CG42" s="68" t="s">
        <v>11</v>
      </c>
      <c r="CH42" s="68" t="s">
        <v>11</v>
      </c>
      <c r="CI42" s="68" t="s">
        <v>11</v>
      </c>
      <c r="CJ42" s="68" t="s">
        <v>11</v>
      </c>
      <c r="CK42" s="68" t="s">
        <v>11</v>
      </c>
      <c r="CL42" s="68" t="s">
        <v>11</v>
      </c>
      <c r="CM42" s="68" t="s">
        <v>11</v>
      </c>
      <c r="CN42" s="68" t="s">
        <v>11</v>
      </c>
      <c r="CO42" s="68" t="s">
        <v>11</v>
      </c>
      <c r="CP42" s="68" t="s">
        <v>11</v>
      </c>
      <c r="CQ42" s="68" t="s">
        <v>11</v>
      </c>
      <c r="CR42" s="68" t="s">
        <v>11</v>
      </c>
      <c r="CS42" s="68" t="s">
        <v>11</v>
      </c>
      <c r="CT42" s="68" t="s">
        <v>11</v>
      </c>
      <c r="CU42" s="68" t="s">
        <v>11</v>
      </c>
      <c r="CV42" s="68" t="s">
        <v>11</v>
      </c>
      <c r="CW42" s="68" t="s">
        <v>11</v>
      </c>
      <c r="CX42" s="68" t="s">
        <v>11</v>
      </c>
      <c r="CY42" s="68" t="s">
        <v>11</v>
      </c>
      <c r="CZ42" s="68" t="s">
        <v>11</v>
      </c>
      <c r="DA42" s="68" t="s">
        <v>11</v>
      </c>
      <c r="DB42" s="68" t="s">
        <v>11</v>
      </c>
      <c r="DC42" s="68" t="s">
        <v>11</v>
      </c>
      <c r="DD42" s="68" t="s">
        <v>11</v>
      </c>
      <c r="DE42" s="68" t="s">
        <v>11</v>
      </c>
      <c r="DF42" s="68" t="s">
        <v>11</v>
      </c>
      <c r="DG42" s="68" t="s">
        <v>11</v>
      </c>
      <c r="DH42" s="68" t="s">
        <v>11</v>
      </c>
      <c r="DI42" s="68" t="s">
        <v>11</v>
      </c>
      <c r="DJ42" s="68" t="s">
        <v>11</v>
      </c>
      <c r="DK42" s="68" t="s">
        <v>11</v>
      </c>
      <c r="DL42" s="68" t="s">
        <v>11</v>
      </c>
      <c r="DM42" s="68" t="s">
        <v>11</v>
      </c>
      <c r="DN42" s="68" t="s">
        <v>11</v>
      </c>
      <c r="DO42" s="68" t="s">
        <v>11</v>
      </c>
      <c r="DP42" s="68" t="s">
        <v>11</v>
      </c>
      <c r="DQ42" s="68" t="s">
        <v>11</v>
      </c>
      <c r="DR42" s="68" t="s">
        <v>11</v>
      </c>
      <c r="DS42" s="68" t="s">
        <v>11</v>
      </c>
      <c r="DT42" s="68" t="s">
        <v>11</v>
      </c>
      <c r="DU42" s="68" t="s">
        <v>11</v>
      </c>
      <c r="DV42" s="68" t="s">
        <v>11</v>
      </c>
      <c r="DW42" s="159" t="s">
        <v>11</v>
      </c>
      <c r="DX42" s="159" t="s">
        <v>11</v>
      </c>
      <c r="DY42" s="159" t="s">
        <v>11</v>
      </c>
      <c r="DZ42" s="159" t="s">
        <v>11</v>
      </c>
      <c r="EA42" s="159" t="s">
        <v>11</v>
      </c>
      <c r="EB42" s="159" t="s">
        <v>11</v>
      </c>
      <c r="EC42" s="159" t="s">
        <v>11</v>
      </c>
      <c r="ED42" s="159" t="s">
        <v>11</v>
      </c>
      <c r="EE42" s="159" t="s">
        <v>11</v>
      </c>
      <c r="EF42" s="159" t="s">
        <v>11</v>
      </c>
      <c r="EG42" s="159" t="s">
        <v>11</v>
      </c>
      <c r="EH42" s="159" t="s">
        <v>11</v>
      </c>
      <c r="EI42" s="187" t="s">
        <v>11</v>
      </c>
      <c r="EJ42" s="115" t="s">
        <v>11</v>
      </c>
      <c r="EK42" s="187" t="s">
        <v>11</v>
      </c>
      <c r="EL42" s="115" t="s">
        <v>11</v>
      </c>
      <c r="EM42" s="187" t="s">
        <v>11</v>
      </c>
      <c r="EN42" s="159" t="s">
        <v>11</v>
      </c>
      <c r="EO42" s="159" t="s">
        <v>11</v>
      </c>
      <c r="EP42" s="159" t="s">
        <v>11</v>
      </c>
      <c r="EQ42" s="159" t="s">
        <v>11</v>
      </c>
      <c r="ER42" s="115" t="s">
        <v>11</v>
      </c>
      <c r="ES42" s="159" t="s">
        <v>11</v>
      </c>
      <c r="ET42" s="159" t="s">
        <v>11</v>
      </c>
      <c r="EU42" s="159" t="s">
        <v>11</v>
      </c>
      <c r="EV42" s="159" t="s">
        <v>11</v>
      </c>
      <c r="EW42" s="159" t="s">
        <v>11</v>
      </c>
      <c r="EX42" s="115" t="s">
        <v>11</v>
      </c>
      <c r="EY42" s="115" t="s">
        <v>11</v>
      </c>
      <c r="EZ42" s="115" t="s">
        <v>11</v>
      </c>
      <c r="FA42" s="68" t="s">
        <v>11</v>
      </c>
      <c r="FB42" s="68" t="s">
        <v>11</v>
      </c>
      <c r="FC42" s="68" t="s">
        <v>11</v>
      </c>
      <c r="FD42" s="68" t="s">
        <v>11</v>
      </c>
      <c r="FE42" s="68" t="s">
        <v>11</v>
      </c>
      <c r="FF42" s="68" t="s">
        <v>11</v>
      </c>
      <c r="FG42" s="68" t="s">
        <v>11</v>
      </c>
      <c r="FH42" s="68" t="s">
        <v>11</v>
      </c>
      <c r="FI42" s="68" t="s">
        <v>11</v>
      </c>
      <c r="FJ42" s="68" t="s">
        <v>11</v>
      </c>
      <c r="FK42" s="68" t="s">
        <v>11</v>
      </c>
      <c r="FL42" s="68" t="s">
        <v>11</v>
      </c>
      <c r="FM42" s="120" t="s">
        <v>11</v>
      </c>
      <c r="FN42" s="187" t="s">
        <v>11</v>
      </c>
      <c r="FO42" s="187" t="s">
        <v>11</v>
      </c>
      <c r="FP42" s="187" t="s">
        <v>11</v>
      </c>
      <c r="FQ42" s="187" t="s">
        <v>11</v>
      </c>
      <c r="FR42" s="115" t="s">
        <v>11</v>
      </c>
      <c r="FS42" s="187" t="s">
        <v>11</v>
      </c>
      <c r="FT42" s="187" t="s">
        <v>11</v>
      </c>
      <c r="FU42" s="187" t="s">
        <v>11</v>
      </c>
      <c r="FV42" s="159" t="s">
        <v>11</v>
      </c>
      <c r="FW42" s="159" t="s">
        <v>11</v>
      </c>
      <c r="FX42" s="159" t="s">
        <v>11</v>
      </c>
      <c r="FY42" s="115" t="s">
        <v>11</v>
      </c>
      <c r="FZ42" s="159" t="s">
        <v>11</v>
      </c>
      <c r="GA42" s="159" t="s">
        <v>11</v>
      </c>
      <c r="GB42" s="115" t="s">
        <v>11</v>
      </c>
      <c r="GC42" s="115" t="s">
        <v>11</v>
      </c>
      <c r="GD42" s="187" t="s">
        <v>11</v>
      </c>
      <c r="GE42" s="159" t="s">
        <v>11</v>
      </c>
      <c r="GF42" s="159" t="s">
        <v>11</v>
      </c>
      <c r="GG42" s="208" t="s">
        <v>11</v>
      </c>
      <c r="GH42" s="159" t="s">
        <v>11</v>
      </c>
      <c r="GI42" s="159" t="s">
        <v>11</v>
      </c>
      <c r="GJ42" s="159" t="s">
        <v>11</v>
      </c>
      <c r="GK42" s="159" t="s">
        <v>11</v>
      </c>
      <c r="GL42" s="115" t="s">
        <v>11</v>
      </c>
      <c r="GM42" s="115" t="s">
        <v>11</v>
      </c>
      <c r="GN42" s="159" t="s">
        <v>11</v>
      </c>
      <c r="GO42" s="159" t="s">
        <v>11</v>
      </c>
      <c r="GP42" s="115" t="s">
        <v>11</v>
      </c>
      <c r="GQ42" s="208" t="s">
        <v>11</v>
      </c>
      <c r="GR42" s="115" t="s">
        <v>11</v>
      </c>
      <c r="GS42" s="159" t="s">
        <v>11</v>
      </c>
      <c r="GT42" s="159" t="s">
        <v>11</v>
      </c>
      <c r="GU42" s="159" t="s">
        <v>11</v>
      </c>
      <c r="GV42" s="159" t="s">
        <v>11</v>
      </c>
      <c r="GW42" s="159" t="s">
        <v>11</v>
      </c>
      <c r="GX42" s="159" t="s">
        <v>11</v>
      </c>
      <c r="GY42" s="115" t="s">
        <v>11</v>
      </c>
      <c r="GZ42" s="208" t="s">
        <v>11</v>
      </c>
      <c r="HA42" s="159" t="s">
        <v>11</v>
      </c>
      <c r="HB42" s="159" t="s">
        <v>11</v>
      </c>
      <c r="HC42" s="159" t="s">
        <v>11</v>
      </c>
      <c r="HD42" s="159" t="s">
        <v>11</v>
      </c>
      <c r="HE42" s="159" t="s">
        <v>11</v>
      </c>
      <c r="HF42" s="159" t="s">
        <v>11</v>
      </c>
      <c r="HG42" s="187" t="s">
        <v>11</v>
      </c>
      <c r="HH42" s="159" t="s">
        <v>11</v>
      </c>
      <c r="HI42" s="200" t="s">
        <v>11</v>
      </c>
      <c r="HJ42" s="115" t="s">
        <v>11</v>
      </c>
      <c r="HK42" s="115" t="s">
        <v>11</v>
      </c>
      <c r="HL42" s="159" t="s">
        <v>11</v>
      </c>
      <c r="HM42" s="115" t="s">
        <v>11</v>
      </c>
      <c r="HN42" s="159" t="s">
        <v>11</v>
      </c>
      <c r="HO42" s="159" t="s">
        <v>11</v>
      </c>
      <c r="HP42" s="159" t="s">
        <v>11</v>
      </c>
      <c r="HQ42" s="159" t="s">
        <v>11</v>
      </c>
      <c r="HR42" s="159" t="s">
        <v>11</v>
      </c>
      <c r="HS42" s="159" t="s">
        <v>11</v>
      </c>
      <c r="HT42" s="159" t="s">
        <v>11</v>
      </c>
      <c r="HU42" s="159" t="s">
        <v>11</v>
      </c>
      <c r="HV42" s="159" t="s">
        <v>11</v>
      </c>
      <c r="HW42" s="159" t="s">
        <v>11</v>
      </c>
      <c r="HX42" s="159" t="s">
        <v>11</v>
      </c>
      <c r="HY42" s="115" t="s">
        <v>11</v>
      </c>
      <c r="HZ42" s="159" t="s">
        <v>11</v>
      </c>
      <c r="IA42" s="159" t="s">
        <v>11</v>
      </c>
      <c r="IB42" s="159" t="s">
        <v>11</v>
      </c>
      <c r="IC42" s="115" t="s">
        <v>11</v>
      </c>
      <c r="ID42" s="159" t="s">
        <v>11</v>
      </c>
      <c r="IE42" s="159" t="s">
        <v>11</v>
      </c>
      <c r="IF42" s="183" t="s">
        <v>11</v>
      </c>
      <c r="IG42" s="185" t="s">
        <v>11</v>
      </c>
      <c r="IH42" s="185" t="s">
        <v>11</v>
      </c>
      <c r="II42" s="185" t="s">
        <v>11</v>
      </c>
      <c r="IJ42" s="185" t="s">
        <v>11</v>
      </c>
      <c r="IK42" s="183" t="s">
        <v>11</v>
      </c>
      <c r="IL42" s="183" t="s">
        <v>11</v>
      </c>
      <c r="IM42" s="159" t="s">
        <v>11</v>
      </c>
      <c r="IN42" s="159" t="s">
        <v>11</v>
      </c>
      <c r="IO42" s="159" t="s">
        <v>11</v>
      </c>
      <c r="IP42" s="159" t="s">
        <v>11</v>
      </c>
      <c r="IQ42" s="115" t="s">
        <v>11</v>
      </c>
      <c r="IR42" s="159" t="s">
        <v>11</v>
      </c>
      <c r="IS42" s="159" t="s">
        <v>11</v>
      </c>
      <c r="IT42" s="159" t="s">
        <v>11</v>
      </c>
      <c r="IU42" s="159" t="s">
        <v>11</v>
      </c>
      <c r="IV42" s="159" t="s">
        <v>11</v>
      </c>
      <c r="IW42" s="159" t="s">
        <v>11</v>
      </c>
      <c r="IX42" s="159"/>
      <c r="IY42" s="159" t="s">
        <v>11</v>
      </c>
      <c r="IZ42" s="159" t="s">
        <v>11</v>
      </c>
      <c r="JA42" s="159" t="s">
        <v>696</v>
      </c>
      <c r="JB42" s="159" t="s">
        <v>11</v>
      </c>
      <c r="JC42" s="159" t="s">
        <v>11</v>
      </c>
      <c r="JD42" s="159" t="s">
        <v>11</v>
      </c>
      <c r="JE42" s="159" t="s">
        <v>11</v>
      </c>
      <c r="JF42" s="159" t="s">
        <v>11</v>
      </c>
      <c r="JG42" s="159" t="s">
        <v>11</v>
      </c>
      <c r="JH42" s="159" t="s">
        <v>11</v>
      </c>
      <c r="JI42" s="159" t="s">
        <v>11</v>
      </c>
      <c r="JJ42" s="243" t="s">
        <v>11</v>
      </c>
      <c r="JK42" s="243" t="s">
        <v>11</v>
      </c>
      <c r="JL42" s="243" t="s">
        <v>11</v>
      </c>
      <c r="JM42" s="243" t="s">
        <v>11</v>
      </c>
      <c r="JN42" s="159" t="s">
        <v>11</v>
      </c>
      <c r="JO42" s="159" t="s">
        <v>11</v>
      </c>
      <c r="JP42" s="159" t="s">
        <v>11</v>
      </c>
      <c r="JQ42" s="159" t="s">
        <v>11</v>
      </c>
      <c r="JR42" s="159" t="s">
        <v>11</v>
      </c>
      <c r="JS42" s="159" t="s">
        <v>11</v>
      </c>
      <c r="JT42" s="159" t="s">
        <v>11</v>
      </c>
      <c r="JU42" s="159" t="s">
        <v>11</v>
      </c>
      <c r="JV42" s="159" t="s">
        <v>11</v>
      </c>
      <c r="JW42" s="159" t="s">
        <v>11</v>
      </c>
      <c r="JX42" s="159" t="s">
        <v>11</v>
      </c>
      <c r="JY42" s="159" t="s">
        <v>11</v>
      </c>
      <c r="JZ42" s="159" t="s">
        <v>11</v>
      </c>
      <c r="KA42" s="159" t="s">
        <v>11</v>
      </c>
      <c r="KB42" s="159" t="s">
        <v>11</v>
      </c>
      <c r="KC42" s="159" t="s">
        <v>11</v>
      </c>
      <c r="KD42" s="159" t="s">
        <v>11</v>
      </c>
      <c r="KE42" s="159" t="s">
        <v>11</v>
      </c>
      <c r="KF42" s="159" t="s">
        <v>11</v>
      </c>
      <c r="KG42" s="159" t="s">
        <v>11</v>
      </c>
      <c r="KH42" s="159" t="s">
        <v>11</v>
      </c>
      <c r="KI42" s="159" t="s">
        <v>11</v>
      </c>
      <c r="KJ42" s="159" t="s">
        <v>11</v>
      </c>
      <c r="KK42" s="159" t="s">
        <v>11</v>
      </c>
      <c r="KL42" s="159" t="s">
        <v>11</v>
      </c>
      <c r="KM42" s="159" t="s">
        <v>11</v>
      </c>
      <c r="KN42" s="187" t="s">
        <v>11</v>
      </c>
      <c r="KO42" s="159" t="s">
        <v>11</v>
      </c>
      <c r="KP42" s="159" t="s">
        <v>11</v>
      </c>
      <c r="KQ42" s="159" t="s">
        <v>11</v>
      </c>
      <c r="KR42" s="159" t="s">
        <v>11</v>
      </c>
      <c r="KS42" s="159" t="s">
        <v>11</v>
      </c>
      <c r="KT42" s="159" t="s">
        <v>11</v>
      </c>
      <c r="KU42" s="159" t="s">
        <v>11</v>
      </c>
      <c r="KV42" s="159" t="s">
        <v>11</v>
      </c>
      <c r="KW42" s="115" t="s">
        <v>11</v>
      </c>
      <c r="KX42" s="115" t="s">
        <v>11</v>
      </c>
      <c r="KY42" s="243" t="s">
        <v>11</v>
      </c>
      <c r="KZ42" s="243" t="s">
        <v>11</v>
      </c>
      <c r="LA42" s="187" t="s">
        <v>11</v>
      </c>
      <c r="LB42" s="115" t="s">
        <v>11</v>
      </c>
      <c r="LC42" s="115" t="s">
        <v>11</v>
      </c>
      <c r="LD42" s="115" t="s">
        <v>11</v>
      </c>
      <c r="LE42" s="115" t="s">
        <v>11</v>
      </c>
      <c r="LF42" s="115" t="s">
        <v>11</v>
      </c>
      <c r="LG42" s="115" t="s">
        <v>11</v>
      </c>
      <c r="LH42" s="115" t="s">
        <v>11</v>
      </c>
      <c r="LI42" s="115" t="s">
        <v>11</v>
      </c>
      <c r="LJ42" s="115" t="s">
        <v>11</v>
      </c>
      <c r="LK42" s="115" t="s">
        <v>11</v>
      </c>
      <c r="LL42" s="187" t="s">
        <v>11</v>
      </c>
      <c r="LM42" s="120" t="s">
        <v>11</v>
      </c>
      <c r="LN42" s="263" t="s">
        <v>11</v>
      </c>
      <c r="LO42" s="115" t="s">
        <v>11</v>
      </c>
      <c r="LP42" s="115" t="s">
        <v>11</v>
      </c>
      <c r="LQ42" s="263" t="s">
        <v>11</v>
      </c>
      <c r="LR42" s="115" t="s">
        <v>11</v>
      </c>
      <c r="LS42" s="115" t="s">
        <v>11</v>
      </c>
      <c r="LT42" s="115" t="s">
        <v>11</v>
      </c>
      <c r="LU42" s="115" t="s">
        <v>11</v>
      </c>
      <c r="LV42" s="286" t="s">
        <v>11</v>
      </c>
      <c r="LW42" s="115" t="s">
        <v>11</v>
      </c>
      <c r="LX42" s="115" t="s">
        <v>11</v>
      </c>
      <c r="LY42" s="115" t="s">
        <v>11</v>
      </c>
      <c r="LZ42" s="115" t="s">
        <v>11</v>
      </c>
      <c r="MA42" s="115" t="s">
        <v>11</v>
      </c>
      <c r="MB42" s="115" t="s">
        <v>11</v>
      </c>
      <c r="MC42" s="115" t="s">
        <v>11</v>
      </c>
      <c r="MD42" s="115" t="s">
        <v>11</v>
      </c>
    </row>
    <row r="43" spans="1:342" s="68" customFormat="1" ht="14.4" x14ac:dyDescent="0.3">
      <c r="A43" s="92">
        <v>40</v>
      </c>
      <c r="B43" s="311"/>
      <c r="C43" s="64" t="s">
        <v>480</v>
      </c>
      <c r="D43" s="69"/>
      <c r="E43" s="66" t="s">
        <v>11</v>
      </c>
      <c r="F43" s="66" t="s">
        <v>11</v>
      </c>
      <c r="G43" s="66" t="s">
        <v>11</v>
      </c>
      <c r="H43" s="66" t="s">
        <v>11</v>
      </c>
      <c r="I43" s="66" t="s">
        <v>11</v>
      </c>
      <c r="J43" s="66" t="s">
        <v>11</v>
      </c>
      <c r="K43" s="66" t="s">
        <v>11</v>
      </c>
      <c r="L43" s="66" t="s">
        <v>11</v>
      </c>
      <c r="M43" s="66" t="s">
        <v>11</v>
      </c>
      <c r="N43" s="66" t="s">
        <v>11</v>
      </c>
      <c r="O43" s="66" t="s">
        <v>11</v>
      </c>
      <c r="P43" s="66" t="s">
        <v>11</v>
      </c>
      <c r="Q43" s="66" t="s">
        <v>11</v>
      </c>
      <c r="R43" s="66" t="s">
        <v>11</v>
      </c>
      <c r="S43" s="66" t="s">
        <v>11</v>
      </c>
      <c r="T43" s="66" t="s">
        <v>11</v>
      </c>
      <c r="U43" s="66" t="s">
        <v>11</v>
      </c>
      <c r="V43" s="66" t="s">
        <v>11</v>
      </c>
      <c r="W43" s="66" t="s">
        <v>11</v>
      </c>
      <c r="X43" s="66" t="s">
        <v>11</v>
      </c>
      <c r="Y43" s="66" t="s">
        <v>11</v>
      </c>
      <c r="Z43" s="66" t="s">
        <v>11</v>
      </c>
      <c r="AA43" s="66" t="s">
        <v>11</v>
      </c>
      <c r="AB43" s="66" t="s">
        <v>11</v>
      </c>
      <c r="AC43" s="66" t="s">
        <v>11</v>
      </c>
      <c r="AD43" s="66" t="s">
        <v>11</v>
      </c>
      <c r="AE43" s="66" t="s">
        <v>11</v>
      </c>
      <c r="AF43" s="66" t="s">
        <v>11</v>
      </c>
      <c r="AG43" s="66" t="s">
        <v>11</v>
      </c>
      <c r="AH43" s="66" t="s">
        <v>11</v>
      </c>
      <c r="AI43" s="66" t="s">
        <v>11</v>
      </c>
      <c r="AJ43" s="66" t="s">
        <v>11</v>
      </c>
      <c r="AK43" s="66" t="s">
        <v>11</v>
      </c>
      <c r="AL43" s="66" t="s">
        <v>11</v>
      </c>
      <c r="AM43" s="66" t="s">
        <v>11</v>
      </c>
      <c r="AN43" s="66" t="s">
        <v>11</v>
      </c>
      <c r="AO43" s="66" t="s">
        <v>11</v>
      </c>
      <c r="AP43" s="66" t="s">
        <v>11</v>
      </c>
      <c r="AQ43" s="66" t="s">
        <v>11</v>
      </c>
      <c r="AR43" s="66" t="s">
        <v>11</v>
      </c>
      <c r="AS43" s="66" t="s">
        <v>11</v>
      </c>
      <c r="AT43" s="66" t="s">
        <v>11</v>
      </c>
      <c r="AU43" s="66" t="s">
        <v>11</v>
      </c>
      <c r="AV43" s="66" t="s">
        <v>11</v>
      </c>
      <c r="AW43" s="66" t="s">
        <v>11</v>
      </c>
      <c r="AX43" s="66" t="s">
        <v>11</v>
      </c>
      <c r="AY43" s="66" t="s">
        <v>11</v>
      </c>
      <c r="AZ43" s="66" t="s">
        <v>11</v>
      </c>
      <c r="BA43" s="66" t="s">
        <v>11</v>
      </c>
      <c r="BB43" s="66" t="s">
        <v>11</v>
      </c>
      <c r="BC43" s="66" t="s">
        <v>11</v>
      </c>
      <c r="BD43" s="66" t="s">
        <v>11</v>
      </c>
      <c r="BE43" s="66" t="s">
        <v>11</v>
      </c>
      <c r="BF43" s="66" t="s">
        <v>11</v>
      </c>
      <c r="BG43" s="66" t="s">
        <v>11</v>
      </c>
      <c r="BH43" s="66" t="s">
        <v>11</v>
      </c>
      <c r="BI43" s="66" t="s">
        <v>11</v>
      </c>
      <c r="BJ43" s="66" t="s">
        <v>11</v>
      </c>
      <c r="BK43" s="38" t="s">
        <v>11</v>
      </c>
      <c r="BL43" s="38" t="s">
        <v>11</v>
      </c>
      <c r="BM43" s="38" t="s">
        <v>11</v>
      </c>
      <c r="BN43" s="38" t="s">
        <v>11</v>
      </c>
      <c r="BO43" s="38" t="s">
        <v>11</v>
      </c>
      <c r="BP43" s="38" t="s">
        <v>11</v>
      </c>
      <c r="BQ43" s="38" t="s">
        <v>11</v>
      </c>
      <c r="BR43" s="117" t="s">
        <v>11</v>
      </c>
      <c r="BS43" s="105" t="s">
        <v>11</v>
      </c>
      <c r="BT43" s="105" t="s">
        <v>11</v>
      </c>
      <c r="BU43" s="115" t="s">
        <v>11</v>
      </c>
      <c r="BV43" s="159" t="s">
        <v>11</v>
      </c>
      <c r="BW43" s="159" t="s">
        <v>11</v>
      </c>
      <c r="BX43" s="115" t="s">
        <v>11</v>
      </c>
      <c r="BY43" s="115" t="s">
        <v>11</v>
      </c>
      <c r="BZ43" s="115">
        <v>3</v>
      </c>
      <c r="CA43" s="68" t="s">
        <v>11</v>
      </c>
      <c r="CB43" s="68" t="s">
        <v>11</v>
      </c>
      <c r="CC43" s="68" t="s">
        <v>11</v>
      </c>
      <c r="CD43" s="68" t="s">
        <v>11</v>
      </c>
      <c r="CE43" s="68" t="s">
        <v>11</v>
      </c>
      <c r="CF43" s="68" t="s">
        <v>11</v>
      </c>
      <c r="CG43" s="68" t="s">
        <v>11</v>
      </c>
      <c r="CH43" s="68" t="s">
        <v>11</v>
      </c>
      <c r="CI43" s="68" t="s">
        <v>11</v>
      </c>
      <c r="CJ43" s="68" t="s">
        <v>11</v>
      </c>
      <c r="CK43" s="68" t="s">
        <v>11</v>
      </c>
      <c r="CL43" s="68" t="s">
        <v>11</v>
      </c>
      <c r="CM43" s="68" t="s">
        <v>11</v>
      </c>
      <c r="CN43" s="68" t="s">
        <v>11</v>
      </c>
      <c r="CO43" s="68" t="s">
        <v>11</v>
      </c>
      <c r="CP43" s="68" t="s">
        <v>11</v>
      </c>
      <c r="CQ43" s="68" t="s">
        <v>11</v>
      </c>
      <c r="CR43" s="68" t="s">
        <v>11</v>
      </c>
      <c r="CS43" s="68" t="s">
        <v>11</v>
      </c>
      <c r="CT43" s="68" t="s">
        <v>11</v>
      </c>
      <c r="CU43" s="68" t="s">
        <v>11</v>
      </c>
      <c r="CV43" s="68" t="s">
        <v>11</v>
      </c>
      <c r="CW43" s="68" t="s">
        <v>11</v>
      </c>
      <c r="CX43" s="68" t="s">
        <v>11</v>
      </c>
      <c r="CY43" s="68" t="s">
        <v>11</v>
      </c>
      <c r="CZ43" s="68" t="s">
        <v>11</v>
      </c>
      <c r="DA43" s="68" t="s">
        <v>11</v>
      </c>
      <c r="DB43" s="68" t="s">
        <v>11</v>
      </c>
      <c r="DC43" s="68" t="s">
        <v>11</v>
      </c>
      <c r="DD43" s="68" t="s">
        <v>11</v>
      </c>
      <c r="DE43" s="68" t="s">
        <v>11</v>
      </c>
      <c r="DF43" s="68" t="s">
        <v>11</v>
      </c>
      <c r="DG43" s="68" t="s">
        <v>11</v>
      </c>
      <c r="DH43" s="68" t="s">
        <v>11</v>
      </c>
      <c r="DI43" s="68" t="s">
        <v>11</v>
      </c>
      <c r="DJ43" s="68" t="s">
        <v>11</v>
      </c>
      <c r="DK43" s="68" t="s">
        <v>11</v>
      </c>
      <c r="DL43" s="68" t="s">
        <v>11</v>
      </c>
      <c r="DM43" s="68" t="s">
        <v>11</v>
      </c>
      <c r="DN43" s="68" t="s">
        <v>11</v>
      </c>
      <c r="DO43" s="68" t="s">
        <v>11</v>
      </c>
      <c r="DP43" s="68" t="s">
        <v>11</v>
      </c>
      <c r="DQ43" s="68" t="s">
        <v>11</v>
      </c>
      <c r="DR43" s="68" t="s">
        <v>11</v>
      </c>
      <c r="DS43" s="68" t="s">
        <v>11</v>
      </c>
      <c r="DT43" s="68" t="s">
        <v>11</v>
      </c>
      <c r="DU43" s="68" t="s">
        <v>11</v>
      </c>
      <c r="DV43" s="68" t="s">
        <v>11</v>
      </c>
      <c r="DW43" s="159" t="s">
        <v>11</v>
      </c>
      <c r="DX43" s="159" t="s">
        <v>11</v>
      </c>
      <c r="DY43" s="159" t="s">
        <v>11</v>
      </c>
      <c r="DZ43" s="159" t="s">
        <v>11</v>
      </c>
      <c r="EA43" s="159" t="s">
        <v>11</v>
      </c>
      <c r="EB43" s="159" t="s">
        <v>11</v>
      </c>
      <c r="EC43" s="159" t="s">
        <v>11</v>
      </c>
      <c r="ED43" s="159" t="s">
        <v>11</v>
      </c>
      <c r="EE43" s="159" t="s">
        <v>11</v>
      </c>
      <c r="EF43" s="159" t="s">
        <v>11</v>
      </c>
      <c r="EG43" s="159" t="s">
        <v>11</v>
      </c>
      <c r="EH43" s="159" t="s">
        <v>11</v>
      </c>
      <c r="EI43" s="187" t="s">
        <v>11</v>
      </c>
      <c r="EJ43" s="115" t="s">
        <v>11</v>
      </c>
      <c r="EK43" s="187" t="s">
        <v>11</v>
      </c>
      <c r="EL43" s="115" t="s">
        <v>11</v>
      </c>
      <c r="EM43" s="187" t="s">
        <v>11</v>
      </c>
      <c r="EN43" s="159" t="s">
        <v>11</v>
      </c>
      <c r="EO43" s="159" t="s">
        <v>11</v>
      </c>
      <c r="EP43" s="159" t="s">
        <v>11</v>
      </c>
      <c r="EQ43" s="159" t="s">
        <v>11</v>
      </c>
      <c r="ER43" s="115" t="s">
        <v>11</v>
      </c>
      <c r="ES43" s="159" t="s">
        <v>11</v>
      </c>
      <c r="ET43" s="159" t="s">
        <v>11</v>
      </c>
      <c r="EU43" s="159" t="s">
        <v>11</v>
      </c>
      <c r="EV43" s="159" t="s">
        <v>11</v>
      </c>
      <c r="EW43" s="159" t="s">
        <v>11</v>
      </c>
      <c r="EX43" s="115" t="s">
        <v>11</v>
      </c>
      <c r="EY43" s="115" t="s">
        <v>11</v>
      </c>
      <c r="EZ43" s="115" t="s">
        <v>11</v>
      </c>
      <c r="FA43" s="68" t="s">
        <v>11</v>
      </c>
      <c r="FB43" s="68" t="s">
        <v>11</v>
      </c>
      <c r="FC43" s="68" t="s">
        <v>11</v>
      </c>
      <c r="FD43" s="68" t="s">
        <v>11</v>
      </c>
      <c r="FE43" s="68" t="s">
        <v>11</v>
      </c>
      <c r="FF43" s="68" t="s">
        <v>11</v>
      </c>
      <c r="FG43" s="68" t="s">
        <v>11</v>
      </c>
      <c r="FH43" s="68" t="s">
        <v>11</v>
      </c>
      <c r="FI43" s="68" t="s">
        <v>11</v>
      </c>
      <c r="FJ43" s="68" t="s">
        <v>11</v>
      </c>
      <c r="FK43" s="68" t="s">
        <v>11</v>
      </c>
      <c r="FL43" s="68" t="s">
        <v>11</v>
      </c>
      <c r="FM43" s="120" t="s">
        <v>11</v>
      </c>
      <c r="FN43" s="187" t="s">
        <v>11</v>
      </c>
      <c r="FO43" s="187" t="s">
        <v>11</v>
      </c>
      <c r="FP43" s="187" t="s">
        <v>11</v>
      </c>
      <c r="FQ43" s="187" t="s">
        <v>11</v>
      </c>
      <c r="FR43" s="115" t="s">
        <v>11</v>
      </c>
      <c r="FS43" s="187" t="s">
        <v>11</v>
      </c>
      <c r="FT43" s="187" t="s">
        <v>11</v>
      </c>
      <c r="FU43" s="187" t="s">
        <v>11</v>
      </c>
      <c r="FV43" s="159" t="s">
        <v>11</v>
      </c>
      <c r="FW43" s="159" t="s">
        <v>11</v>
      </c>
      <c r="FX43" s="159" t="s">
        <v>11</v>
      </c>
      <c r="FY43" s="115" t="s">
        <v>11</v>
      </c>
      <c r="FZ43" s="159" t="s">
        <v>11</v>
      </c>
      <c r="GA43" s="159" t="s">
        <v>11</v>
      </c>
      <c r="GB43" s="115" t="s">
        <v>11</v>
      </c>
      <c r="GC43" s="115" t="s">
        <v>11</v>
      </c>
      <c r="GD43" s="187" t="s">
        <v>11</v>
      </c>
      <c r="GE43" s="159" t="s">
        <v>11</v>
      </c>
      <c r="GF43" s="159" t="s">
        <v>11</v>
      </c>
      <c r="GG43" s="208" t="s">
        <v>11</v>
      </c>
      <c r="GH43" s="159" t="s">
        <v>11</v>
      </c>
      <c r="GI43" s="159" t="s">
        <v>11</v>
      </c>
      <c r="GJ43" s="159" t="s">
        <v>11</v>
      </c>
      <c r="GK43" s="159" t="s">
        <v>11</v>
      </c>
      <c r="GL43" s="115" t="s">
        <v>11</v>
      </c>
      <c r="GM43" s="115" t="s">
        <v>11</v>
      </c>
      <c r="GN43" s="159" t="s">
        <v>11</v>
      </c>
      <c r="GO43" s="159" t="s">
        <v>11</v>
      </c>
      <c r="GP43" s="115" t="s">
        <v>11</v>
      </c>
      <c r="GQ43" s="208" t="s">
        <v>11</v>
      </c>
      <c r="GR43" s="115" t="s">
        <v>11</v>
      </c>
      <c r="GS43" s="159" t="s">
        <v>11</v>
      </c>
      <c r="GT43" s="159" t="s">
        <v>11</v>
      </c>
      <c r="GU43" s="159" t="s">
        <v>11</v>
      </c>
      <c r="GV43" s="159" t="s">
        <v>11</v>
      </c>
      <c r="GW43" s="159" t="s">
        <v>11</v>
      </c>
      <c r="GX43" s="159" t="s">
        <v>11</v>
      </c>
      <c r="GY43" s="115" t="s">
        <v>11</v>
      </c>
      <c r="GZ43" s="208" t="s">
        <v>11</v>
      </c>
      <c r="HA43" s="159" t="s">
        <v>11</v>
      </c>
      <c r="HB43" s="159" t="s">
        <v>11</v>
      </c>
      <c r="HC43" s="159" t="s">
        <v>11</v>
      </c>
      <c r="HD43" s="159" t="s">
        <v>11</v>
      </c>
      <c r="HE43" s="159" t="s">
        <v>11</v>
      </c>
      <c r="HF43" s="159" t="s">
        <v>11</v>
      </c>
      <c r="HG43" s="187" t="s">
        <v>11</v>
      </c>
      <c r="HH43" s="159" t="s">
        <v>11</v>
      </c>
      <c r="HI43" s="200" t="s">
        <v>11</v>
      </c>
      <c r="HJ43" s="115" t="s">
        <v>11</v>
      </c>
      <c r="HK43" s="115" t="s">
        <v>11</v>
      </c>
      <c r="HL43" s="159" t="s">
        <v>11</v>
      </c>
      <c r="HM43" s="115" t="s">
        <v>11</v>
      </c>
      <c r="HN43" s="159" t="s">
        <v>11</v>
      </c>
      <c r="HO43" s="159" t="s">
        <v>11</v>
      </c>
      <c r="HP43" s="159" t="s">
        <v>11</v>
      </c>
      <c r="HQ43" s="159" t="s">
        <v>11</v>
      </c>
      <c r="HR43" s="159" t="s">
        <v>11</v>
      </c>
      <c r="HS43" s="159" t="s">
        <v>11</v>
      </c>
      <c r="HT43" s="159" t="s">
        <v>11</v>
      </c>
      <c r="HU43" s="159" t="s">
        <v>11</v>
      </c>
      <c r="HV43" s="159" t="s">
        <v>11</v>
      </c>
      <c r="HW43" s="159" t="s">
        <v>11</v>
      </c>
      <c r="HX43" s="159" t="s">
        <v>11</v>
      </c>
      <c r="HY43" s="115" t="s">
        <v>11</v>
      </c>
      <c r="HZ43" s="159" t="s">
        <v>11</v>
      </c>
      <c r="IA43" s="159" t="s">
        <v>11</v>
      </c>
      <c r="IB43" s="159" t="s">
        <v>11</v>
      </c>
      <c r="IC43" s="115" t="s">
        <v>11</v>
      </c>
      <c r="ID43" s="159" t="s">
        <v>11</v>
      </c>
      <c r="IE43" s="159" t="s">
        <v>11</v>
      </c>
      <c r="IF43" s="183" t="s">
        <v>11</v>
      </c>
      <c r="IG43" s="185" t="s">
        <v>11</v>
      </c>
      <c r="IH43" s="185" t="s">
        <v>11</v>
      </c>
      <c r="II43" s="185" t="s">
        <v>11</v>
      </c>
      <c r="IJ43" s="185" t="s">
        <v>11</v>
      </c>
      <c r="IK43" s="183" t="s">
        <v>11</v>
      </c>
      <c r="IL43" s="183" t="s">
        <v>11</v>
      </c>
      <c r="IM43" s="159" t="s">
        <v>11</v>
      </c>
      <c r="IN43" s="159" t="s">
        <v>11</v>
      </c>
      <c r="IO43" s="159" t="s">
        <v>11</v>
      </c>
      <c r="IP43" s="159" t="s">
        <v>11</v>
      </c>
      <c r="IQ43" s="115" t="s">
        <v>11</v>
      </c>
      <c r="IR43" s="159" t="s">
        <v>11</v>
      </c>
      <c r="IS43" s="159" t="s">
        <v>11</v>
      </c>
      <c r="IT43" s="159" t="s">
        <v>11</v>
      </c>
      <c r="IU43" s="159" t="s">
        <v>11</v>
      </c>
      <c r="IV43" s="159" t="s">
        <v>11</v>
      </c>
      <c r="IW43" s="159" t="s">
        <v>11</v>
      </c>
      <c r="IX43" s="159"/>
      <c r="IY43" s="159" t="s">
        <v>11</v>
      </c>
      <c r="IZ43" s="159" t="s">
        <v>11</v>
      </c>
      <c r="JA43" s="159">
        <v>7</v>
      </c>
      <c r="JB43" s="159" t="s">
        <v>11</v>
      </c>
      <c r="JC43" s="159" t="s">
        <v>11</v>
      </c>
      <c r="JD43" s="159" t="s">
        <v>11</v>
      </c>
      <c r="JE43" s="159" t="s">
        <v>11</v>
      </c>
      <c r="JF43" s="159" t="s">
        <v>11</v>
      </c>
      <c r="JG43" s="159" t="s">
        <v>11</v>
      </c>
      <c r="JH43" s="159" t="s">
        <v>11</v>
      </c>
      <c r="JI43" s="159" t="s">
        <v>11</v>
      </c>
      <c r="JJ43" s="243" t="s">
        <v>11</v>
      </c>
      <c r="JK43" s="243" t="s">
        <v>11</v>
      </c>
      <c r="JL43" s="243" t="s">
        <v>11</v>
      </c>
      <c r="JM43" s="243" t="s">
        <v>11</v>
      </c>
      <c r="JN43" s="159" t="s">
        <v>11</v>
      </c>
      <c r="JO43" s="159" t="s">
        <v>11</v>
      </c>
      <c r="JP43" s="159" t="s">
        <v>11</v>
      </c>
      <c r="JQ43" s="159" t="s">
        <v>11</v>
      </c>
      <c r="JR43" s="159" t="s">
        <v>11</v>
      </c>
      <c r="JS43" s="159" t="s">
        <v>11</v>
      </c>
      <c r="JT43" s="159" t="s">
        <v>11</v>
      </c>
      <c r="JU43" s="159" t="s">
        <v>11</v>
      </c>
      <c r="JV43" s="159" t="s">
        <v>11</v>
      </c>
      <c r="JW43" s="159" t="s">
        <v>11</v>
      </c>
      <c r="JX43" s="159" t="s">
        <v>11</v>
      </c>
      <c r="JY43" s="159" t="s">
        <v>11</v>
      </c>
      <c r="JZ43" s="159" t="s">
        <v>11</v>
      </c>
      <c r="KA43" s="159" t="s">
        <v>11</v>
      </c>
      <c r="KB43" s="159" t="s">
        <v>11</v>
      </c>
      <c r="KC43" s="159" t="s">
        <v>11</v>
      </c>
      <c r="KD43" s="159" t="s">
        <v>11</v>
      </c>
      <c r="KE43" s="159" t="s">
        <v>11</v>
      </c>
      <c r="KF43" s="159" t="s">
        <v>11</v>
      </c>
      <c r="KG43" s="159" t="s">
        <v>11</v>
      </c>
      <c r="KH43" s="159" t="s">
        <v>11</v>
      </c>
      <c r="KI43" s="159" t="s">
        <v>11</v>
      </c>
      <c r="KJ43" s="159" t="s">
        <v>11</v>
      </c>
      <c r="KK43" s="159" t="s">
        <v>11</v>
      </c>
      <c r="KL43" s="159" t="s">
        <v>11</v>
      </c>
      <c r="KM43" s="159" t="s">
        <v>11</v>
      </c>
      <c r="KN43" s="187" t="s">
        <v>11</v>
      </c>
      <c r="KO43" s="159" t="s">
        <v>11</v>
      </c>
      <c r="KP43" s="159" t="s">
        <v>11</v>
      </c>
      <c r="KQ43" s="159" t="s">
        <v>11</v>
      </c>
      <c r="KR43" s="159" t="s">
        <v>11</v>
      </c>
      <c r="KS43" s="159" t="s">
        <v>11</v>
      </c>
      <c r="KT43" s="159" t="s">
        <v>11</v>
      </c>
      <c r="KU43" s="159" t="s">
        <v>11</v>
      </c>
      <c r="KV43" s="159" t="s">
        <v>11</v>
      </c>
      <c r="KW43" s="115" t="s">
        <v>11</v>
      </c>
      <c r="KX43" s="115" t="s">
        <v>11</v>
      </c>
      <c r="KY43" s="243" t="s">
        <v>11</v>
      </c>
      <c r="KZ43" s="243" t="s">
        <v>11</v>
      </c>
      <c r="LA43" s="187" t="s">
        <v>11</v>
      </c>
      <c r="LB43" s="115" t="s">
        <v>11</v>
      </c>
      <c r="LC43" s="115" t="s">
        <v>11</v>
      </c>
      <c r="LD43" s="115" t="s">
        <v>11</v>
      </c>
      <c r="LE43" s="115" t="s">
        <v>11</v>
      </c>
      <c r="LF43" s="115" t="s">
        <v>11</v>
      </c>
      <c r="LG43" s="115" t="s">
        <v>11</v>
      </c>
      <c r="LH43" s="115" t="s">
        <v>11</v>
      </c>
      <c r="LI43" s="115" t="s">
        <v>11</v>
      </c>
      <c r="LJ43" s="115" t="s">
        <v>11</v>
      </c>
      <c r="LK43" s="115" t="s">
        <v>11</v>
      </c>
      <c r="LL43" s="187" t="s">
        <v>11</v>
      </c>
      <c r="LM43" s="120" t="s">
        <v>11</v>
      </c>
      <c r="LN43" s="263" t="s">
        <v>11</v>
      </c>
      <c r="LO43" s="115" t="s">
        <v>11</v>
      </c>
      <c r="LP43" s="115" t="s">
        <v>11</v>
      </c>
      <c r="LQ43" s="263" t="s">
        <v>11</v>
      </c>
      <c r="LR43" s="115" t="s">
        <v>11</v>
      </c>
      <c r="LS43" s="115" t="s">
        <v>11</v>
      </c>
      <c r="LT43" s="115" t="s">
        <v>11</v>
      </c>
      <c r="LU43" s="115" t="s">
        <v>11</v>
      </c>
      <c r="LV43" s="286" t="s">
        <v>11</v>
      </c>
      <c r="LW43" s="115" t="s">
        <v>11</v>
      </c>
      <c r="LX43" s="115" t="s">
        <v>11</v>
      </c>
      <c r="LY43" s="115" t="s">
        <v>11</v>
      </c>
      <c r="LZ43" s="115" t="s">
        <v>11</v>
      </c>
      <c r="MA43" s="115" t="s">
        <v>11</v>
      </c>
      <c r="MB43" s="115" t="s">
        <v>11</v>
      </c>
      <c r="MC43" s="115" t="s">
        <v>11</v>
      </c>
      <c r="MD43" s="115" t="s">
        <v>11</v>
      </c>
    </row>
    <row r="44" spans="1:342" s="68" customFormat="1" ht="14.4" x14ac:dyDescent="0.3">
      <c r="A44" s="92">
        <v>41</v>
      </c>
      <c r="B44" s="311"/>
      <c r="C44" s="64" t="s">
        <v>481</v>
      </c>
      <c r="D44" s="69"/>
      <c r="E44" s="66" t="s">
        <v>11</v>
      </c>
      <c r="F44" s="66" t="s">
        <v>11</v>
      </c>
      <c r="G44" s="66" t="s">
        <v>11</v>
      </c>
      <c r="H44" s="66" t="s">
        <v>11</v>
      </c>
      <c r="I44" s="66" t="s">
        <v>11</v>
      </c>
      <c r="J44" s="66" t="s">
        <v>11</v>
      </c>
      <c r="K44" s="66" t="s">
        <v>11</v>
      </c>
      <c r="L44" s="66" t="s">
        <v>11</v>
      </c>
      <c r="M44" s="66" t="s">
        <v>11</v>
      </c>
      <c r="N44" s="66" t="s">
        <v>11</v>
      </c>
      <c r="O44" s="66" t="s">
        <v>11</v>
      </c>
      <c r="P44" s="66" t="s">
        <v>11</v>
      </c>
      <c r="Q44" s="66" t="s">
        <v>11</v>
      </c>
      <c r="R44" s="66" t="s">
        <v>11</v>
      </c>
      <c r="S44" s="66" t="s">
        <v>11</v>
      </c>
      <c r="T44" s="66" t="s">
        <v>11</v>
      </c>
      <c r="U44" s="66" t="s">
        <v>11</v>
      </c>
      <c r="V44" s="66" t="s">
        <v>11</v>
      </c>
      <c r="W44" s="66" t="s">
        <v>11</v>
      </c>
      <c r="X44" s="66" t="s">
        <v>11</v>
      </c>
      <c r="Y44" s="66" t="s">
        <v>11</v>
      </c>
      <c r="Z44" s="66" t="s">
        <v>11</v>
      </c>
      <c r="AA44" s="66" t="s">
        <v>11</v>
      </c>
      <c r="AB44" s="66" t="s">
        <v>11</v>
      </c>
      <c r="AC44" s="66" t="s">
        <v>11</v>
      </c>
      <c r="AD44" s="66" t="s">
        <v>11</v>
      </c>
      <c r="AE44" s="66" t="s">
        <v>11</v>
      </c>
      <c r="AF44" s="66" t="s">
        <v>11</v>
      </c>
      <c r="AG44" s="66" t="s">
        <v>11</v>
      </c>
      <c r="AH44" s="66" t="s">
        <v>11</v>
      </c>
      <c r="AI44" s="66" t="s">
        <v>11</v>
      </c>
      <c r="AJ44" s="66" t="s">
        <v>11</v>
      </c>
      <c r="AK44" s="66" t="s">
        <v>11</v>
      </c>
      <c r="AL44" s="66" t="s">
        <v>11</v>
      </c>
      <c r="AM44" s="66" t="s">
        <v>11</v>
      </c>
      <c r="AN44" s="66" t="s">
        <v>11</v>
      </c>
      <c r="AO44" s="66" t="s">
        <v>11</v>
      </c>
      <c r="AP44" s="66" t="s">
        <v>11</v>
      </c>
      <c r="AQ44" s="66" t="s">
        <v>11</v>
      </c>
      <c r="AR44" s="66" t="s">
        <v>11</v>
      </c>
      <c r="AS44" s="66" t="s">
        <v>11</v>
      </c>
      <c r="AT44" s="66" t="s">
        <v>11</v>
      </c>
      <c r="AU44" s="66" t="s">
        <v>11</v>
      </c>
      <c r="AV44" s="66" t="s">
        <v>11</v>
      </c>
      <c r="AW44" s="66" t="s">
        <v>11</v>
      </c>
      <c r="AX44" s="66" t="s">
        <v>11</v>
      </c>
      <c r="AY44" s="66" t="s">
        <v>11</v>
      </c>
      <c r="AZ44" s="66" t="s">
        <v>11</v>
      </c>
      <c r="BA44" s="66" t="s">
        <v>11</v>
      </c>
      <c r="BB44" s="66" t="s">
        <v>11</v>
      </c>
      <c r="BC44" s="66" t="s">
        <v>11</v>
      </c>
      <c r="BD44" s="66" t="s">
        <v>11</v>
      </c>
      <c r="BE44" s="66" t="s">
        <v>11</v>
      </c>
      <c r="BF44" s="66" t="s">
        <v>11</v>
      </c>
      <c r="BG44" s="66" t="s">
        <v>11</v>
      </c>
      <c r="BH44" s="66" t="s">
        <v>11</v>
      </c>
      <c r="BI44" s="66" t="s">
        <v>11</v>
      </c>
      <c r="BJ44" s="66" t="s">
        <v>11</v>
      </c>
      <c r="BK44" s="38" t="s">
        <v>11</v>
      </c>
      <c r="BL44" s="38" t="s">
        <v>11</v>
      </c>
      <c r="BM44" s="38" t="s">
        <v>11</v>
      </c>
      <c r="BN44" s="38" t="s">
        <v>11</v>
      </c>
      <c r="BO44" s="38" t="s">
        <v>11</v>
      </c>
      <c r="BP44" s="38" t="s">
        <v>11</v>
      </c>
      <c r="BQ44" s="38" t="s">
        <v>11</v>
      </c>
      <c r="BR44" s="117" t="s">
        <v>11</v>
      </c>
      <c r="BS44" s="105" t="s">
        <v>11</v>
      </c>
      <c r="BT44" s="105" t="s">
        <v>11</v>
      </c>
      <c r="BU44" s="115" t="s">
        <v>11</v>
      </c>
      <c r="BV44" s="159" t="s">
        <v>11</v>
      </c>
      <c r="BW44" s="159" t="s">
        <v>11</v>
      </c>
      <c r="BX44" s="115" t="s">
        <v>11</v>
      </c>
      <c r="BY44" s="115" t="s">
        <v>11</v>
      </c>
      <c r="BZ44" s="115" t="s">
        <v>11</v>
      </c>
      <c r="CA44" s="68" t="s">
        <v>11</v>
      </c>
      <c r="CB44" s="68" t="s">
        <v>11</v>
      </c>
      <c r="CC44" s="68" t="s">
        <v>11</v>
      </c>
      <c r="CD44" s="68" t="s">
        <v>11</v>
      </c>
      <c r="CE44" s="68" t="s">
        <v>11</v>
      </c>
      <c r="CF44" s="68" t="s">
        <v>11</v>
      </c>
      <c r="CG44" s="68" t="s">
        <v>11</v>
      </c>
      <c r="CH44" s="68" t="s">
        <v>11</v>
      </c>
      <c r="CI44" s="68" t="s">
        <v>11</v>
      </c>
      <c r="CJ44" s="68" t="s">
        <v>11</v>
      </c>
      <c r="CK44" s="68" t="s">
        <v>11</v>
      </c>
      <c r="CL44" s="68" t="s">
        <v>11</v>
      </c>
      <c r="CM44" s="68" t="s">
        <v>11</v>
      </c>
      <c r="CN44" s="68" t="s">
        <v>11</v>
      </c>
      <c r="CO44" s="68" t="s">
        <v>11</v>
      </c>
      <c r="CP44" s="68" t="s">
        <v>11</v>
      </c>
      <c r="CQ44" s="68" t="s">
        <v>11</v>
      </c>
      <c r="CR44" s="68" t="s">
        <v>11</v>
      </c>
      <c r="CS44" s="68" t="s">
        <v>11</v>
      </c>
      <c r="CT44" s="68" t="s">
        <v>11</v>
      </c>
      <c r="CU44" s="68" t="s">
        <v>11</v>
      </c>
      <c r="CV44" s="68" t="s">
        <v>11</v>
      </c>
      <c r="CW44" s="68" t="s">
        <v>11</v>
      </c>
      <c r="CX44" s="68" t="s">
        <v>11</v>
      </c>
      <c r="CY44" s="68" t="s">
        <v>11</v>
      </c>
      <c r="CZ44" s="68" t="s">
        <v>11</v>
      </c>
      <c r="DA44" s="68" t="s">
        <v>11</v>
      </c>
      <c r="DB44" s="68" t="s">
        <v>11</v>
      </c>
      <c r="DC44" s="68" t="s">
        <v>11</v>
      </c>
      <c r="DD44" s="68" t="s">
        <v>11</v>
      </c>
      <c r="DE44" s="68" t="s">
        <v>11</v>
      </c>
      <c r="DF44" s="68" t="s">
        <v>11</v>
      </c>
      <c r="DG44" s="68" t="s">
        <v>11</v>
      </c>
      <c r="DH44" s="68" t="s">
        <v>11</v>
      </c>
      <c r="DI44" s="68" t="s">
        <v>11</v>
      </c>
      <c r="DJ44" s="68" t="s">
        <v>11</v>
      </c>
      <c r="DK44" s="68" t="s">
        <v>11</v>
      </c>
      <c r="DL44" s="68" t="s">
        <v>11</v>
      </c>
      <c r="DM44" s="68" t="s">
        <v>11</v>
      </c>
      <c r="DN44" s="68" t="s">
        <v>11</v>
      </c>
      <c r="DO44" s="68" t="s">
        <v>11</v>
      </c>
      <c r="DP44" s="68" t="s">
        <v>11</v>
      </c>
      <c r="DQ44" s="68" t="s">
        <v>11</v>
      </c>
      <c r="DR44" s="68" t="s">
        <v>11</v>
      </c>
      <c r="DS44" s="68" t="s">
        <v>11</v>
      </c>
      <c r="DT44" s="68" t="s">
        <v>11</v>
      </c>
      <c r="DU44" s="68" t="s">
        <v>11</v>
      </c>
      <c r="DV44" s="68" t="s">
        <v>11</v>
      </c>
      <c r="DW44" s="159" t="s">
        <v>11</v>
      </c>
      <c r="DX44" s="159" t="s">
        <v>11</v>
      </c>
      <c r="DY44" s="159" t="s">
        <v>11</v>
      </c>
      <c r="DZ44" s="159" t="s">
        <v>11</v>
      </c>
      <c r="EA44" s="159" t="s">
        <v>11</v>
      </c>
      <c r="EB44" s="159" t="s">
        <v>11</v>
      </c>
      <c r="EC44" s="159" t="s">
        <v>11</v>
      </c>
      <c r="ED44" s="159" t="s">
        <v>11</v>
      </c>
      <c r="EE44" s="159" t="s">
        <v>11</v>
      </c>
      <c r="EF44" s="159" t="s">
        <v>11</v>
      </c>
      <c r="EG44" s="159" t="s">
        <v>11</v>
      </c>
      <c r="EH44" s="159" t="s">
        <v>11</v>
      </c>
      <c r="EI44" s="187" t="s">
        <v>11</v>
      </c>
      <c r="EJ44" s="115" t="s">
        <v>11</v>
      </c>
      <c r="EK44" s="187" t="s">
        <v>11</v>
      </c>
      <c r="EL44" s="115" t="s">
        <v>11</v>
      </c>
      <c r="EM44" s="187" t="s">
        <v>11</v>
      </c>
      <c r="EN44" s="159" t="s">
        <v>11</v>
      </c>
      <c r="EO44" s="159" t="s">
        <v>11</v>
      </c>
      <c r="EP44" s="159" t="s">
        <v>11</v>
      </c>
      <c r="EQ44" s="159" t="s">
        <v>11</v>
      </c>
      <c r="ER44" s="115" t="s">
        <v>11</v>
      </c>
      <c r="ES44" s="159" t="s">
        <v>11</v>
      </c>
      <c r="ET44" s="159" t="s">
        <v>11</v>
      </c>
      <c r="EU44" s="159" t="s">
        <v>11</v>
      </c>
      <c r="EV44" s="159" t="s">
        <v>11</v>
      </c>
      <c r="EW44" s="159" t="s">
        <v>11</v>
      </c>
      <c r="EX44" s="115" t="s">
        <v>11</v>
      </c>
      <c r="EY44" s="115" t="s">
        <v>11</v>
      </c>
      <c r="EZ44" s="115" t="s">
        <v>11</v>
      </c>
      <c r="FA44" s="68" t="s">
        <v>11</v>
      </c>
      <c r="FB44" s="68" t="s">
        <v>11</v>
      </c>
      <c r="FC44" s="68" t="s">
        <v>11</v>
      </c>
      <c r="FD44" s="68" t="s">
        <v>11</v>
      </c>
      <c r="FE44" s="68" t="s">
        <v>11</v>
      </c>
      <c r="FF44" s="68" t="s">
        <v>11</v>
      </c>
      <c r="FG44" s="68" t="s">
        <v>11</v>
      </c>
      <c r="FH44" s="68" t="s">
        <v>11</v>
      </c>
      <c r="FI44" s="68" t="s">
        <v>11</v>
      </c>
      <c r="FJ44" s="68" t="s">
        <v>11</v>
      </c>
      <c r="FK44" s="68" t="s">
        <v>11</v>
      </c>
      <c r="FL44" s="68" t="s">
        <v>11</v>
      </c>
      <c r="FM44" s="120" t="s">
        <v>11</v>
      </c>
      <c r="FN44" s="187" t="s">
        <v>11</v>
      </c>
      <c r="FO44" s="187" t="s">
        <v>11</v>
      </c>
      <c r="FP44" s="187" t="s">
        <v>11</v>
      </c>
      <c r="FQ44" s="187" t="s">
        <v>11</v>
      </c>
      <c r="FR44" s="115" t="s">
        <v>11</v>
      </c>
      <c r="FS44" s="187" t="s">
        <v>11</v>
      </c>
      <c r="FT44" s="187" t="s">
        <v>11</v>
      </c>
      <c r="FU44" s="187" t="s">
        <v>11</v>
      </c>
      <c r="FV44" s="159" t="s">
        <v>11</v>
      </c>
      <c r="FW44" s="159" t="s">
        <v>11</v>
      </c>
      <c r="FX44" s="159" t="s">
        <v>11</v>
      </c>
      <c r="FY44" s="115" t="s">
        <v>11</v>
      </c>
      <c r="FZ44" s="159" t="s">
        <v>11</v>
      </c>
      <c r="GA44" s="159" t="s">
        <v>11</v>
      </c>
      <c r="GB44" s="115" t="s">
        <v>11</v>
      </c>
      <c r="GC44" s="115" t="s">
        <v>11</v>
      </c>
      <c r="GD44" s="187" t="s">
        <v>11</v>
      </c>
      <c r="GE44" s="159" t="s">
        <v>11</v>
      </c>
      <c r="GF44" s="159" t="s">
        <v>11</v>
      </c>
      <c r="GG44" s="208" t="s">
        <v>11</v>
      </c>
      <c r="GH44" s="159" t="s">
        <v>11</v>
      </c>
      <c r="GI44" s="159" t="s">
        <v>11</v>
      </c>
      <c r="GJ44" s="159" t="s">
        <v>11</v>
      </c>
      <c r="GK44" s="159" t="s">
        <v>11</v>
      </c>
      <c r="GL44" s="115" t="s">
        <v>11</v>
      </c>
      <c r="GM44" s="115" t="s">
        <v>11</v>
      </c>
      <c r="GN44" s="159" t="s">
        <v>11</v>
      </c>
      <c r="GO44" s="159" t="s">
        <v>11</v>
      </c>
      <c r="GP44" s="115" t="s">
        <v>11</v>
      </c>
      <c r="GQ44" s="208" t="s">
        <v>11</v>
      </c>
      <c r="GR44" s="115" t="s">
        <v>11</v>
      </c>
      <c r="GS44" s="159" t="s">
        <v>11</v>
      </c>
      <c r="GT44" s="159" t="s">
        <v>11</v>
      </c>
      <c r="GU44" s="159" t="s">
        <v>11</v>
      </c>
      <c r="GV44" s="159" t="s">
        <v>11</v>
      </c>
      <c r="GW44" s="159" t="s">
        <v>11</v>
      </c>
      <c r="GX44" s="159" t="s">
        <v>11</v>
      </c>
      <c r="GY44" s="115" t="s">
        <v>11</v>
      </c>
      <c r="GZ44" s="208" t="s">
        <v>11</v>
      </c>
      <c r="HA44" s="159" t="s">
        <v>11</v>
      </c>
      <c r="HB44" s="159" t="s">
        <v>11</v>
      </c>
      <c r="HC44" s="159" t="s">
        <v>11</v>
      </c>
      <c r="HD44" s="159" t="s">
        <v>11</v>
      </c>
      <c r="HE44" s="159" t="s">
        <v>11</v>
      </c>
      <c r="HF44" s="159" t="s">
        <v>11</v>
      </c>
      <c r="HG44" s="187" t="s">
        <v>11</v>
      </c>
      <c r="HH44" s="159" t="s">
        <v>11</v>
      </c>
      <c r="HI44" s="200" t="s">
        <v>11</v>
      </c>
      <c r="HJ44" s="115" t="s">
        <v>11</v>
      </c>
      <c r="HK44" s="115" t="s">
        <v>11</v>
      </c>
      <c r="HL44" s="159" t="s">
        <v>11</v>
      </c>
      <c r="HM44" s="115" t="s">
        <v>11</v>
      </c>
      <c r="HN44" s="159" t="s">
        <v>11</v>
      </c>
      <c r="HO44" s="159" t="s">
        <v>11</v>
      </c>
      <c r="HP44" s="159" t="s">
        <v>11</v>
      </c>
      <c r="HQ44" s="159" t="s">
        <v>11</v>
      </c>
      <c r="HR44" s="159" t="s">
        <v>11</v>
      </c>
      <c r="HS44" s="159" t="s">
        <v>11</v>
      </c>
      <c r="HT44" s="159" t="s">
        <v>11</v>
      </c>
      <c r="HU44" s="159" t="s">
        <v>11</v>
      </c>
      <c r="HV44" s="159" t="s">
        <v>11</v>
      </c>
      <c r="HW44" s="159" t="s">
        <v>11</v>
      </c>
      <c r="HX44" s="159" t="s">
        <v>11</v>
      </c>
      <c r="HY44" s="115" t="s">
        <v>11</v>
      </c>
      <c r="HZ44" s="159" t="s">
        <v>11</v>
      </c>
      <c r="IA44" s="159" t="s">
        <v>11</v>
      </c>
      <c r="IB44" s="159" t="s">
        <v>11</v>
      </c>
      <c r="IC44" s="115" t="s">
        <v>11</v>
      </c>
      <c r="ID44" s="159" t="s">
        <v>11</v>
      </c>
      <c r="IE44" s="159" t="s">
        <v>11</v>
      </c>
      <c r="IF44" s="183" t="s">
        <v>11</v>
      </c>
      <c r="IG44" s="185" t="s">
        <v>11</v>
      </c>
      <c r="IH44" s="185" t="s">
        <v>11</v>
      </c>
      <c r="II44" s="185" t="s">
        <v>11</v>
      </c>
      <c r="IJ44" s="185" t="s">
        <v>11</v>
      </c>
      <c r="IK44" s="183" t="s">
        <v>11</v>
      </c>
      <c r="IL44" s="183" t="s">
        <v>11</v>
      </c>
      <c r="IM44" s="159" t="s">
        <v>11</v>
      </c>
      <c r="IN44" s="159" t="s">
        <v>11</v>
      </c>
      <c r="IO44" s="159" t="s">
        <v>11</v>
      </c>
      <c r="IP44" s="159" t="s">
        <v>11</v>
      </c>
      <c r="IQ44" s="115" t="s">
        <v>11</v>
      </c>
      <c r="IR44" s="159" t="s">
        <v>11</v>
      </c>
      <c r="IS44" s="159" t="s">
        <v>11</v>
      </c>
      <c r="IT44" s="159" t="s">
        <v>11</v>
      </c>
      <c r="IU44" s="159" t="s">
        <v>11</v>
      </c>
      <c r="IV44" s="159" t="s">
        <v>11</v>
      </c>
      <c r="IW44" s="159" t="s">
        <v>11</v>
      </c>
      <c r="IX44" s="159"/>
      <c r="IY44" s="159" t="s">
        <v>11</v>
      </c>
      <c r="IZ44" s="159" t="s">
        <v>11</v>
      </c>
      <c r="JA44" s="159" t="s">
        <v>11</v>
      </c>
      <c r="JB44" s="159" t="s">
        <v>11</v>
      </c>
      <c r="JC44" s="159" t="s">
        <v>11</v>
      </c>
      <c r="JD44" s="159" t="s">
        <v>11</v>
      </c>
      <c r="JE44" s="159" t="s">
        <v>11</v>
      </c>
      <c r="JF44" s="159" t="s">
        <v>11</v>
      </c>
      <c r="JG44" s="159" t="s">
        <v>11</v>
      </c>
      <c r="JH44" s="159" t="s">
        <v>11</v>
      </c>
      <c r="JI44" s="159" t="s">
        <v>11</v>
      </c>
      <c r="JJ44" s="243" t="s">
        <v>11</v>
      </c>
      <c r="JK44" s="243" t="s">
        <v>11</v>
      </c>
      <c r="JL44" s="243" t="s">
        <v>11</v>
      </c>
      <c r="JM44" s="243" t="s">
        <v>11</v>
      </c>
      <c r="JN44" s="159" t="s">
        <v>11</v>
      </c>
      <c r="JO44" s="159" t="s">
        <v>11</v>
      </c>
      <c r="JP44" s="159" t="s">
        <v>11</v>
      </c>
      <c r="JQ44" s="159" t="s">
        <v>11</v>
      </c>
      <c r="JR44" s="159" t="s">
        <v>11</v>
      </c>
      <c r="JS44" s="159" t="s">
        <v>11</v>
      </c>
      <c r="JT44" s="159" t="s">
        <v>11</v>
      </c>
      <c r="JU44" s="159" t="s">
        <v>11</v>
      </c>
      <c r="JV44" s="159" t="s">
        <v>11</v>
      </c>
      <c r="JW44" s="159" t="s">
        <v>11</v>
      </c>
      <c r="JX44" s="159" t="s">
        <v>11</v>
      </c>
      <c r="JY44" s="159" t="s">
        <v>11</v>
      </c>
      <c r="JZ44" s="159" t="s">
        <v>11</v>
      </c>
      <c r="KA44" s="159" t="s">
        <v>11</v>
      </c>
      <c r="KB44" s="159" t="s">
        <v>11</v>
      </c>
      <c r="KC44" s="159" t="s">
        <v>11</v>
      </c>
      <c r="KD44" s="159" t="s">
        <v>11</v>
      </c>
      <c r="KE44" s="159" t="s">
        <v>11</v>
      </c>
      <c r="KF44" s="159" t="s">
        <v>11</v>
      </c>
      <c r="KG44" s="159" t="s">
        <v>11</v>
      </c>
      <c r="KH44" s="159" t="s">
        <v>11</v>
      </c>
      <c r="KI44" s="159" t="s">
        <v>11</v>
      </c>
      <c r="KJ44" s="159" t="s">
        <v>11</v>
      </c>
      <c r="KK44" s="159" t="s">
        <v>11</v>
      </c>
      <c r="KL44" s="159" t="s">
        <v>11</v>
      </c>
      <c r="KM44" s="159" t="s">
        <v>11</v>
      </c>
      <c r="KN44" s="187" t="s">
        <v>11</v>
      </c>
      <c r="KO44" s="159" t="s">
        <v>11</v>
      </c>
      <c r="KP44" s="159" t="s">
        <v>11</v>
      </c>
      <c r="KQ44" s="159" t="s">
        <v>11</v>
      </c>
      <c r="KR44" s="159" t="s">
        <v>11</v>
      </c>
      <c r="KS44" s="159" t="s">
        <v>11</v>
      </c>
      <c r="KT44" s="159" t="s">
        <v>11</v>
      </c>
      <c r="KU44" s="159" t="s">
        <v>11</v>
      </c>
      <c r="KV44" s="159" t="s">
        <v>11</v>
      </c>
      <c r="KW44" s="115" t="s">
        <v>11</v>
      </c>
      <c r="KX44" s="115" t="s">
        <v>11</v>
      </c>
      <c r="KY44" s="243" t="s">
        <v>11</v>
      </c>
      <c r="KZ44" s="243" t="s">
        <v>11</v>
      </c>
      <c r="LA44" s="187" t="s">
        <v>11</v>
      </c>
      <c r="LB44" s="115" t="s">
        <v>11</v>
      </c>
      <c r="LC44" s="115" t="s">
        <v>11</v>
      </c>
      <c r="LD44" s="115" t="s">
        <v>11</v>
      </c>
      <c r="LE44" s="115" t="s">
        <v>11</v>
      </c>
      <c r="LF44" s="115" t="s">
        <v>11</v>
      </c>
      <c r="LG44" s="115" t="s">
        <v>11</v>
      </c>
      <c r="LH44" s="115" t="s">
        <v>11</v>
      </c>
      <c r="LI44" s="115" t="s">
        <v>11</v>
      </c>
      <c r="LJ44" s="115" t="s">
        <v>11</v>
      </c>
      <c r="LK44" s="115" t="s">
        <v>11</v>
      </c>
      <c r="LL44" s="187" t="s">
        <v>11</v>
      </c>
      <c r="LM44" s="120" t="s">
        <v>11</v>
      </c>
      <c r="LN44" s="263" t="s">
        <v>11</v>
      </c>
      <c r="LO44" s="115" t="s">
        <v>11</v>
      </c>
      <c r="LP44" s="115" t="s">
        <v>11</v>
      </c>
      <c r="LQ44" s="263" t="s">
        <v>11</v>
      </c>
      <c r="LR44" s="115" t="s">
        <v>11</v>
      </c>
      <c r="LS44" s="115" t="s">
        <v>11</v>
      </c>
      <c r="LT44" s="115" t="s">
        <v>11</v>
      </c>
      <c r="LU44" s="115" t="s">
        <v>11</v>
      </c>
      <c r="LV44" s="286" t="s">
        <v>11</v>
      </c>
      <c r="LW44" s="115" t="s">
        <v>11</v>
      </c>
      <c r="LX44" s="115" t="s">
        <v>11</v>
      </c>
      <c r="LY44" s="115" t="s">
        <v>11</v>
      </c>
      <c r="LZ44" s="115" t="s">
        <v>11</v>
      </c>
      <c r="MA44" s="115" t="s">
        <v>11</v>
      </c>
      <c r="MB44" s="115" t="s">
        <v>11</v>
      </c>
      <c r="MC44" s="115" t="s">
        <v>11</v>
      </c>
      <c r="MD44" s="115" t="s">
        <v>11</v>
      </c>
    </row>
    <row r="45" spans="1:342" s="68" customFormat="1" ht="14.4" x14ac:dyDescent="0.3">
      <c r="A45" s="92">
        <v>42</v>
      </c>
      <c r="B45" s="311"/>
      <c r="C45" s="64" t="s">
        <v>482</v>
      </c>
      <c r="D45" s="69"/>
      <c r="E45" s="66" t="s">
        <v>11</v>
      </c>
      <c r="F45" s="66" t="s">
        <v>11</v>
      </c>
      <c r="G45" s="66" t="s">
        <v>11</v>
      </c>
      <c r="H45" s="66" t="s">
        <v>11</v>
      </c>
      <c r="I45" s="66" t="s">
        <v>11</v>
      </c>
      <c r="J45" s="66" t="s">
        <v>11</v>
      </c>
      <c r="K45" s="66" t="s">
        <v>11</v>
      </c>
      <c r="L45" s="66" t="s">
        <v>11</v>
      </c>
      <c r="M45" s="66" t="s">
        <v>11</v>
      </c>
      <c r="N45" s="66" t="s">
        <v>11</v>
      </c>
      <c r="O45" s="66" t="s">
        <v>11</v>
      </c>
      <c r="P45" s="66" t="s">
        <v>11</v>
      </c>
      <c r="Q45" s="66" t="s">
        <v>11</v>
      </c>
      <c r="R45" s="66" t="s">
        <v>11</v>
      </c>
      <c r="S45" s="66" t="s">
        <v>11</v>
      </c>
      <c r="T45" s="66" t="s">
        <v>11</v>
      </c>
      <c r="U45" s="66" t="s">
        <v>11</v>
      </c>
      <c r="V45" s="66" t="s">
        <v>11</v>
      </c>
      <c r="W45" s="66" t="s">
        <v>11</v>
      </c>
      <c r="X45" s="66" t="s">
        <v>11</v>
      </c>
      <c r="Y45" s="66" t="s">
        <v>11</v>
      </c>
      <c r="Z45" s="66" t="s">
        <v>11</v>
      </c>
      <c r="AA45" s="66" t="s">
        <v>11</v>
      </c>
      <c r="AB45" s="66" t="s">
        <v>11</v>
      </c>
      <c r="AC45" s="66" t="s">
        <v>11</v>
      </c>
      <c r="AD45" s="66" t="s">
        <v>11</v>
      </c>
      <c r="AE45" s="66" t="s">
        <v>11</v>
      </c>
      <c r="AF45" s="66" t="s">
        <v>11</v>
      </c>
      <c r="AG45" s="66" t="s">
        <v>11</v>
      </c>
      <c r="AH45" s="66" t="s">
        <v>11</v>
      </c>
      <c r="AI45" s="66" t="s">
        <v>11</v>
      </c>
      <c r="AJ45" s="66" t="s">
        <v>11</v>
      </c>
      <c r="AK45" s="66" t="s">
        <v>11</v>
      </c>
      <c r="AL45" s="66" t="s">
        <v>11</v>
      </c>
      <c r="AM45" s="66" t="s">
        <v>11</v>
      </c>
      <c r="AN45" s="66" t="s">
        <v>11</v>
      </c>
      <c r="AO45" s="66" t="s">
        <v>11</v>
      </c>
      <c r="AP45" s="66" t="s">
        <v>11</v>
      </c>
      <c r="AQ45" s="66" t="s">
        <v>11</v>
      </c>
      <c r="AR45" s="66" t="s">
        <v>11</v>
      </c>
      <c r="AS45" s="66" t="s">
        <v>11</v>
      </c>
      <c r="AT45" s="66" t="s">
        <v>11</v>
      </c>
      <c r="AU45" s="66" t="s">
        <v>11</v>
      </c>
      <c r="AV45" s="66" t="s">
        <v>11</v>
      </c>
      <c r="AW45" s="66" t="s">
        <v>11</v>
      </c>
      <c r="AX45" s="66" t="s">
        <v>11</v>
      </c>
      <c r="AY45" s="66" t="s">
        <v>11</v>
      </c>
      <c r="AZ45" s="66" t="s">
        <v>11</v>
      </c>
      <c r="BA45" s="66" t="s">
        <v>11</v>
      </c>
      <c r="BB45" s="66" t="s">
        <v>11</v>
      </c>
      <c r="BC45" s="66" t="s">
        <v>11</v>
      </c>
      <c r="BD45" s="66" t="s">
        <v>11</v>
      </c>
      <c r="BE45" s="66" t="s">
        <v>11</v>
      </c>
      <c r="BF45" s="66" t="s">
        <v>11</v>
      </c>
      <c r="BG45" s="66" t="s">
        <v>11</v>
      </c>
      <c r="BH45" s="66" t="s">
        <v>11</v>
      </c>
      <c r="BI45" s="66" t="s">
        <v>11</v>
      </c>
      <c r="BJ45" s="66" t="s">
        <v>11</v>
      </c>
      <c r="BK45" s="38" t="s">
        <v>11</v>
      </c>
      <c r="BL45" s="38" t="s">
        <v>11</v>
      </c>
      <c r="BM45" s="38" t="s">
        <v>11</v>
      </c>
      <c r="BN45" s="38" t="s">
        <v>11</v>
      </c>
      <c r="BO45" s="38" t="s">
        <v>11</v>
      </c>
      <c r="BP45" s="38" t="s">
        <v>11</v>
      </c>
      <c r="BQ45" s="38" t="s">
        <v>11</v>
      </c>
      <c r="BR45" s="117" t="s">
        <v>11</v>
      </c>
      <c r="BS45" s="105" t="s">
        <v>11</v>
      </c>
      <c r="BT45" s="105" t="s">
        <v>11</v>
      </c>
      <c r="BU45" s="115" t="s">
        <v>11</v>
      </c>
      <c r="BV45" s="159" t="s">
        <v>11</v>
      </c>
      <c r="BW45" s="159" t="s">
        <v>11</v>
      </c>
      <c r="BX45" s="115" t="s">
        <v>11</v>
      </c>
      <c r="BY45" s="115" t="s">
        <v>11</v>
      </c>
      <c r="BZ45" s="115" t="s">
        <v>11</v>
      </c>
      <c r="CA45" s="68" t="s">
        <v>11</v>
      </c>
      <c r="CB45" s="68" t="s">
        <v>11</v>
      </c>
      <c r="CC45" s="68" t="s">
        <v>11</v>
      </c>
      <c r="CD45" s="68" t="s">
        <v>11</v>
      </c>
      <c r="CE45" s="68" t="s">
        <v>11</v>
      </c>
      <c r="CF45" s="68" t="s">
        <v>11</v>
      </c>
      <c r="CG45" s="68" t="s">
        <v>11</v>
      </c>
      <c r="CH45" s="68" t="s">
        <v>11</v>
      </c>
      <c r="CI45" s="68" t="s">
        <v>11</v>
      </c>
      <c r="CJ45" s="68" t="s">
        <v>11</v>
      </c>
      <c r="CK45" s="68" t="s">
        <v>11</v>
      </c>
      <c r="CL45" s="68" t="s">
        <v>11</v>
      </c>
      <c r="CM45" s="68" t="s">
        <v>11</v>
      </c>
      <c r="CN45" s="68" t="s">
        <v>11</v>
      </c>
      <c r="CO45" s="68" t="s">
        <v>11</v>
      </c>
      <c r="CP45" s="68" t="s">
        <v>11</v>
      </c>
      <c r="CQ45" s="68" t="s">
        <v>11</v>
      </c>
      <c r="CR45" s="68" t="s">
        <v>11</v>
      </c>
      <c r="CS45" s="68" t="s">
        <v>11</v>
      </c>
      <c r="CT45" s="68" t="s">
        <v>11</v>
      </c>
      <c r="CU45" s="68" t="s">
        <v>11</v>
      </c>
      <c r="CV45" s="68" t="s">
        <v>11</v>
      </c>
      <c r="CW45" s="68" t="s">
        <v>11</v>
      </c>
      <c r="CX45" s="68" t="s">
        <v>11</v>
      </c>
      <c r="CY45" s="68" t="s">
        <v>11</v>
      </c>
      <c r="CZ45" s="68" t="s">
        <v>11</v>
      </c>
      <c r="DA45" s="68" t="s">
        <v>11</v>
      </c>
      <c r="DB45" s="68" t="s">
        <v>11</v>
      </c>
      <c r="DC45" s="68" t="s">
        <v>11</v>
      </c>
      <c r="DD45" s="68" t="s">
        <v>11</v>
      </c>
      <c r="DE45" s="68" t="s">
        <v>11</v>
      </c>
      <c r="DF45" s="68" t="s">
        <v>11</v>
      </c>
      <c r="DG45" s="68" t="s">
        <v>11</v>
      </c>
      <c r="DH45" s="68" t="s">
        <v>11</v>
      </c>
      <c r="DI45" s="68" t="s">
        <v>11</v>
      </c>
      <c r="DJ45" s="68" t="s">
        <v>11</v>
      </c>
      <c r="DK45" s="68" t="s">
        <v>11</v>
      </c>
      <c r="DL45" s="68" t="s">
        <v>11</v>
      </c>
      <c r="DM45" s="68" t="s">
        <v>11</v>
      </c>
      <c r="DN45" s="68" t="s">
        <v>11</v>
      </c>
      <c r="DO45" s="68" t="s">
        <v>11</v>
      </c>
      <c r="DP45" s="68" t="s">
        <v>11</v>
      </c>
      <c r="DQ45" s="68" t="s">
        <v>11</v>
      </c>
      <c r="DR45" s="68" t="s">
        <v>11</v>
      </c>
      <c r="DS45" s="68" t="s">
        <v>11</v>
      </c>
      <c r="DT45" s="68" t="s">
        <v>11</v>
      </c>
      <c r="DU45" s="68" t="s">
        <v>11</v>
      </c>
      <c r="DV45" s="68" t="s">
        <v>11</v>
      </c>
      <c r="DW45" s="159" t="s">
        <v>11</v>
      </c>
      <c r="DX45" s="159" t="s">
        <v>11</v>
      </c>
      <c r="DY45" s="159" t="s">
        <v>11</v>
      </c>
      <c r="DZ45" s="159" t="s">
        <v>11</v>
      </c>
      <c r="EA45" s="159" t="s">
        <v>11</v>
      </c>
      <c r="EB45" s="159" t="s">
        <v>11</v>
      </c>
      <c r="EC45" s="159" t="s">
        <v>11</v>
      </c>
      <c r="ED45" s="159" t="s">
        <v>11</v>
      </c>
      <c r="EE45" s="159" t="s">
        <v>11</v>
      </c>
      <c r="EF45" s="159" t="s">
        <v>11</v>
      </c>
      <c r="EG45" s="159" t="s">
        <v>11</v>
      </c>
      <c r="EH45" s="159" t="s">
        <v>11</v>
      </c>
      <c r="EI45" s="187" t="s">
        <v>11</v>
      </c>
      <c r="EJ45" s="115" t="s">
        <v>11</v>
      </c>
      <c r="EK45" s="187" t="s">
        <v>11</v>
      </c>
      <c r="EL45" s="115" t="s">
        <v>11</v>
      </c>
      <c r="EM45" s="187" t="s">
        <v>11</v>
      </c>
      <c r="EN45" s="159" t="s">
        <v>11</v>
      </c>
      <c r="EO45" s="159" t="s">
        <v>11</v>
      </c>
      <c r="EP45" s="159" t="s">
        <v>11</v>
      </c>
      <c r="EQ45" s="159" t="s">
        <v>11</v>
      </c>
      <c r="ER45" s="115" t="s">
        <v>11</v>
      </c>
      <c r="ES45" s="159" t="s">
        <v>11</v>
      </c>
      <c r="ET45" s="159" t="s">
        <v>11</v>
      </c>
      <c r="EU45" s="159" t="s">
        <v>11</v>
      </c>
      <c r="EV45" s="159" t="s">
        <v>11</v>
      </c>
      <c r="EW45" s="159" t="s">
        <v>11</v>
      </c>
      <c r="EX45" s="115" t="s">
        <v>11</v>
      </c>
      <c r="EY45" s="115" t="s">
        <v>11</v>
      </c>
      <c r="EZ45" s="115" t="s">
        <v>11</v>
      </c>
      <c r="FA45" s="68" t="s">
        <v>11</v>
      </c>
      <c r="FB45" s="68" t="s">
        <v>11</v>
      </c>
      <c r="FC45" s="68" t="s">
        <v>11</v>
      </c>
      <c r="FD45" s="68" t="s">
        <v>11</v>
      </c>
      <c r="FE45" s="68" t="s">
        <v>11</v>
      </c>
      <c r="FF45" s="68" t="s">
        <v>11</v>
      </c>
      <c r="FG45" s="68" t="s">
        <v>11</v>
      </c>
      <c r="FH45" s="68" t="s">
        <v>11</v>
      </c>
      <c r="FI45" s="68" t="s">
        <v>11</v>
      </c>
      <c r="FJ45" s="68" t="s">
        <v>11</v>
      </c>
      <c r="FK45" s="68" t="s">
        <v>11</v>
      </c>
      <c r="FL45" s="68" t="s">
        <v>11</v>
      </c>
      <c r="FM45" s="120" t="s">
        <v>11</v>
      </c>
      <c r="FN45" s="187" t="s">
        <v>11</v>
      </c>
      <c r="FO45" s="187" t="s">
        <v>11</v>
      </c>
      <c r="FP45" s="187" t="s">
        <v>11</v>
      </c>
      <c r="FQ45" s="187" t="s">
        <v>11</v>
      </c>
      <c r="FR45" s="115" t="s">
        <v>11</v>
      </c>
      <c r="FS45" s="187" t="s">
        <v>11</v>
      </c>
      <c r="FT45" s="187" t="s">
        <v>11</v>
      </c>
      <c r="FU45" s="187" t="s">
        <v>11</v>
      </c>
      <c r="FV45" s="159" t="s">
        <v>11</v>
      </c>
      <c r="FW45" s="159" t="s">
        <v>11</v>
      </c>
      <c r="FX45" s="159" t="s">
        <v>11</v>
      </c>
      <c r="FY45" s="115" t="s">
        <v>11</v>
      </c>
      <c r="FZ45" s="159" t="s">
        <v>11</v>
      </c>
      <c r="GA45" s="159" t="s">
        <v>11</v>
      </c>
      <c r="GB45" s="115" t="s">
        <v>11</v>
      </c>
      <c r="GC45" s="115" t="s">
        <v>11</v>
      </c>
      <c r="GD45" s="187" t="s">
        <v>11</v>
      </c>
      <c r="GE45" s="159" t="s">
        <v>11</v>
      </c>
      <c r="GF45" s="159" t="s">
        <v>11</v>
      </c>
      <c r="GG45" s="208" t="s">
        <v>11</v>
      </c>
      <c r="GH45" s="159" t="s">
        <v>11</v>
      </c>
      <c r="GI45" s="159" t="s">
        <v>11</v>
      </c>
      <c r="GJ45" s="159" t="s">
        <v>11</v>
      </c>
      <c r="GK45" s="159" t="s">
        <v>11</v>
      </c>
      <c r="GL45" s="115" t="s">
        <v>11</v>
      </c>
      <c r="GM45" s="115" t="s">
        <v>11</v>
      </c>
      <c r="GN45" s="159" t="s">
        <v>11</v>
      </c>
      <c r="GO45" s="159" t="s">
        <v>11</v>
      </c>
      <c r="GP45" s="115" t="s">
        <v>11</v>
      </c>
      <c r="GQ45" s="208" t="s">
        <v>11</v>
      </c>
      <c r="GR45" s="115" t="s">
        <v>11</v>
      </c>
      <c r="GS45" s="159" t="s">
        <v>11</v>
      </c>
      <c r="GT45" s="159" t="s">
        <v>11</v>
      </c>
      <c r="GU45" s="159" t="s">
        <v>11</v>
      </c>
      <c r="GV45" s="159" t="s">
        <v>11</v>
      </c>
      <c r="GW45" s="159" t="s">
        <v>11</v>
      </c>
      <c r="GX45" s="159" t="s">
        <v>11</v>
      </c>
      <c r="GY45" s="115" t="s">
        <v>11</v>
      </c>
      <c r="GZ45" s="208" t="s">
        <v>11</v>
      </c>
      <c r="HA45" s="159" t="s">
        <v>11</v>
      </c>
      <c r="HB45" s="159" t="s">
        <v>11</v>
      </c>
      <c r="HC45" s="159" t="s">
        <v>11</v>
      </c>
      <c r="HD45" s="159" t="s">
        <v>11</v>
      </c>
      <c r="HE45" s="159" t="s">
        <v>11</v>
      </c>
      <c r="HF45" s="159" t="s">
        <v>11</v>
      </c>
      <c r="HG45" s="187" t="s">
        <v>11</v>
      </c>
      <c r="HH45" s="159" t="s">
        <v>11</v>
      </c>
      <c r="HI45" s="200" t="s">
        <v>11</v>
      </c>
      <c r="HJ45" s="115" t="s">
        <v>11</v>
      </c>
      <c r="HK45" s="115" t="s">
        <v>11</v>
      </c>
      <c r="HL45" s="159" t="s">
        <v>11</v>
      </c>
      <c r="HM45" s="115" t="s">
        <v>11</v>
      </c>
      <c r="HN45" s="159" t="s">
        <v>11</v>
      </c>
      <c r="HO45" s="159" t="s">
        <v>11</v>
      </c>
      <c r="HP45" s="159" t="s">
        <v>11</v>
      </c>
      <c r="HQ45" s="159" t="s">
        <v>11</v>
      </c>
      <c r="HR45" s="159" t="s">
        <v>11</v>
      </c>
      <c r="HS45" s="159" t="s">
        <v>11</v>
      </c>
      <c r="HT45" s="159" t="s">
        <v>11</v>
      </c>
      <c r="HU45" s="159" t="s">
        <v>11</v>
      </c>
      <c r="HV45" s="159" t="s">
        <v>11</v>
      </c>
      <c r="HW45" s="159" t="s">
        <v>11</v>
      </c>
      <c r="HX45" s="159" t="s">
        <v>11</v>
      </c>
      <c r="HY45" s="115" t="s">
        <v>11</v>
      </c>
      <c r="HZ45" s="159" t="s">
        <v>11</v>
      </c>
      <c r="IA45" s="159" t="s">
        <v>11</v>
      </c>
      <c r="IB45" s="159" t="s">
        <v>11</v>
      </c>
      <c r="IC45" s="115" t="s">
        <v>11</v>
      </c>
      <c r="ID45" s="159" t="s">
        <v>11</v>
      </c>
      <c r="IE45" s="159" t="s">
        <v>11</v>
      </c>
      <c r="IF45" s="183" t="s">
        <v>11</v>
      </c>
      <c r="IG45" s="185" t="s">
        <v>11</v>
      </c>
      <c r="IH45" s="185" t="s">
        <v>11</v>
      </c>
      <c r="II45" s="185" t="s">
        <v>11</v>
      </c>
      <c r="IJ45" s="185" t="s">
        <v>11</v>
      </c>
      <c r="IK45" s="183" t="s">
        <v>11</v>
      </c>
      <c r="IL45" s="183" t="s">
        <v>11</v>
      </c>
      <c r="IM45" s="159" t="s">
        <v>11</v>
      </c>
      <c r="IN45" s="159" t="s">
        <v>11</v>
      </c>
      <c r="IO45" s="159" t="s">
        <v>11</v>
      </c>
      <c r="IP45" s="159" t="s">
        <v>11</v>
      </c>
      <c r="IQ45" s="115" t="s">
        <v>11</v>
      </c>
      <c r="IR45" s="159" t="s">
        <v>11</v>
      </c>
      <c r="IS45" s="159" t="s">
        <v>11</v>
      </c>
      <c r="IT45" s="159" t="s">
        <v>11</v>
      </c>
      <c r="IU45" s="159" t="s">
        <v>11</v>
      </c>
      <c r="IV45" s="159" t="s">
        <v>11</v>
      </c>
      <c r="IW45" s="159" t="s">
        <v>11</v>
      </c>
      <c r="IX45" s="159"/>
      <c r="IY45" s="159" t="s">
        <v>11</v>
      </c>
      <c r="IZ45" s="159" t="s">
        <v>11</v>
      </c>
      <c r="JA45" s="159" t="s">
        <v>11</v>
      </c>
      <c r="JB45" s="159" t="s">
        <v>11</v>
      </c>
      <c r="JC45" s="159" t="s">
        <v>11</v>
      </c>
      <c r="JD45" s="159" t="s">
        <v>11</v>
      </c>
      <c r="JE45" s="159" t="s">
        <v>11</v>
      </c>
      <c r="JF45" s="159" t="s">
        <v>11</v>
      </c>
      <c r="JG45" s="159" t="s">
        <v>11</v>
      </c>
      <c r="JH45" s="159" t="s">
        <v>11</v>
      </c>
      <c r="JI45" s="159" t="s">
        <v>11</v>
      </c>
      <c r="JJ45" s="243" t="s">
        <v>11</v>
      </c>
      <c r="JK45" s="243" t="s">
        <v>11</v>
      </c>
      <c r="JL45" s="243" t="s">
        <v>11</v>
      </c>
      <c r="JM45" s="243" t="s">
        <v>11</v>
      </c>
      <c r="JN45" s="159" t="s">
        <v>11</v>
      </c>
      <c r="JO45" s="159" t="s">
        <v>11</v>
      </c>
      <c r="JP45" s="159" t="s">
        <v>11</v>
      </c>
      <c r="JQ45" s="159" t="s">
        <v>11</v>
      </c>
      <c r="JR45" s="159" t="s">
        <v>11</v>
      </c>
      <c r="JS45" s="159" t="s">
        <v>11</v>
      </c>
      <c r="JT45" s="159" t="s">
        <v>11</v>
      </c>
      <c r="JU45" s="159" t="s">
        <v>11</v>
      </c>
      <c r="JV45" s="159" t="s">
        <v>11</v>
      </c>
      <c r="JW45" s="159" t="s">
        <v>11</v>
      </c>
      <c r="JX45" s="159" t="s">
        <v>11</v>
      </c>
      <c r="JY45" s="159" t="s">
        <v>11</v>
      </c>
      <c r="JZ45" s="159" t="s">
        <v>11</v>
      </c>
      <c r="KA45" s="159" t="s">
        <v>11</v>
      </c>
      <c r="KB45" s="159" t="s">
        <v>11</v>
      </c>
      <c r="KC45" s="159" t="s">
        <v>11</v>
      </c>
      <c r="KD45" s="159" t="s">
        <v>11</v>
      </c>
      <c r="KE45" s="159" t="s">
        <v>11</v>
      </c>
      <c r="KF45" s="159" t="s">
        <v>11</v>
      </c>
      <c r="KG45" s="159" t="s">
        <v>11</v>
      </c>
      <c r="KH45" s="159" t="s">
        <v>11</v>
      </c>
      <c r="KI45" s="159" t="s">
        <v>11</v>
      </c>
      <c r="KJ45" s="159" t="s">
        <v>11</v>
      </c>
      <c r="KK45" s="159" t="s">
        <v>11</v>
      </c>
      <c r="KL45" s="159" t="s">
        <v>11</v>
      </c>
      <c r="KM45" s="159" t="s">
        <v>11</v>
      </c>
      <c r="KN45" s="187" t="s">
        <v>11</v>
      </c>
      <c r="KO45" s="159" t="s">
        <v>11</v>
      </c>
      <c r="KP45" s="159" t="s">
        <v>11</v>
      </c>
      <c r="KQ45" s="159" t="s">
        <v>11</v>
      </c>
      <c r="KR45" s="159" t="s">
        <v>11</v>
      </c>
      <c r="KS45" s="159" t="s">
        <v>11</v>
      </c>
      <c r="KT45" s="159" t="s">
        <v>11</v>
      </c>
      <c r="KU45" s="159" t="s">
        <v>11</v>
      </c>
      <c r="KV45" s="159" t="s">
        <v>11</v>
      </c>
      <c r="KW45" s="115" t="s">
        <v>11</v>
      </c>
      <c r="KX45" s="115" t="s">
        <v>11</v>
      </c>
      <c r="KY45" s="243" t="s">
        <v>11</v>
      </c>
      <c r="KZ45" s="243" t="s">
        <v>11</v>
      </c>
      <c r="LA45" s="187" t="s">
        <v>11</v>
      </c>
      <c r="LB45" s="115" t="s">
        <v>11</v>
      </c>
      <c r="LC45" s="115" t="s">
        <v>11</v>
      </c>
      <c r="LD45" s="115" t="s">
        <v>11</v>
      </c>
      <c r="LE45" s="115" t="s">
        <v>11</v>
      </c>
      <c r="LF45" s="115" t="s">
        <v>11</v>
      </c>
      <c r="LG45" s="115" t="s">
        <v>11</v>
      </c>
      <c r="LH45" s="115" t="s">
        <v>11</v>
      </c>
      <c r="LI45" s="115" t="s">
        <v>11</v>
      </c>
      <c r="LJ45" s="115" t="s">
        <v>11</v>
      </c>
      <c r="LK45" s="115" t="s">
        <v>11</v>
      </c>
      <c r="LL45" s="187" t="s">
        <v>11</v>
      </c>
      <c r="LM45" s="120" t="s">
        <v>11</v>
      </c>
      <c r="LN45" s="263" t="s">
        <v>11</v>
      </c>
      <c r="LO45" s="115" t="s">
        <v>11</v>
      </c>
      <c r="LP45" s="115" t="s">
        <v>11</v>
      </c>
      <c r="LQ45" s="263" t="s">
        <v>11</v>
      </c>
      <c r="LR45" s="115" t="s">
        <v>11</v>
      </c>
      <c r="LS45" s="115" t="s">
        <v>11</v>
      </c>
      <c r="LT45" s="115" t="s">
        <v>11</v>
      </c>
      <c r="LU45" s="115" t="s">
        <v>11</v>
      </c>
      <c r="LV45" s="286" t="s">
        <v>11</v>
      </c>
      <c r="LW45" s="115" t="s">
        <v>11</v>
      </c>
      <c r="LX45" s="115" t="s">
        <v>11</v>
      </c>
      <c r="LY45" s="115" t="s">
        <v>11</v>
      </c>
      <c r="LZ45" s="115" t="s">
        <v>11</v>
      </c>
      <c r="MA45" s="115" t="s">
        <v>11</v>
      </c>
      <c r="MB45" s="115" t="s">
        <v>11</v>
      </c>
      <c r="MC45" s="115" t="s">
        <v>11</v>
      </c>
      <c r="MD45" s="115" t="s">
        <v>11</v>
      </c>
    </row>
    <row r="46" spans="1:342" s="68" customFormat="1" ht="14.4" x14ac:dyDescent="0.3">
      <c r="A46" s="92">
        <v>43</v>
      </c>
      <c r="B46" s="311"/>
      <c r="C46" s="64" t="s">
        <v>483</v>
      </c>
      <c r="D46" s="69"/>
      <c r="E46" s="66" t="s">
        <v>11</v>
      </c>
      <c r="F46" s="66" t="s">
        <v>11</v>
      </c>
      <c r="G46" s="66" t="s">
        <v>11</v>
      </c>
      <c r="H46" s="66" t="s">
        <v>11</v>
      </c>
      <c r="I46" s="66" t="s">
        <v>11</v>
      </c>
      <c r="J46" s="66" t="s">
        <v>11</v>
      </c>
      <c r="K46" s="66" t="s">
        <v>11</v>
      </c>
      <c r="L46" s="66" t="s">
        <v>11</v>
      </c>
      <c r="M46" s="66" t="s">
        <v>11</v>
      </c>
      <c r="N46" s="66" t="s">
        <v>11</v>
      </c>
      <c r="O46" s="66" t="s">
        <v>11</v>
      </c>
      <c r="P46" s="66" t="s">
        <v>11</v>
      </c>
      <c r="Q46" s="66" t="s">
        <v>11</v>
      </c>
      <c r="R46" s="66" t="s">
        <v>11</v>
      </c>
      <c r="S46" s="66" t="s">
        <v>11</v>
      </c>
      <c r="T46" s="66" t="s">
        <v>11</v>
      </c>
      <c r="U46" s="66" t="s">
        <v>11</v>
      </c>
      <c r="V46" s="66" t="s">
        <v>11</v>
      </c>
      <c r="W46" s="66" t="s">
        <v>11</v>
      </c>
      <c r="X46" s="66" t="s">
        <v>11</v>
      </c>
      <c r="Y46" s="66" t="s">
        <v>11</v>
      </c>
      <c r="Z46" s="66" t="s">
        <v>11</v>
      </c>
      <c r="AA46" s="66" t="s">
        <v>11</v>
      </c>
      <c r="AB46" s="66" t="s">
        <v>11</v>
      </c>
      <c r="AC46" s="66" t="s">
        <v>11</v>
      </c>
      <c r="AD46" s="66" t="s">
        <v>11</v>
      </c>
      <c r="AE46" s="66" t="s">
        <v>11</v>
      </c>
      <c r="AF46" s="66" t="s">
        <v>11</v>
      </c>
      <c r="AG46" s="66" t="s">
        <v>11</v>
      </c>
      <c r="AH46" s="66" t="s">
        <v>11</v>
      </c>
      <c r="AI46" s="66" t="s">
        <v>11</v>
      </c>
      <c r="AJ46" s="66" t="s">
        <v>11</v>
      </c>
      <c r="AK46" s="66" t="s">
        <v>11</v>
      </c>
      <c r="AL46" s="66" t="s">
        <v>11</v>
      </c>
      <c r="AM46" s="66" t="s">
        <v>11</v>
      </c>
      <c r="AN46" s="66" t="s">
        <v>11</v>
      </c>
      <c r="AO46" s="66" t="s">
        <v>11</v>
      </c>
      <c r="AP46" s="66" t="s">
        <v>11</v>
      </c>
      <c r="AQ46" s="66" t="s">
        <v>11</v>
      </c>
      <c r="AR46" s="66" t="s">
        <v>11</v>
      </c>
      <c r="AS46" s="66" t="s">
        <v>11</v>
      </c>
      <c r="AT46" s="66" t="s">
        <v>11</v>
      </c>
      <c r="AU46" s="66" t="s">
        <v>11</v>
      </c>
      <c r="AV46" s="66" t="s">
        <v>11</v>
      </c>
      <c r="AW46" s="66" t="s">
        <v>11</v>
      </c>
      <c r="AX46" s="66" t="s">
        <v>11</v>
      </c>
      <c r="AY46" s="66" t="s">
        <v>11</v>
      </c>
      <c r="AZ46" s="66" t="s">
        <v>11</v>
      </c>
      <c r="BA46" s="66" t="s">
        <v>11</v>
      </c>
      <c r="BB46" s="66" t="s">
        <v>11</v>
      </c>
      <c r="BC46" s="66" t="s">
        <v>11</v>
      </c>
      <c r="BD46" s="66" t="s">
        <v>11</v>
      </c>
      <c r="BE46" s="66" t="s">
        <v>11</v>
      </c>
      <c r="BF46" s="66" t="s">
        <v>11</v>
      </c>
      <c r="BG46" s="66" t="s">
        <v>11</v>
      </c>
      <c r="BH46" s="66" t="s">
        <v>11</v>
      </c>
      <c r="BI46" s="66" t="s">
        <v>11</v>
      </c>
      <c r="BJ46" s="66" t="s">
        <v>11</v>
      </c>
      <c r="BK46" s="38" t="s">
        <v>11</v>
      </c>
      <c r="BL46" s="38" t="s">
        <v>11</v>
      </c>
      <c r="BM46" s="38" t="s">
        <v>11</v>
      </c>
      <c r="BN46" s="38" t="s">
        <v>11</v>
      </c>
      <c r="BO46" s="38" t="s">
        <v>11</v>
      </c>
      <c r="BP46" s="38" t="s">
        <v>11</v>
      </c>
      <c r="BQ46" s="38" t="s">
        <v>11</v>
      </c>
      <c r="BR46" s="117" t="s">
        <v>11</v>
      </c>
      <c r="BS46" s="105" t="s">
        <v>11</v>
      </c>
      <c r="BT46" s="105" t="s">
        <v>11</v>
      </c>
      <c r="BU46" s="115" t="s">
        <v>11</v>
      </c>
      <c r="BV46" s="159" t="s">
        <v>11</v>
      </c>
      <c r="BW46" s="159" t="s">
        <v>11</v>
      </c>
      <c r="BX46" s="115" t="s">
        <v>11</v>
      </c>
      <c r="BY46" s="115" t="s">
        <v>11</v>
      </c>
      <c r="BZ46" s="115" t="s">
        <v>11</v>
      </c>
      <c r="CA46" s="68" t="s">
        <v>11</v>
      </c>
      <c r="CB46" s="68" t="s">
        <v>11</v>
      </c>
      <c r="CC46" s="68" t="s">
        <v>11</v>
      </c>
      <c r="CD46" s="68" t="s">
        <v>11</v>
      </c>
      <c r="CE46" s="68" t="s">
        <v>11</v>
      </c>
      <c r="CF46" s="68" t="s">
        <v>11</v>
      </c>
      <c r="CG46" s="68" t="s">
        <v>11</v>
      </c>
      <c r="CH46" s="68" t="s">
        <v>11</v>
      </c>
      <c r="CI46" s="68" t="s">
        <v>11</v>
      </c>
      <c r="CJ46" s="68" t="s">
        <v>11</v>
      </c>
      <c r="CK46" s="68" t="s">
        <v>11</v>
      </c>
      <c r="CL46" s="68" t="s">
        <v>11</v>
      </c>
      <c r="CM46" s="68" t="s">
        <v>11</v>
      </c>
      <c r="CN46" s="68" t="s">
        <v>11</v>
      </c>
      <c r="CO46" s="68" t="s">
        <v>11</v>
      </c>
      <c r="CP46" s="68" t="s">
        <v>11</v>
      </c>
      <c r="CQ46" s="68" t="s">
        <v>11</v>
      </c>
      <c r="CR46" s="68" t="s">
        <v>11</v>
      </c>
      <c r="CS46" s="68" t="s">
        <v>11</v>
      </c>
      <c r="CT46" s="68" t="s">
        <v>11</v>
      </c>
      <c r="CU46" s="68" t="s">
        <v>11</v>
      </c>
      <c r="CV46" s="68" t="s">
        <v>11</v>
      </c>
      <c r="CW46" s="68" t="s">
        <v>11</v>
      </c>
      <c r="CX46" s="68" t="s">
        <v>11</v>
      </c>
      <c r="CY46" s="68" t="s">
        <v>11</v>
      </c>
      <c r="CZ46" s="68" t="s">
        <v>11</v>
      </c>
      <c r="DA46" s="68" t="s">
        <v>11</v>
      </c>
      <c r="DB46" s="68" t="s">
        <v>11</v>
      </c>
      <c r="DC46" s="68" t="s">
        <v>11</v>
      </c>
      <c r="DD46" s="68" t="s">
        <v>11</v>
      </c>
      <c r="DE46" s="68" t="s">
        <v>11</v>
      </c>
      <c r="DF46" s="68" t="s">
        <v>11</v>
      </c>
      <c r="DG46" s="68" t="s">
        <v>11</v>
      </c>
      <c r="DH46" s="68" t="s">
        <v>11</v>
      </c>
      <c r="DI46" s="68" t="s">
        <v>11</v>
      </c>
      <c r="DJ46" s="68" t="s">
        <v>11</v>
      </c>
      <c r="DK46" s="68" t="s">
        <v>11</v>
      </c>
      <c r="DL46" s="68" t="s">
        <v>11</v>
      </c>
      <c r="DM46" s="68" t="s">
        <v>11</v>
      </c>
      <c r="DN46" s="68" t="s">
        <v>11</v>
      </c>
      <c r="DO46" s="68" t="s">
        <v>11</v>
      </c>
      <c r="DP46" s="68" t="s">
        <v>11</v>
      </c>
      <c r="DQ46" s="68" t="s">
        <v>11</v>
      </c>
      <c r="DR46" s="68" t="s">
        <v>11</v>
      </c>
      <c r="DS46" s="68" t="s">
        <v>11</v>
      </c>
      <c r="DT46" s="68" t="s">
        <v>11</v>
      </c>
      <c r="DU46" s="68" t="s">
        <v>11</v>
      </c>
      <c r="DV46" s="68" t="s">
        <v>11</v>
      </c>
      <c r="DW46" s="159" t="s">
        <v>11</v>
      </c>
      <c r="DX46" s="159" t="s">
        <v>11</v>
      </c>
      <c r="DY46" s="159" t="s">
        <v>11</v>
      </c>
      <c r="DZ46" s="159" t="s">
        <v>11</v>
      </c>
      <c r="EA46" s="159" t="s">
        <v>11</v>
      </c>
      <c r="EB46" s="159" t="s">
        <v>11</v>
      </c>
      <c r="EC46" s="159" t="s">
        <v>11</v>
      </c>
      <c r="ED46" s="159" t="s">
        <v>11</v>
      </c>
      <c r="EE46" s="159" t="s">
        <v>11</v>
      </c>
      <c r="EF46" s="159" t="s">
        <v>11</v>
      </c>
      <c r="EG46" s="159" t="s">
        <v>11</v>
      </c>
      <c r="EH46" s="159" t="s">
        <v>11</v>
      </c>
      <c r="EI46" s="187" t="s">
        <v>11</v>
      </c>
      <c r="EJ46" s="115" t="s">
        <v>11</v>
      </c>
      <c r="EK46" s="187" t="s">
        <v>11</v>
      </c>
      <c r="EL46" s="115" t="s">
        <v>11</v>
      </c>
      <c r="EM46" s="187" t="s">
        <v>11</v>
      </c>
      <c r="EN46" s="159" t="s">
        <v>11</v>
      </c>
      <c r="EO46" s="159" t="s">
        <v>11</v>
      </c>
      <c r="EP46" s="159" t="s">
        <v>11</v>
      </c>
      <c r="EQ46" s="159" t="s">
        <v>11</v>
      </c>
      <c r="ER46" s="115" t="s">
        <v>11</v>
      </c>
      <c r="ES46" s="159" t="s">
        <v>11</v>
      </c>
      <c r="ET46" s="159" t="s">
        <v>11</v>
      </c>
      <c r="EU46" s="159" t="s">
        <v>11</v>
      </c>
      <c r="EV46" s="159" t="s">
        <v>11</v>
      </c>
      <c r="EW46" s="159" t="s">
        <v>11</v>
      </c>
      <c r="EX46" s="115" t="s">
        <v>11</v>
      </c>
      <c r="EY46" s="115" t="s">
        <v>11</v>
      </c>
      <c r="EZ46" s="115" t="s">
        <v>11</v>
      </c>
      <c r="FA46" s="68" t="s">
        <v>11</v>
      </c>
      <c r="FB46" s="68" t="s">
        <v>11</v>
      </c>
      <c r="FC46" s="68" t="s">
        <v>11</v>
      </c>
      <c r="FD46" s="68" t="s">
        <v>11</v>
      </c>
      <c r="FE46" s="68" t="s">
        <v>11</v>
      </c>
      <c r="FF46" s="68" t="s">
        <v>11</v>
      </c>
      <c r="FG46" s="68" t="s">
        <v>11</v>
      </c>
      <c r="FH46" s="68" t="s">
        <v>11</v>
      </c>
      <c r="FI46" s="68" t="s">
        <v>11</v>
      </c>
      <c r="FJ46" s="68" t="s">
        <v>11</v>
      </c>
      <c r="FK46" s="68" t="s">
        <v>11</v>
      </c>
      <c r="FL46" s="68" t="s">
        <v>11</v>
      </c>
      <c r="FM46" s="120" t="s">
        <v>11</v>
      </c>
      <c r="FN46" s="187" t="s">
        <v>11</v>
      </c>
      <c r="FO46" s="187" t="s">
        <v>11</v>
      </c>
      <c r="FP46" s="187" t="s">
        <v>11</v>
      </c>
      <c r="FQ46" s="187" t="s">
        <v>11</v>
      </c>
      <c r="FR46" s="115" t="s">
        <v>11</v>
      </c>
      <c r="FS46" s="187" t="s">
        <v>11</v>
      </c>
      <c r="FT46" s="187" t="s">
        <v>11</v>
      </c>
      <c r="FU46" s="187" t="s">
        <v>11</v>
      </c>
      <c r="FV46" s="159" t="s">
        <v>11</v>
      </c>
      <c r="FW46" s="159" t="s">
        <v>11</v>
      </c>
      <c r="FX46" s="159" t="s">
        <v>11</v>
      </c>
      <c r="FY46" s="115" t="s">
        <v>11</v>
      </c>
      <c r="FZ46" s="159" t="s">
        <v>11</v>
      </c>
      <c r="GA46" s="159" t="s">
        <v>11</v>
      </c>
      <c r="GB46" s="115" t="s">
        <v>11</v>
      </c>
      <c r="GC46" s="115" t="s">
        <v>11</v>
      </c>
      <c r="GD46" s="187" t="s">
        <v>11</v>
      </c>
      <c r="GE46" s="159" t="s">
        <v>11</v>
      </c>
      <c r="GF46" s="159" t="s">
        <v>11</v>
      </c>
      <c r="GG46" s="208" t="s">
        <v>11</v>
      </c>
      <c r="GH46" s="159" t="s">
        <v>11</v>
      </c>
      <c r="GI46" s="159" t="s">
        <v>11</v>
      </c>
      <c r="GJ46" s="159" t="s">
        <v>11</v>
      </c>
      <c r="GK46" s="159" t="s">
        <v>11</v>
      </c>
      <c r="GL46" s="115" t="s">
        <v>11</v>
      </c>
      <c r="GM46" s="115" t="s">
        <v>11</v>
      </c>
      <c r="GN46" s="159" t="s">
        <v>11</v>
      </c>
      <c r="GO46" s="159" t="s">
        <v>11</v>
      </c>
      <c r="GP46" s="115" t="s">
        <v>11</v>
      </c>
      <c r="GQ46" s="208" t="s">
        <v>11</v>
      </c>
      <c r="GR46" s="115" t="s">
        <v>11</v>
      </c>
      <c r="GS46" s="159" t="s">
        <v>11</v>
      </c>
      <c r="GT46" s="159" t="s">
        <v>11</v>
      </c>
      <c r="GU46" s="159" t="s">
        <v>11</v>
      </c>
      <c r="GV46" s="159" t="s">
        <v>11</v>
      </c>
      <c r="GW46" s="159" t="s">
        <v>11</v>
      </c>
      <c r="GX46" s="159" t="s">
        <v>11</v>
      </c>
      <c r="GY46" s="115" t="s">
        <v>11</v>
      </c>
      <c r="GZ46" s="208" t="s">
        <v>11</v>
      </c>
      <c r="HA46" s="159" t="s">
        <v>11</v>
      </c>
      <c r="HB46" s="159" t="s">
        <v>11</v>
      </c>
      <c r="HC46" s="159" t="s">
        <v>11</v>
      </c>
      <c r="HD46" s="159" t="s">
        <v>11</v>
      </c>
      <c r="HE46" s="159" t="s">
        <v>11</v>
      </c>
      <c r="HF46" s="159" t="s">
        <v>11</v>
      </c>
      <c r="HG46" s="187" t="s">
        <v>11</v>
      </c>
      <c r="HH46" s="159" t="s">
        <v>11</v>
      </c>
      <c r="HI46" s="200" t="s">
        <v>11</v>
      </c>
      <c r="HJ46" s="115" t="s">
        <v>11</v>
      </c>
      <c r="HK46" s="115" t="s">
        <v>11</v>
      </c>
      <c r="HL46" s="159" t="s">
        <v>11</v>
      </c>
      <c r="HM46" s="115" t="s">
        <v>11</v>
      </c>
      <c r="HN46" s="159" t="s">
        <v>11</v>
      </c>
      <c r="HO46" s="159" t="s">
        <v>11</v>
      </c>
      <c r="HP46" s="159" t="s">
        <v>11</v>
      </c>
      <c r="HQ46" s="159" t="s">
        <v>11</v>
      </c>
      <c r="HR46" s="159" t="s">
        <v>11</v>
      </c>
      <c r="HS46" s="159" t="s">
        <v>11</v>
      </c>
      <c r="HT46" s="159" t="s">
        <v>11</v>
      </c>
      <c r="HU46" s="159" t="s">
        <v>11</v>
      </c>
      <c r="HV46" s="159" t="s">
        <v>11</v>
      </c>
      <c r="HW46" s="159" t="s">
        <v>11</v>
      </c>
      <c r="HX46" s="159" t="s">
        <v>11</v>
      </c>
      <c r="HY46" s="115" t="s">
        <v>11</v>
      </c>
      <c r="HZ46" s="159" t="s">
        <v>11</v>
      </c>
      <c r="IA46" s="159" t="s">
        <v>11</v>
      </c>
      <c r="IB46" s="159" t="s">
        <v>11</v>
      </c>
      <c r="IC46" s="115" t="s">
        <v>11</v>
      </c>
      <c r="ID46" s="159" t="s">
        <v>11</v>
      </c>
      <c r="IE46" s="159" t="s">
        <v>11</v>
      </c>
      <c r="IF46" s="183" t="s">
        <v>11</v>
      </c>
      <c r="IG46" s="185" t="s">
        <v>11</v>
      </c>
      <c r="IH46" s="185" t="s">
        <v>11</v>
      </c>
      <c r="II46" s="185" t="s">
        <v>11</v>
      </c>
      <c r="IJ46" s="185" t="s">
        <v>11</v>
      </c>
      <c r="IK46" s="183" t="s">
        <v>11</v>
      </c>
      <c r="IL46" s="183" t="s">
        <v>11</v>
      </c>
      <c r="IM46" s="159" t="s">
        <v>11</v>
      </c>
      <c r="IN46" s="159" t="s">
        <v>11</v>
      </c>
      <c r="IO46" s="159" t="s">
        <v>11</v>
      </c>
      <c r="IP46" s="159" t="s">
        <v>11</v>
      </c>
      <c r="IQ46" s="115" t="s">
        <v>11</v>
      </c>
      <c r="IR46" s="159" t="s">
        <v>11</v>
      </c>
      <c r="IS46" s="159" t="s">
        <v>11</v>
      </c>
      <c r="IT46" s="159" t="s">
        <v>11</v>
      </c>
      <c r="IU46" s="159" t="s">
        <v>11</v>
      </c>
      <c r="IV46" s="159" t="s">
        <v>11</v>
      </c>
      <c r="IW46" s="159" t="s">
        <v>11</v>
      </c>
      <c r="IX46" s="159"/>
      <c r="IY46" s="159" t="s">
        <v>11</v>
      </c>
      <c r="IZ46" s="159" t="s">
        <v>11</v>
      </c>
      <c r="JA46" s="159" t="s">
        <v>11</v>
      </c>
      <c r="JB46" s="159" t="s">
        <v>11</v>
      </c>
      <c r="JC46" s="159" t="s">
        <v>11</v>
      </c>
      <c r="JD46" s="159" t="s">
        <v>11</v>
      </c>
      <c r="JE46" s="159" t="s">
        <v>11</v>
      </c>
      <c r="JF46" s="159" t="s">
        <v>11</v>
      </c>
      <c r="JG46" s="159" t="s">
        <v>11</v>
      </c>
      <c r="JH46" s="159" t="s">
        <v>11</v>
      </c>
      <c r="JI46" s="159" t="s">
        <v>11</v>
      </c>
      <c r="JJ46" s="243" t="s">
        <v>11</v>
      </c>
      <c r="JK46" s="243" t="s">
        <v>11</v>
      </c>
      <c r="JL46" s="243" t="s">
        <v>11</v>
      </c>
      <c r="JM46" s="243" t="s">
        <v>11</v>
      </c>
      <c r="JN46" s="159" t="s">
        <v>11</v>
      </c>
      <c r="JO46" s="159" t="s">
        <v>11</v>
      </c>
      <c r="JP46" s="159" t="s">
        <v>11</v>
      </c>
      <c r="JQ46" s="159" t="s">
        <v>11</v>
      </c>
      <c r="JR46" s="159" t="s">
        <v>11</v>
      </c>
      <c r="JS46" s="159" t="s">
        <v>11</v>
      </c>
      <c r="JT46" s="159" t="s">
        <v>11</v>
      </c>
      <c r="JU46" s="159" t="s">
        <v>11</v>
      </c>
      <c r="JV46" s="159" t="s">
        <v>11</v>
      </c>
      <c r="JW46" s="159" t="s">
        <v>11</v>
      </c>
      <c r="JX46" s="159" t="s">
        <v>11</v>
      </c>
      <c r="JY46" s="159" t="s">
        <v>11</v>
      </c>
      <c r="JZ46" s="159" t="s">
        <v>11</v>
      </c>
      <c r="KA46" s="159" t="s">
        <v>11</v>
      </c>
      <c r="KB46" s="159" t="s">
        <v>11</v>
      </c>
      <c r="KC46" s="159" t="s">
        <v>11</v>
      </c>
      <c r="KD46" s="159" t="s">
        <v>11</v>
      </c>
      <c r="KE46" s="159" t="s">
        <v>11</v>
      </c>
      <c r="KF46" s="159" t="s">
        <v>11</v>
      </c>
      <c r="KG46" s="159" t="s">
        <v>11</v>
      </c>
      <c r="KH46" s="159" t="s">
        <v>11</v>
      </c>
      <c r="KI46" s="159" t="s">
        <v>11</v>
      </c>
      <c r="KJ46" s="159" t="s">
        <v>11</v>
      </c>
      <c r="KK46" s="159" t="s">
        <v>11</v>
      </c>
      <c r="KL46" s="159" t="s">
        <v>11</v>
      </c>
      <c r="KM46" s="159" t="s">
        <v>11</v>
      </c>
      <c r="KN46" s="187" t="s">
        <v>11</v>
      </c>
      <c r="KO46" s="159" t="s">
        <v>11</v>
      </c>
      <c r="KP46" s="159" t="s">
        <v>11</v>
      </c>
      <c r="KQ46" s="159" t="s">
        <v>11</v>
      </c>
      <c r="KR46" s="159" t="s">
        <v>11</v>
      </c>
      <c r="KS46" s="159" t="s">
        <v>11</v>
      </c>
      <c r="KT46" s="159" t="s">
        <v>11</v>
      </c>
      <c r="KU46" s="159" t="s">
        <v>11</v>
      </c>
      <c r="KV46" s="159" t="s">
        <v>11</v>
      </c>
      <c r="KW46" s="115" t="s">
        <v>11</v>
      </c>
      <c r="KX46" s="115" t="s">
        <v>11</v>
      </c>
      <c r="KY46" s="243" t="s">
        <v>11</v>
      </c>
      <c r="KZ46" s="243" t="s">
        <v>11</v>
      </c>
      <c r="LA46" s="187" t="s">
        <v>11</v>
      </c>
      <c r="LB46" s="115" t="s">
        <v>11</v>
      </c>
      <c r="LC46" s="115" t="s">
        <v>11</v>
      </c>
      <c r="LD46" s="115" t="s">
        <v>11</v>
      </c>
      <c r="LE46" s="115" t="s">
        <v>11</v>
      </c>
      <c r="LF46" s="115" t="s">
        <v>11</v>
      </c>
      <c r="LG46" s="115" t="s">
        <v>11</v>
      </c>
      <c r="LH46" s="115" t="s">
        <v>11</v>
      </c>
      <c r="LI46" s="115" t="s">
        <v>11</v>
      </c>
      <c r="LJ46" s="115" t="s">
        <v>11</v>
      </c>
      <c r="LK46" s="115" t="s">
        <v>11</v>
      </c>
      <c r="LL46" s="187" t="s">
        <v>11</v>
      </c>
      <c r="LM46" s="120" t="s">
        <v>11</v>
      </c>
      <c r="LN46" s="263" t="s">
        <v>11</v>
      </c>
      <c r="LO46" s="115" t="s">
        <v>11</v>
      </c>
      <c r="LP46" s="115" t="s">
        <v>11</v>
      </c>
      <c r="LQ46" s="263" t="s">
        <v>11</v>
      </c>
      <c r="LR46" s="115" t="s">
        <v>11</v>
      </c>
      <c r="LS46" s="115" t="s">
        <v>11</v>
      </c>
      <c r="LT46" s="115" t="s">
        <v>11</v>
      </c>
      <c r="LU46" s="115" t="s">
        <v>11</v>
      </c>
      <c r="LV46" s="286" t="s">
        <v>11</v>
      </c>
      <c r="LW46" s="115" t="s">
        <v>11</v>
      </c>
      <c r="LX46" s="115" t="s">
        <v>11</v>
      </c>
      <c r="LY46" s="115" t="s">
        <v>11</v>
      </c>
      <c r="LZ46" s="115" t="s">
        <v>11</v>
      </c>
      <c r="MA46" s="115" t="s">
        <v>11</v>
      </c>
      <c r="MB46" s="115" t="s">
        <v>11</v>
      </c>
      <c r="MC46" s="115" t="s">
        <v>11</v>
      </c>
      <c r="MD46" s="115" t="s">
        <v>11</v>
      </c>
    </row>
    <row r="47" spans="1:342" s="68" customFormat="1" ht="14.4" x14ac:dyDescent="0.3">
      <c r="A47" s="92">
        <v>44</v>
      </c>
      <c r="B47" s="311"/>
      <c r="C47" s="64" t="s">
        <v>484</v>
      </c>
      <c r="D47" s="69"/>
      <c r="E47" s="66" t="s">
        <v>11</v>
      </c>
      <c r="F47" s="66" t="s">
        <v>11</v>
      </c>
      <c r="G47" s="66" t="s">
        <v>11</v>
      </c>
      <c r="H47" s="66" t="s">
        <v>11</v>
      </c>
      <c r="I47" s="66" t="s">
        <v>11</v>
      </c>
      <c r="J47" s="66" t="s">
        <v>11</v>
      </c>
      <c r="K47" s="66" t="s">
        <v>11</v>
      </c>
      <c r="L47" s="66" t="s">
        <v>11</v>
      </c>
      <c r="M47" s="66" t="s">
        <v>11</v>
      </c>
      <c r="N47" s="66" t="s">
        <v>11</v>
      </c>
      <c r="O47" s="66" t="s">
        <v>11</v>
      </c>
      <c r="P47" s="66" t="s">
        <v>11</v>
      </c>
      <c r="Q47" s="66" t="s">
        <v>11</v>
      </c>
      <c r="R47" s="66" t="s">
        <v>11</v>
      </c>
      <c r="S47" s="66" t="s">
        <v>11</v>
      </c>
      <c r="T47" s="66" t="s">
        <v>11</v>
      </c>
      <c r="U47" s="66" t="s">
        <v>11</v>
      </c>
      <c r="V47" s="66" t="s">
        <v>11</v>
      </c>
      <c r="W47" s="66" t="s">
        <v>11</v>
      </c>
      <c r="X47" s="66" t="s">
        <v>11</v>
      </c>
      <c r="Y47" s="66" t="s">
        <v>11</v>
      </c>
      <c r="Z47" s="66" t="s">
        <v>11</v>
      </c>
      <c r="AA47" s="66" t="s">
        <v>11</v>
      </c>
      <c r="AB47" s="66" t="s">
        <v>11</v>
      </c>
      <c r="AC47" s="66" t="s">
        <v>11</v>
      </c>
      <c r="AD47" s="66" t="s">
        <v>11</v>
      </c>
      <c r="AE47" s="66" t="s">
        <v>11</v>
      </c>
      <c r="AF47" s="66" t="s">
        <v>11</v>
      </c>
      <c r="AG47" s="66" t="s">
        <v>11</v>
      </c>
      <c r="AH47" s="66" t="s">
        <v>11</v>
      </c>
      <c r="AI47" s="66" t="s">
        <v>11</v>
      </c>
      <c r="AJ47" s="66" t="s">
        <v>11</v>
      </c>
      <c r="AK47" s="66" t="s">
        <v>11</v>
      </c>
      <c r="AL47" s="66" t="s">
        <v>11</v>
      </c>
      <c r="AM47" s="66" t="s">
        <v>11</v>
      </c>
      <c r="AN47" s="66" t="s">
        <v>11</v>
      </c>
      <c r="AO47" s="66" t="s">
        <v>11</v>
      </c>
      <c r="AP47" s="66" t="s">
        <v>11</v>
      </c>
      <c r="AQ47" s="66" t="s">
        <v>11</v>
      </c>
      <c r="AR47" s="66" t="s">
        <v>11</v>
      </c>
      <c r="AS47" s="66" t="s">
        <v>11</v>
      </c>
      <c r="AT47" s="66" t="s">
        <v>11</v>
      </c>
      <c r="AU47" s="66" t="s">
        <v>11</v>
      </c>
      <c r="AV47" s="66" t="s">
        <v>11</v>
      </c>
      <c r="AW47" s="66" t="s">
        <v>11</v>
      </c>
      <c r="AX47" s="66" t="s">
        <v>11</v>
      </c>
      <c r="AY47" s="66" t="s">
        <v>11</v>
      </c>
      <c r="AZ47" s="66" t="s">
        <v>11</v>
      </c>
      <c r="BA47" s="66" t="s">
        <v>11</v>
      </c>
      <c r="BB47" s="66" t="s">
        <v>11</v>
      </c>
      <c r="BC47" s="66" t="s">
        <v>11</v>
      </c>
      <c r="BD47" s="66" t="s">
        <v>11</v>
      </c>
      <c r="BE47" s="66" t="s">
        <v>11</v>
      </c>
      <c r="BF47" s="66" t="s">
        <v>11</v>
      </c>
      <c r="BG47" s="66" t="s">
        <v>11</v>
      </c>
      <c r="BH47" s="66" t="s">
        <v>11</v>
      </c>
      <c r="BI47" s="66" t="s">
        <v>11</v>
      </c>
      <c r="BJ47" s="66" t="s">
        <v>11</v>
      </c>
      <c r="BK47" s="38" t="s">
        <v>11</v>
      </c>
      <c r="BL47" s="38" t="s">
        <v>11</v>
      </c>
      <c r="BM47" s="38" t="s">
        <v>11</v>
      </c>
      <c r="BN47" s="38" t="s">
        <v>11</v>
      </c>
      <c r="BO47" s="38" t="s">
        <v>11</v>
      </c>
      <c r="BP47" s="38" t="s">
        <v>11</v>
      </c>
      <c r="BQ47" s="38" t="s">
        <v>11</v>
      </c>
      <c r="BR47" s="117" t="s">
        <v>11</v>
      </c>
      <c r="BS47" s="105" t="s">
        <v>11</v>
      </c>
      <c r="BT47" s="105" t="s">
        <v>11</v>
      </c>
      <c r="BU47" s="115" t="s">
        <v>11</v>
      </c>
      <c r="BV47" s="159" t="s">
        <v>11</v>
      </c>
      <c r="BW47" s="159" t="s">
        <v>11</v>
      </c>
      <c r="BX47" s="115" t="s">
        <v>11</v>
      </c>
      <c r="BY47" s="115" t="s">
        <v>11</v>
      </c>
      <c r="BZ47" s="115" t="s">
        <v>11</v>
      </c>
      <c r="CA47" s="68" t="s">
        <v>11</v>
      </c>
      <c r="CB47" s="68" t="s">
        <v>11</v>
      </c>
      <c r="CC47" s="68" t="s">
        <v>11</v>
      </c>
      <c r="CD47" s="68" t="s">
        <v>11</v>
      </c>
      <c r="CE47" s="68" t="s">
        <v>11</v>
      </c>
      <c r="CF47" s="68" t="s">
        <v>11</v>
      </c>
      <c r="CG47" s="68" t="s">
        <v>11</v>
      </c>
      <c r="CH47" s="68" t="s">
        <v>11</v>
      </c>
      <c r="CI47" s="68" t="s">
        <v>11</v>
      </c>
      <c r="CJ47" s="68" t="s">
        <v>11</v>
      </c>
      <c r="CK47" s="68" t="s">
        <v>11</v>
      </c>
      <c r="CL47" s="68" t="s">
        <v>11</v>
      </c>
      <c r="CM47" s="68" t="s">
        <v>11</v>
      </c>
      <c r="CN47" s="68" t="s">
        <v>11</v>
      </c>
      <c r="CO47" s="68" t="s">
        <v>11</v>
      </c>
      <c r="CP47" s="68" t="s">
        <v>11</v>
      </c>
      <c r="CQ47" s="68" t="s">
        <v>11</v>
      </c>
      <c r="CR47" s="68" t="s">
        <v>11</v>
      </c>
      <c r="CS47" s="68" t="s">
        <v>11</v>
      </c>
      <c r="CT47" s="68" t="s">
        <v>11</v>
      </c>
      <c r="CU47" s="68" t="s">
        <v>11</v>
      </c>
      <c r="CV47" s="68" t="s">
        <v>11</v>
      </c>
      <c r="CW47" s="68" t="s">
        <v>11</v>
      </c>
      <c r="CX47" s="68" t="s">
        <v>11</v>
      </c>
      <c r="CY47" s="68" t="s">
        <v>11</v>
      </c>
      <c r="CZ47" s="68" t="s">
        <v>11</v>
      </c>
      <c r="DA47" s="68" t="s">
        <v>11</v>
      </c>
      <c r="DB47" s="68" t="s">
        <v>11</v>
      </c>
      <c r="DC47" s="68" t="s">
        <v>11</v>
      </c>
      <c r="DD47" s="68" t="s">
        <v>11</v>
      </c>
      <c r="DE47" s="68" t="s">
        <v>11</v>
      </c>
      <c r="DF47" s="68" t="s">
        <v>11</v>
      </c>
      <c r="DG47" s="68" t="s">
        <v>11</v>
      </c>
      <c r="DH47" s="68" t="s">
        <v>11</v>
      </c>
      <c r="DI47" s="68" t="s">
        <v>11</v>
      </c>
      <c r="DJ47" s="68" t="s">
        <v>11</v>
      </c>
      <c r="DK47" s="68" t="s">
        <v>11</v>
      </c>
      <c r="DL47" s="68" t="s">
        <v>11</v>
      </c>
      <c r="DM47" s="68" t="s">
        <v>11</v>
      </c>
      <c r="DN47" s="68" t="s">
        <v>11</v>
      </c>
      <c r="DO47" s="68" t="s">
        <v>11</v>
      </c>
      <c r="DP47" s="68" t="s">
        <v>11</v>
      </c>
      <c r="DQ47" s="68" t="s">
        <v>11</v>
      </c>
      <c r="DR47" s="68" t="s">
        <v>11</v>
      </c>
      <c r="DS47" s="68" t="s">
        <v>11</v>
      </c>
      <c r="DT47" s="68" t="s">
        <v>11</v>
      </c>
      <c r="DU47" s="68" t="s">
        <v>11</v>
      </c>
      <c r="DV47" s="68" t="s">
        <v>11</v>
      </c>
      <c r="DW47" s="159" t="s">
        <v>11</v>
      </c>
      <c r="DX47" s="159" t="s">
        <v>11</v>
      </c>
      <c r="DY47" s="159" t="s">
        <v>11</v>
      </c>
      <c r="DZ47" s="159" t="s">
        <v>11</v>
      </c>
      <c r="EA47" s="159" t="s">
        <v>11</v>
      </c>
      <c r="EB47" s="159" t="s">
        <v>11</v>
      </c>
      <c r="EC47" s="159" t="s">
        <v>11</v>
      </c>
      <c r="ED47" s="159" t="s">
        <v>11</v>
      </c>
      <c r="EE47" s="159" t="s">
        <v>11</v>
      </c>
      <c r="EF47" s="159" t="s">
        <v>11</v>
      </c>
      <c r="EG47" s="159" t="s">
        <v>11</v>
      </c>
      <c r="EH47" s="159" t="s">
        <v>11</v>
      </c>
      <c r="EI47" s="187" t="s">
        <v>11</v>
      </c>
      <c r="EJ47" s="115" t="s">
        <v>11</v>
      </c>
      <c r="EK47" s="187" t="s">
        <v>11</v>
      </c>
      <c r="EL47" s="115" t="s">
        <v>11</v>
      </c>
      <c r="EM47" s="187" t="s">
        <v>11</v>
      </c>
      <c r="EN47" s="159" t="s">
        <v>11</v>
      </c>
      <c r="EO47" s="159" t="s">
        <v>11</v>
      </c>
      <c r="EP47" s="159" t="s">
        <v>11</v>
      </c>
      <c r="EQ47" s="159" t="s">
        <v>11</v>
      </c>
      <c r="ER47" s="115" t="s">
        <v>11</v>
      </c>
      <c r="ES47" s="159" t="s">
        <v>11</v>
      </c>
      <c r="ET47" s="159" t="s">
        <v>11</v>
      </c>
      <c r="EU47" s="159" t="s">
        <v>11</v>
      </c>
      <c r="EV47" s="159" t="s">
        <v>11</v>
      </c>
      <c r="EW47" s="159" t="s">
        <v>11</v>
      </c>
      <c r="EX47" s="115" t="s">
        <v>11</v>
      </c>
      <c r="EY47" s="115" t="s">
        <v>11</v>
      </c>
      <c r="EZ47" s="115" t="s">
        <v>11</v>
      </c>
      <c r="FA47" s="68" t="s">
        <v>11</v>
      </c>
      <c r="FB47" s="68" t="s">
        <v>11</v>
      </c>
      <c r="FC47" s="68" t="s">
        <v>11</v>
      </c>
      <c r="FD47" s="68" t="s">
        <v>11</v>
      </c>
      <c r="FE47" s="68" t="s">
        <v>11</v>
      </c>
      <c r="FF47" s="68" t="s">
        <v>11</v>
      </c>
      <c r="FG47" s="68" t="s">
        <v>11</v>
      </c>
      <c r="FH47" s="68" t="s">
        <v>11</v>
      </c>
      <c r="FI47" s="68" t="s">
        <v>11</v>
      </c>
      <c r="FJ47" s="68" t="s">
        <v>11</v>
      </c>
      <c r="FK47" s="68" t="s">
        <v>11</v>
      </c>
      <c r="FL47" s="68" t="s">
        <v>11</v>
      </c>
      <c r="FM47" s="120" t="s">
        <v>11</v>
      </c>
      <c r="FN47" s="187" t="s">
        <v>11</v>
      </c>
      <c r="FO47" s="187" t="s">
        <v>11</v>
      </c>
      <c r="FP47" s="187" t="s">
        <v>11</v>
      </c>
      <c r="FQ47" s="187" t="s">
        <v>11</v>
      </c>
      <c r="FR47" s="115" t="s">
        <v>11</v>
      </c>
      <c r="FS47" s="187" t="s">
        <v>11</v>
      </c>
      <c r="FT47" s="187" t="s">
        <v>11</v>
      </c>
      <c r="FU47" s="187" t="s">
        <v>11</v>
      </c>
      <c r="FV47" s="159" t="s">
        <v>11</v>
      </c>
      <c r="FW47" s="159" t="s">
        <v>11</v>
      </c>
      <c r="FX47" s="159" t="s">
        <v>11</v>
      </c>
      <c r="FY47" s="115" t="s">
        <v>11</v>
      </c>
      <c r="FZ47" s="159" t="s">
        <v>11</v>
      </c>
      <c r="GA47" s="159" t="s">
        <v>11</v>
      </c>
      <c r="GB47" s="115" t="s">
        <v>11</v>
      </c>
      <c r="GC47" s="115" t="s">
        <v>11</v>
      </c>
      <c r="GD47" s="187" t="s">
        <v>11</v>
      </c>
      <c r="GE47" s="159" t="s">
        <v>11</v>
      </c>
      <c r="GF47" s="159" t="s">
        <v>11</v>
      </c>
      <c r="GG47" s="208" t="s">
        <v>11</v>
      </c>
      <c r="GH47" s="159" t="s">
        <v>11</v>
      </c>
      <c r="GI47" s="159" t="s">
        <v>11</v>
      </c>
      <c r="GJ47" s="159" t="s">
        <v>11</v>
      </c>
      <c r="GK47" s="159" t="s">
        <v>11</v>
      </c>
      <c r="GL47" s="115" t="s">
        <v>11</v>
      </c>
      <c r="GM47" s="115" t="s">
        <v>11</v>
      </c>
      <c r="GN47" s="159" t="s">
        <v>11</v>
      </c>
      <c r="GO47" s="159" t="s">
        <v>11</v>
      </c>
      <c r="GP47" s="115" t="s">
        <v>11</v>
      </c>
      <c r="GQ47" s="208" t="s">
        <v>11</v>
      </c>
      <c r="GR47" s="115" t="s">
        <v>11</v>
      </c>
      <c r="GS47" s="159" t="s">
        <v>11</v>
      </c>
      <c r="GT47" s="159" t="s">
        <v>11</v>
      </c>
      <c r="GU47" s="159" t="s">
        <v>11</v>
      </c>
      <c r="GV47" s="159" t="s">
        <v>11</v>
      </c>
      <c r="GW47" s="159" t="s">
        <v>11</v>
      </c>
      <c r="GX47" s="159" t="s">
        <v>11</v>
      </c>
      <c r="GY47" s="115" t="s">
        <v>11</v>
      </c>
      <c r="GZ47" s="208" t="s">
        <v>11</v>
      </c>
      <c r="HA47" s="159" t="s">
        <v>11</v>
      </c>
      <c r="HB47" s="159" t="s">
        <v>11</v>
      </c>
      <c r="HC47" s="159" t="s">
        <v>11</v>
      </c>
      <c r="HD47" s="159" t="s">
        <v>11</v>
      </c>
      <c r="HE47" s="159" t="s">
        <v>11</v>
      </c>
      <c r="HF47" s="159" t="s">
        <v>11</v>
      </c>
      <c r="HG47" s="187" t="s">
        <v>11</v>
      </c>
      <c r="HH47" s="159" t="s">
        <v>11</v>
      </c>
      <c r="HI47" s="200" t="s">
        <v>11</v>
      </c>
      <c r="HJ47" s="115" t="s">
        <v>11</v>
      </c>
      <c r="HK47" s="115" t="s">
        <v>11</v>
      </c>
      <c r="HL47" s="159" t="s">
        <v>11</v>
      </c>
      <c r="HM47" s="115" t="s">
        <v>11</v>
      </c>
      <c r="HN47" s="159" t="s">
        <v>11</v>
      </c>
      <c r="HO47" s="159" t="s">
        <v>11</v>
      </c>
      <c r="HP47" s="159" t="s">
        <v>11</v>
      </c>
      <c r="HQ47" s="159" t="s">
        <v>11</v>
      </c>
      <c r="HR47" s="159" t="s">
        <v>11</v>
      </c>
      <c r="HS47" s="159" t="s">
        <v>11</v>
      </c>
      <c r="HT47" s="159" t="s">
        <v>11</v>
      </c>
      <c r="HU47" s="159" t="s">
        <v>11</v>
      </c>
      <c r="HV47" s="159" t="s">
        <v>11</v>
      </c>
      <c r="HW47" s="159" t="s">
        <v>11</v>
      </c>
      <c r="HX47" s="159" t="s">
        <v>11</v>
      </c>
      <c r="HY47" s="115" t="s">
        <v>11</v>
      </c>
      <c r="HZ47" s="159" t="s">
        <v>11</v>
      </c>
      <c r="IA47" s="159" t="s">
        <v>11</v>
      </c>
      <c r="IB47" s="159" t="s">
        <v>11</v>
      </c>
      <c r="IC47" s="115" t="s">
        <v>11</v>
      </c>
      <c r="ID47" s="159" t="s">
        <v>11</v>
      </c>
      <c r="IE47" s="159" t="s">
        <v>11</v>
      </c>
      <c r="IF47" s="183" t="s">
        <v>11</v>
      </c>
      <c r="IG47" s="185" t="s">
        <v>11</v>
      </c>
      <c r="IH47" s="185" t="s">
        <v>11</v>
      </c>
      <c r="II47" s="185" t="s">
        <v>11</v>
      </c>
      <c r="IJ47" s="185" t="s">
        <v>11</v>
      </c>
      <c r="IK47" s="183" t="s">
        <v>11</v>
      </c>
      <c r="IL47" s="183" t="s">
        <v>11</v>
      </c>
      <c r="IM47" s="159" t="s">
        <v>11</v>
      </c>
      <c r="IN47" s="159" t="s">
        <v>11</v>
      </c>
      <c r="IO47" s="159" t="s">
        <v>11</v>
      </c>
      <c r="IP47" s="159" t="s">
        <v>11</v>
      </c>
      <c r="IQ47" s="115" t="s">
        <v>11</v>
      </c>
      <c r="IR47" s="159" t="s">
        <v>11</v>
      </c>
      <c r="IS47" s="159" t="s">
        <v>11</v>
      </c>
      <c r="IT47" s="159" t="s">
        <v>11</v>
      </c>
      <c r="IU47" s="159" t="s">
        <v>11</v>
      </c>
      <c r="IV47" s="159" t="s">
        <v>11</v>
      </c>
      <c r="IW47" s="159" t="s">
        <v>11</v>
      </c>
      <c r="IX47" s="159"/>
      <c r="IY47" s="159" t="s">
        <v>11</v>
      </c>
      <c r="IZ47" s="159" t="s">
        <v>11</v>
      </c>
      <c r="JA47" s="159" t="s">
        <v>11</v>
      </c>
      <c r="JB47" s="159" t="s">
        <v>11</v>
      </c>
      <c r="JC47" s="159" t="s">
        <v>11</v>
      </c>
      <c r="JD47" s="159" t="s">
        <v>11</v>
      </c>
      <c r="JE47" s="159" t="s">
        <v>11</v>
      </c>
      <c r="JF47" s="159" t="s">
        <v>11</v>
      </c>
      <c r="JG47" s="159" t="s">
        <v>11</v>
      </c>
      <c r="JH47" s="159" t="s">
        <v>11</v>
      </c>
      <c r="JI47" s="159" t="s">
        <v>11</v>
      </c>
      <c r="JJ47" s="243" t="s">
        <v>11</v>
      </c>
      <c r="JK47" s="243" t="s">
        <v>11</v>
      </c>
      <c r="JL47" s="243" t="s">
        <v>11</v>
      </c>
      <c r="JM47" s="243" t="s">
        <v>11</v>
      </c>
      <c r="JN47" s="159" t="s">
        <v>11</v>
      </c>
      <c r="JO47" s="159" t="s">
        <v>11</v>
      </c>
      <c r="JP47" s="159" t="s">
        <v>11</v>
      </c>
      <c r="JQ47" s="159" t="s">
        <v>11</v>
      </c>
      <c r="JR47" s="159" t="s">
        <v>11</v>
      </c>
      <c r="JS47" s="159" t="s">
        <v>11</v>
      </c>
      <c r="JT47" s="159" t="s">
        <v>11</v>
      </c>
      <c r="JU47" s="159" t="s">
        <v>11</v>
      </c>
      <c r="JV47" s="159" t="s">
        <v>11</v>
      </c>
      <c r="JW47" s="159" t="s">
        <v>11</v>
      </c>
      <c r="JX47" s="159" t="s">
        <v>11</v>
      </c>
      <c r="JY47" s="159" t="s">
        <v>11</v>
      </c>
      <c r="JZ47" s="159" t="s">
        <v>11</v>
      </c>
      <c r="KA47" s="159" t="s">
        <v>11</v>
      </c>
      <c r="KB47" s="159" t="s">
        <v>11</v>
      </c>
      <c r="KC47" s="159" t="s">
        <v>11</v>
      </c>
      <c r="KD47" s="159" t="s">
        <v>11</v>
      </c>
      <c r="KE47" s="159" t="s">
        <v>11</v>
      </c>
      <c r="KF47" s="159" t="s">
        <v>11</v>
      </c>
      <c r="KG47" s="159" t="s">
        <v>11</v>
      </c>
      <c r="KH47" s="159" t="s">
        <v>11</v>
      </c>
      <c r="KI47" s="159" t="s">
        <v>11</v>
      </c>
      <c r="KJ47" s="159" t="s">
        <v>11</v>
      </c>
      <c r="KK47" s="159" t="s">
        <v>11</v>
      </c>
      <c r="KL47" s="159" t="s">
        <v>11</v>
      </c>
      <c r="KM47" s="159" t="s">
        <v>11</v>
      </c>
      <c r="KN47" s="187" t="s">
        <v>11</v>
      </c>
      <c r="KO47" s="159" t="s">
        <v>11</v>
      </c>
      <c r="KP47" s="159" t="s">
        <v>11</v>
      </c>
      <c r="KQ47" s="159" t="s">
        <v>11</v>
      </c>
      <c r="KR47" s="159" t="s">
        <v>11</v>
      </c>
      <c r="KS47" s="159" t="s">
        <v>11</v>
      </c>
      <c r="KT47" s="159" t="s">
        <v>11</v>
      </c>
      <c r="KU47" s="159" t="s">
        <v>11</v>
      </c>
      <c r="KV47" s="159" t="s">
        <v>11</v>
      </c>
      <c r="KW47" s="115" t="s">
        <v>11</v>
      </c>
      <c r="KX47" s="115" t="s">
        <v>11</v>
      </c>
      <c r="KY47" s="243" t="s">
        <v>11</v>
      </c>
      <c r="KZ47" s="243" t="s">
        <v>11</v>
      </c>
      <c r="LA47" s="187" t="s">
        <v>11</v>
      </c>
      <c r="LB47" s="115" t="s">
        <v>11</v>
      </c>
      <c r="LC47" s="115" t="s">
        <v>11</v>
      </c>
      <c r="LD47" s="115" t="s">
        <v>11</v>
      </c>
      <c r="LE47" s="115" t="s">
        <v>11</v>
      </c>
      <c r="LF47" s="115" t="s">
        <v>11</v>
      </c>
      <c r="LG47" s="115" t="s">
        <v>11</v>
      </c>
      <c r="LH47" s="115" t="s">
        <v>11</v>
      </c>
      <c r="LI47" s="115" t="s">
        <v>11</v>
      </c>
      <c r="LJ47" s="115" t="s">
        <v>11</v>
      </c>
      <c r="LK47" s="115" t="s">
        <v>11</v>
      </c>
      <c r="LL47" s="187" t="s">
        <v>11</v>
      </c>
      <c r="LM47" s="120" t="s">
        <v>11</v>
      </c>
      <c r="LN47" s="263" t="s">
        <v>11</v>
      </c>
      <c r="LO47" s="115" t="s">
        <v>11</v>
      </c>
      <c r="LP47" s="115" t="s">
        <v>11</v>
      </c>
      <c r="LQ47" s="263" t="s">
        <v>11</v>
      </c>
      <c r="LR47" s="115" t="s">
        <v>11</v>
      </c>
      <c r="LS47" s="115" t="s">
        <v>11</v>
      </c>
      <c r="LT47" s="115" t="s">
        <v>11</v>
      </c>
      <c r="LU47" s="115" t="s">
        <v>11</v>
      </c>
      <c r="LV47" s="286" t="s">
        <v>11</v>
      </c>
      <c r="LW47" s="115" t="s">
        <v>11</v>
      </c>
      <c r="LX47" s="115" t="s">
        <v>11</v>
      </c>
      <c r="LY47" s="115" t="s">
        <v>11</v>
      </c>
      <c r="LZ47" s="115" t="s">
        <v>11</v>
      </c>
      <c r="MA47" s="115" t="s">
        <v>11</v>
      </c>
      <c r="MB47" s="115" t="s">
        <v>11</v>
      </c>
      <c r="MC47" s="115" t="s">
        <v>11</v>
      </c>
      <c r="MD47" s="115" t="s">
        <v>11</v>
      </c>
    </row>
    <row r="48" spans="1:342" s="68" customFormat="1" ht="14.4" x14ac:dyDescent="0.3">
      <c r="A48" s="92">
        <v>45</v>
      </c>
      <c r="B48" s="311"/>
      <c r="C48" s="64" t="s">
        <v>485</v>
      </c>
      <c r="D48" s="69"/>
      <c r="E48" s="66" t="s">
        <v>11</v>
      </c>
      <c r="F48" s="66" t="s">
        <v>11</v>
      </c>
      <c r="G48" s="66" t="s">
        <v>11</v>
      </c>
      <c r="H48" s="66" t="s">
        <v>11</v>
      </c>
      <c r="I48" s="66" t="s">
        <v>11</v>
      </c>
      <c r="J48" s="66" t="s">
        <v>11</v>
      </c>
      <c r="K48" s="66" t="s">
        <v>11</v>
      </c>
      <c r="L48" s="66" t="s">
        <v>11</v>
      </c>
      <c r="M48" s="66" t="s">
        <v>11</v>
      </c>
      <c r="N48" s="66" t="s">
        <v>11</v>
      </c>
      <c r="O48" s="66" t="s">
        <v>11</v>
      </c>
      <c r="P48" s="66" t="s">
        <v>11</v>
      </c>
      <c r="Q48" s="66" t="s">
        <v>11</v>
      </c>
      <c r="R48" s="66" t="s">
        <v>11</v>
      </c>
      <c r="S48" s="66" t="s">
        <v>11</v>
      </c>
      <c r="T48" s="66" t="s">
        <v>11</v>
      </c>
      <c r="U48" s="66" t="s">
        <v>11</v>
      </c>
      <c r="V48" s="66" t="s">
        <v>11</v>
      </c>
      <c r="W48" s="66" t="s">
        <v>11</v>
      </c>
      <c r="X48" s="66" t="s">
        <v>11</v>
      </c>
      <c r="Y48" s="66" t="s">
        <v>11</v>
      </c>
      <c r="Z48" s="66" t="s">
        <v>11</v>
      </c>
      <c r="AA48" s="66" t="s">
        <v>11</v>
      </c>
      <c r="AB48" s="66" t="s">
        <v>11</v>
      </c>
      <c r="AC48" s="66" t="s">
        <v>11</v>
      </c>
      <c r="AD48" s="66" t="s">
        <v>11</v>
      </c>
      <c r="AE48" s="66" t="s">
        <v>11</v>
      </c>
      <c r="AF48" s="66" t="s">
        <v>11</v>
      </c>
      <c r="AG48" s="66" t="s">
        <v>11</v>
      </c>
      <c r="AH48" s="66" t="s">
        <v>11</v>
      </c>
      <c r="AI48" s="66" t="s">
        <v>11</v>
      </c>
      <c r="AJ48" s="66" t="s">
        <v>11</v>
      </c>
      <c r="AK48" s="66" t="s">
        <v>11</v>
      </c>
      <c r="AL48" s="66" t="s">
        <v>11</v>
      </c>
      <c r="AM48" s="66" t="s">
        <v>11</v>
      </c>
      <c r="AN48" s="66" t="s">
        <v>11</v>
      </c>
      <c r="AO48" s="66" t="s">
        <v>11</v>
      </c>
      <c r="AP48" s="66" t="s">
        <v>11</v>
      </c>
      <c r="AQ48" s="66" t="s">
        <v>11</v>
      </c>
      <c r="AR48" s="66" t="s">
        <v>11</v>
      </c>
      <c r="AS48" s="66" t="s">
        <v>11</v>
      </c>
      <c r="AT48" s="66" t="s">
        <v>11</v>
      </c>
      <c r="AU48" s="66" t="s">
        <v>11</v>
      </c>
      <c r="AV48" s="66" t="s">
        <v>11</v>
      </c>
      <c r="AW48" s="66" t="s">
        <v>11</v>
      </c>
      <c r="AX48" s="66" t="s">
        <v>11</v>
      </c>
      <c r="AY48" s="66" t="s">
        <v>11</v>
      </c>
      <c r="AZ48" s="66" t="s">
        <v>11</v>
      </c>
      <c r="BA48" s="66" t="s">
        <v>11</v>
      </c>
      <c r="BB48" s="66" t="s">
        <v>11</v>
      </c>
      <c r="BC48" s="66" t="s">
        <v>11</v>
      </c>
      <c r="BD48" s="66" t="s">
        <v>11</v>
      </c>
      <c r="BE48" s="66" t="s">
        <v>11</v>
      </c>
      <c r="BF48" s="66" t="s">
        <v>11</v>
      </c>
      <c r="BG48" s="66" t="s">
        <v>11</v>
      </c>
      <c r="BH48" s="66" t="s">
        <v>11</v>
      </c>
      <c r="BI48" s="66" t="s">
        <v>11</v>
      </c>
      <c r="BJ48" s="66" t="s">
        <v>11</v>
      </c>
      <c r="BK48" s="38" t="s">
        <v>11</v>
      </c>
      <c r="BL48" s="38" t="s">
        <v>11</v>
      </c>
      <c r="BM48" s="38" t="s">
        <v>11</v>
      </c>
      <c r="BN48" s="38" t="s">
        <v>11</v>
      </c>
      <c r="BO48" s="38" t="s">
        <v>11</v>
      </c>
      <c r="BP48" s="38" t="s">
        <v>11</v>
      </c>
      <c r="BQ48" s="38" t="s">
        <v>11</v>
      </c>
      <c r="BR48" s="117" t="s">
        <v>11</v>
      </c>
      <c r="BS48" s="105" t="s">
        <v>11</v>
      </c>
      <c r="BT48" s="105" t="s">
        <v>11</v>
      </c>
      <c r="BU48" s="115" t="s">
        <v>11</v>
      </c>
      <c r="BV48" s="159" t="s">
        <v>11</v>
      </c>
      <c r="BW48" s="159" t="s">
        <v>11</v>
      </c>
      <c r="BX48" s="115" t="s">
        <v>11</v>
      </c>
      <c r="BY48" s="115" t="s">
        <v>11</v>
      </c>
      <c r="BZ48" s="115" t="s">
        <v>11</v>
      </c>
      <c r="CA48" s="68" t="s">
        <v>11</v>
      </c>
      <c r="CB48" s="68" t="s">
        <v>11</v>
      </c>
      <c r="CC48" s="68" t="s">
        <v>11</v>
      </c>
      <c r="CD48" s="68" t="s">
        <v>11</v>
      </c>
      <c r="CE48" s="68" t="s">
        <v>11</v>
      </c>
      <c r="CF48" s="68" t="s">
        <v>11</v>
      </c>
      <c r="CG48" s="68" t="s">
        <v>11</v>
      </c>
      <c r="CH48" s="68" t="s">
        <v>11</v>
      </c>
      <c r="CI48" s="68" t="s">
        <v>11</v>
      </c>
      <c r="CJ48" s="68" t="s">
        <v>11</v>
      </c>
      <c r="CK48" s="68" t="s">
        <v>11</v>
      </c>
      <c r="CL48" s="68" t="s">
        <v>11</v>
      </c>
      <c r="CM48" s="68" t="s">
        <v>11</v>
      </c>
      <c r="CN48" s="68" t="s">
        <v>11</v>
      </c>
      <c r="CO48" s="68" t="s">
        <v>11</v>
      </c>
      <c r="CP48" s="68" t="s">
        <v>11</v>
      </c>
      <c r="CQ48" s="68" t="s">
        <v>11</v>
      </c>
      <c r="CR48" s="68" t="s">
        <v>11</v>
      </c>
      <c r="CS48" s="68" t="s">
        <v>11</v>
      </c>
      <c r="CT48" s="68" t="s">
        <v>11</v>
      </c>
      <c r="CU48" s="68" t="s">
        <v>11</v>
      </c>
      <c r="CV48" s="68" t="s">
        <v>11</v>
      </c>
      <c r="CW48" s="68" t="s">
        <v>11</v>
      </c>
      <c r="CX48" s="68" t="s">
        <v>11</v>
      </c>
      <c r="CY48" s="68" t="s">
        <v>11</v>
      </c>
      <c r="CZ48" s="68" t="s">
        <v>11</v>
      </c>
      <c r="DA48" s="68" t="s">
        <v>11</v>
      </c>
      <c r="DB48" s="68" t="s">
        <v>11</v>
      </c>
      <c r="DC48" s="68" t="s">
        <v>11</v>
      </c>
      <c r="DD48" s="68" t="s">
        <v>11</v>
      </c>
      <c r="DE48" s="68" t="s">
        <v>11</v>
      </c>
      <c r="DF48" s="68" t="s">
        <v>11</v>
      </c>
      <c r="DG48" s="68" t="s">
        <v>11</v>
      </c>
      <c r="DH48" s="68" t="s">
        <v>11</v>
      </c>
      <c r="DI48" s="68" t="s">
        <v>11</v>
      </c>
      <c r="DJ48" s="68" t="s">
        <v>11</v>
      </c>
      <c r="DK48" s="68" t="s">
        <v>11</v>
      </c>
      <c r="DL48" s="68" t="s">
        <v>11</v>
      </c>
      <c r="DM48" s="68" t="s">
        <v>11</v>
      </c>
      <c r="DN48" s="68" t="s">
        <v>11</v>
      </c>
      <c r="DO48" s="68" t="s">
        <v>11</v>
      </c>
      <c r="DP48" s="68" t="s">
        <v>11</v>
      </c>
      <c r="DQ48" s="68" t="s">
        <v>11</v>
      </c>
      <c r="DR48" s="68" t="s">
        <v>11</v>
      </c>
      <c r="DS48" s="68" t="s">
        <v>11</v>
      </c>
      <c r="DT48" s="68" t="s">
        <v>11</v>
      </c>
      <c r="DU48" s="68" t="s">
        <v>11</v>
      </c>
      <c r="DV48" s="68" t="s">
        <v>11</v>
      </c>
      <c r="DW48" s="159" t="s">
        <v>11</v>
      </c>
      <c r="DX48" s="159" t="s">
        <v>11</v>
      </c>
      <c r="DY48" s="159" t="s">
        <v>11</v>
      </c>
      <c r="DZ48" s="159" t="s">
        <v>11</v>
      </c>
      <c r="EA48" s="159" t="s">
        <v>11</v>
      </c>
      <c r="EB48" s="159" t="s">
        <v>11</v>
      </c>
      <c r="EC48" s="159" t="s">
        <v>11</v>
      </c>
      <c r="ED48" s="159" t="s">
        <v>11</v>
      </c>
      <c r="EE48" s="159" t="s">
        <v>11</v>
      </c>
      <c r="EF48" s="159" t="s">
        <v>11</v>
      </c>
      <c r="EG48" s="159" t="s">
        <v>11</v>
      </c>
      <c r="EH48" s="159" t="s">
        <v>11</v>
      </c>
      <c r="EI48" s="187" t="s">
        <v>11</v>
      </c>
      <c r="EJ48" s="115" t="s">
        <v>11</v>
      </c>
      <c r="EK48" s="187" t="s">
        <v>11</v>
      </c>
      <c r="EL48" s="115" t="s">
        <v>11</v>
      </c>
      <c r="EM48" s="187" t="s">
        <v>11</v>
      </c>
      <c r="EN48" s="159" t="s">
        <v>11</v>
      </c>
      <c r="EO48" s="159" t="s">
        <v>11</v>
      </c>
      <c r="EP48" s="159" t="s">
        <v>11</v>
      </c>
      <c r="EQ48" s="159" t="s">
        <v>11</v>
      </c>
      <c r="ER48" s="115" t="s">
        <v>11</v>
      </c>
      <c r="ES48" s="159" t="s">
        <v>11</v>
      </c>
      <c r="ET48" s="159" t="s">
        <v>11</v>
      </c>
      <c r="EU48" s="159" t="s">
        <v>11</v>
      </c>
      <c r="EV48" s="159" t="s">
        <v>11</v>
      </c>
      <c r="EW48" s="159" t="s">
        <v>11</v>
      </c>
      <c r="EX48" s="115" t="s">
        <v>11</v>
      </c>
      <c r="EY48" s="115" t="s">
        <v>11</v>
      </c>
      <c r="EZ48" s="115" t="s">
        <v>11</v>
      </c>
      <c r="FA48" s="68" t="s">
        <v>11</v>
      </c>
      <c r="FB48" s="68" t="s">
        <v>11</v>
      </c>
      <c r="FC48" s="68" t="s">
        <v>11</v>
      </c>
      <c r="FD48" s="68" t="s">
        <v>11</v>
      </c>
      <c r="FE48" s="68" t="s">
        <v>11</v>
      </c>
      <c r="FF48" s="68" t="s">
        <v>11</v>
      </c>
      <c r="FG48" s="68" t="s">
        <v>11</v>
      </c>
      <c r="FH48" s="68" t="s">
        <v>11</v>
      </c>
      <c r="FI48" s="68" t="s">
        <v>11</v>
      </c>
      <c r="FJ48" s="68" t="s">
        <v>11</v>
      </c>
      <c r="FK48" s="68" t="s">
        <v>11</v>
      </c>
      <c r="FL48" s="68" t="s">
        <v>11</v>
      </c>
      <c r="FM48" s="120" t="s">
        <v>11</v>
      </c>
      <c r="FN48" s="187" t="s">
        <v>11</v>
      </c>
      <c r="FO48" s="187" t="s">
        <v>11</v>
      </c>
      <c r="FP48" s="187" t="s">
        <v>11</v>
      </c>
      <c r="FQ48" s="187" t="s">
        <v>11</v>
      </c>
      <c r="FR48" s="115" t="s">
        <v>11</v>
      </c>
      <c r="FS48" s="187" t="s">
        <v>11</v>
      </c>
      <c r="FT48" s="187" t="s">
        <v>11</v>
      </c>
      <c r="FU48" s="187" t="s">
        <v>11</v>
      </c>
      <c r="FV48" s="159" t="s">
        <v>11</v>
      </c>
      <c r="FW48" s="159" t="s">
        <v>11</v>
      </c>
      <c r="FX48" s="159" t="s">
        <v>11</v>
      </c>
      <c r="FY48" s="115" t="s">
        <v>11</v>
      </c>
      <c r="FZ48" s="159" t="s">
        <v>11</v>
      </c>
      <c r="GA48" s="159" t="s">
        <v>11</v>
      </c>
      <c r="GB48" s="115" t="s">
        <v>11</v>
      </c>
      <c r="GC48" s="115" t="s">
        <v>11</v>
      </c>
      <c r="GD48" s="187" t="s">
        <v>11</v>
      </c>
      <c r="GE48" s="159" t="s">
        <v>11</v>
      </c>
      <c r="GF48" s="159" t="s">
        <v>11</v>
      </c>
      <c r="GG48" s="208" t="s">
        <v>11</v>
      </c>
      <c r="GH48" s="159" t="s">
        <v>11</v>
      </c>
      <c r="GI48" s="159" t="s">
        <v>11</v>
      </c>
      <c r="GJ48" s="159" t="s">
        <v>11</v>
      </c>
      <c r="GK48" s="159" t="s">
        <v>11</v>
      </c>
      <c r="GL48" s="115" t="s">
        <v>11</v>
      </c>
      <c r="GM48" s="115" t="s">
        <v>11</v>
      </c>
      <c r="GN48" s="159" t="s">
        <v>11</v>
      </c>
      <c r="GO48" s="159" t="s">
        <v>11</v>
      </c>
      <c r="GP48" s="115" t="s">
        <v>11</v>
      </c>
      <c r="GQ48" s="208" t="s">
        <v>11</v>
      </c>
      <c r="GR48" s="115" t="s">
        <v>11</v>
      </c>
      <c r="GS48" s="159" t="s">
        <v>11</v>
      </c>
      <c r="GT48" s="159" t="s">
        <v>11</v>
      </c>
      <c r="GU48" s="159" t="s">
        <v>11</v>
      </c>
      <c r="GV48" s="159" t="s">
        <v>11</v>
      </c>
      <c r="GW48" s="159" t="s">
        <v>11</v>
      </c>
      <c r="GX48" s="159" t="s">
        <v>11</v>
      </c>
      <c r="GY48" s="115" t="s">
        <v>11</v>
      </c>
      <c r="GZ48" s="208" t="s">
        <v>11</v>
      </c>
      <c r="HA48" s="159" t="s">
        <v>11</v>
      </c>
      <c r="HB48" s="159" t="s">
        <v>11</v>
      </c>
      <c r="HC48" s="159" t="s">
        <v>11</v>
      </c>
      <c r="HD48" s="159" t="s">
        <v>11</v>
      </c>
      <c r="HE48" s="159" t="s">
        <v>11</v>
      </c>
      <c r="HF48" s="159" t="s">
        <v>11</v>
      </c>
      <c r="HG48" s="187" t="s">
        <v>11</v>
      </c>
      <c r="HH48" s="159" t="s">
        <v>11</v>
      </c>
      <c r="HI48" s="200" t="s">
        <v>11</v>
      </c>
      <c r="HJ48" s="115" t="s">
        <v>11</v>
      </c>
      <c r="HK48" s="115" t="s">
        <v>11</v>
      </c>
      <c r="HL48" s="159" t="s">
        <v>11</v>
      </c>
      <c r="HM48" s="115" t="s">
        <v>11</v>
      </c>
      <c r="HN48" s="159" t="s">
        <v>11</v>
      </c>
      <c r="HO48" s="159" t="s">
        <v>11</v>
      </c>
      <c r="HP48" s="159" t="s">
        <v>11</v>
      </c>
      <c r="HQ48" s="159" t="s">
        <v>11</v>
      </c>
      <c r="HR48" s="159" t="s">
        <v>11</v>
      </c>
      <c r="HS48" s="159" t="s">
        <v>11</v>
      </c>
      <c r="HT48" s="159" t="s">
        <v>11</v>
      </c>
      <c r="HU48" s="159" t="s">
        <v>11</v>
      </c>
      <c r="HV48" s="159" t="s">
        <v>11</v>
      </c>
      <c r="HW48" s="159" t="s">
        <v>11</v>
      </c>
      <c r="HX48" s="159" t="s">
        <v>11</v>
      </c>
      <c r="HY48" s="115" t="s">
        <v>11</v>
      </c>
      <c r="HZ48" s="159" t="s">
        <v>11</v>
      </c>
      <c r="IA48" s="159" t="s">
        <v>11</v>
      </c>
      <c r="IB48" s="159" t="s">
        <v>11</v>
      </c>
      <c r="IC48" s="115" t="s">
        <v>11</v>
      </c>
      <c r="ID48" s="159" t="s">
        <v>11</v>
      </c>
      <c r="IE48" s="159" t="s">
        <v>11</v>
      </c>
      <c r="IF48" s="183" t="s">
        <v>11</v>
      </c>
      <c r="IG48" s="185" t="s">
        <v>11</v>
      </c>
      <c r="IH48" s="185" t="s">
        <v>11</v>
      </c>
      <c r="II48" s="185" t="s">
        <v>11</v>
      </c>
      <c r="IJ48" s="185" t="s">
        <v>11</v>
      </c>
      <c r="IK48" s="183" t="s">
        <v>11</v>
      </c>
      <c r="IL48" s="183" t="s">
        <v>11</v>
      </c>
      <c r="IM48" s="159" t="s">
        <v>11</v>
      </c>
      <c r="IN48" s="159" t="s">
        <v>11</v>
      </c>
      <c r="IO48" s="159" t="s">
        <v>11</v>
      </c>
      <c r="IP48" s="159" t="s">
        <v>11</v>
      </c>
      <c r="IQ48" s="115" t="s">
        <v>11</v>
      </c>
      <c r="IR48" s="159" t="s">
        <v>11</v>
      </c>
      <c r="IS48" s="159" t="s">
        <v>11</v>
      </c>
      <c r="IT48" s="159" t="s">
        <v>11</v>
      </c>
      <c r="IU48" s="159" t="s">
        <v>11</v>
      </c>
      <c r="IV48" s="159" t="s">
        <v>11</v>
      </c>
      <c r="IW48" s="159" t="s">
        <v>11</v>
      </c>
      <c r="IX48" s="159"/>
      <c r="IY48" s="159" t="s">
        <v>11</v>
      </c>
      <c r="IZ48" s="159" t="s">
        <v>11</v>
      </c>
      <c r="JA48" s="159" t="s">
        <v>11</v>
      </c>
      <c r="JB48" s="159" t="s">
        <v>11</v>
      </c>
      <c r="JC48" s="159" t="s">
        <v>11</v>
      </c>
      <c r="JD48" s="159" t="s">
        <v>11</v>
      </c>
      <c r="JE48" s="159" t="s">
        <v>11</v>
      </c>
      <c r="JF48" s="159" t="s">
        <v>11</v>
      </c>
      <c r="JG48" s="159" t="s">
        <v>11</v>
      </c>
      <c r="JH48" s="159" t="s">
        <v>11</v>
      </c>
      <c r="JI48" s="159" t="s">
        <v>11</v>
      </c>
      <c r="JJ48" s="243" t="s">
        <v>11</v>
      </c>
      <c r="JK48" s="243" t="s">
        <v>11</v>
      </c>
      <c r="JL48" s="243" t="s">
        <v>11</v>
      </c>
      <c r="JM48" s="243" t="s">
        <v>11</v>
      </c>
      <c r="JN48" s="159" t="s">
        <v>11</v>
      </c>
      <c r="JO48" s="159" t="s">
        <v>11</v>
      </c>
      <c r="JP48" s="159" t="s">
        <v>11</v>
      </c>
      <c r="JQ48" s="159" t="s">
        <v>11</v>
      </c>
      <c r="JR48" s="159" t="s">
        <v>11</v>
      </c>
      <c r="JS48" s="159" t="s">
        <v>11</v>
      </c>
      <c r="JT48" s="159" t="s">
        <v>11</v>
      </c>
      <c r="JU48" s="159" t="s">
        <v>11</v>
      </c>
      <c r="JV48" s="159" t="s">
        <v>11</v>
      </c>
      <c r="JW48" s="159" t="s">
        <v>11</v>
      </c>
      <c r="JX48" s="159" t="s">
        <v>11</v>
      </c>
      <c r="JY48" s="159" t="s">
        <v>11</v>
      </c>
      <c r="JZ48" s="159" t="s">
        <v>11</v>
      </c>
      <c r="KA48" s="159" t="s">
        <v>11</v>
      </c>
      <c r="KB48" s="159" t="s">
        <v>11</v>
      </c>
      <c r="KC48" s="159" t="s">
        <v>11</v>
      </c>
      <c r="KD48" s="159" t="s">
        <v>11</v>
      </c>
      <c r="KE48" s="159" t="s">
        <v>11</v>
      </c>
      <c r="KF48" s="159" t="s">
        <v>11</v>
      </c>
      <c r="KG48" s="159" t="s">
        <v>11</v>
      </c>
      <c r="KH48" s="159" t="s">
        <v>11</v>
      </c>
      <c r="KI48" s="159" t="s">
        <v>11</v>
      </c>
      <c r="KJ48" s="159" t="s">
        <v>11</v>
      </c>
      <c r="KK48" s="159" t="s">
        <v>11</v>
      </c>
      <c r="KL48" s="159" t="s">
        <v>11</v>
      </c>
      <c r="KM48" s="159" t="s">
        <v>11</v>
      </c>
      <c r="KN48" s="187" t="s">
        <v>11</v>
      </c>
      <c r="KO48" s="159" t="s">
        <v>11</v>
      </c>
      <c r="KP48" s="159" t="s">
        <v>11</v>
      </c>
      <c r="KQ48" s="159" t="s">
        <v>11</v>
      </c>
      <c r="KR48" s="159" t="s">
        <v>11</v>
      </c>
      <c r="KS48" s="159" t="s">
        <v>11</v>
      </c>
      <c r="KT48" s="159" t="s">
        <v>11</v>
      </c>
      <c r="KU48" s="159" t="s">
        <v>11</v>
      </c>
      <c r="KV48" s="159" t="s">
        <v>11</v>
      </c>
      <c r="KW48" s="115" t="s">
        <v>11</v>
      </c>
      <c r="KX48" s="115" t="s">
        <v>11</v>
      </c>
      <c r="KY48" s="243" t="s">
        <v>11</v>
      </c>
      <c r="KZ48" s="243" t="s">
        <v>11</v>
      </c>
      <c r="LA48" s="187" t="s">
        <v>11</v>
      </c>
      <c r="LB48" s="115" t="s">
        <v>11</v>
      </c>
      <c r="LC48" s="115" t="s">
        <v>11</v>
      </c>
      <c r="LD48" s="115" t="s">
        <v>11</v>
      </c>
      <c r="LE48" s="115" t="s">
        <v>11</v>
      </c>
      <c r="LF48" s="115" t="s">
        <v>11</v>
      </c>
      <c r="LG48" s="115" t="s">
        <v>11</v>
      </c>
      <c r="LH48" s="115" t="s">
        <v>11</v>
      </c>
      <c r="LI48" s="115" t="s">
        <v>11</v>
      </c>
      <c r="LJ48" s="115" t="s">
        <v>11</v>
      </c>
      <c r="LK48" s="115" t="s">
        <v>11</v>
      </c>
      <c r="LL48" s="187" t="s">
        <v>11</v>
      </c>
      <c r="LM48" s="120" t="s">
        <v>11</v>
      </c>
      <c r="LN48" s="263" t="s">
        <v>11</v>
      </c>
      <c r="LO48" s="115" t="s">
        <v>11</v>
      </c>
      <c r="LP48" s="115" t="s">
        <v>11</v>
      </c>
      <c r="LQ48" s="263" t="s">
        <v>11</v>
      </c>
      <c r="LR48" s="115" t="s">
        <v>11</v>
      </c>
      <c r="LS48" s="115" t="s">
        <v>11</v>
      </c>
      <c r="LT48" s="115" t="s">
        <v>11</v>
      </c>
      <c r="LU48" s="115" t="s">
        <v>11</v>
      </c>
      <c r="LV48" s="286" t="s">
        <v>11</v>
      </c>
      <c r="LW48" s="115" t="s">
        <v>11</v>
      </c>
      <c r="LX48" s="115" t="s">
        <v>11</v>
      </c>
      <c r="LY48" s="115" t="s">
        <v>11</v>
      </c>
      <c r="LZ48" s="115" t="s">
        <v>11</v>
      </c>
      <c r="MA48" s="115" t="s">
        <v>11</v>
      </c>
      <c r="MB48" s="115" t="s">
        <v>11</v>
      </c>
      <c r="MC48" s="115" t="s">
        <v>11</v>
      </c>
      <c r="MD48" s="115" t="s">
        <v>11</v>
      </c>
    </row>
    <row r="49" spans="1:342" s="68" customFormat="1" ht="14.4" x14ac:dyDescent="0.3">
      <c r="A49" s="92">
        <v>46</v>
      </c>
      <c r="B49" s="311"/>
      <c r="C49" s="64" t="s">
        <v>486</v>
      </c>
      <c r="D49" s="69"/>
      <c r="E49" s="102" t="s">
        <v>11</v>
      </c>
      <c r="F49" s="101" t="s">
        <v>11</v>
      </c>
      <c r="G49" s="101" t="s">
        <v>11</v>
      </c>
      <c r="H49" s="101" t="s">
        <v>11</v>
      </c>
      <c r="I49" s="101" t="s">
        <v>11</v>
      </c>
      <c r="J49" s="101" t="s">
        <v>11</v>
      </c>
      <c r="K49" s="101" t="s">
        <v>11</v>
      </c>
      <c r="L49" s="101" t="s">
        <v>11</v>
      </c>
      <c r="M49" s="101" t="s">
        <v>11</v>
      </c>
      <c r="N49" s="101" t="s">
        <v>11</v>
      </c>
      <c r="O49" s="101" t="s">
        <v>11</v>
      </c>
      <c r="P49" s="101" t="s">
        <v>11</v>
      </c>
      <c r="Q49" s="101" t="s">
        <v>11</v>
      </c>
      <c r="R49" s="101" t="s">
        <v>11</v>
      </c>
      <c r="S49" s="101" t="s">
        <v>11</v>
      </c>
      <c r="T49" s="101" t="s">
        <v>11</v>
      </c>
      <c r="U49" s="101" t="s">
        <v>11</v>
      </c>
      <c r="V49" s="101" t="s">
        <v>11</v>
      </c>
      <c r="W49" s="101" t="s">
        <v>11</v>
      </c>
      <c r="X49" s="101" t="s">
        <v>11</v>
      </c>
      <c r="Y49" s="101" t="s">
        <v>11</v>
      </c>
      <c r="Z49" s="101" t="s">
        <v>11</v>
      </c>
      <c r="AA49" s="101" t="s">
        <v>11</v>
      </c>
      <c r="AB49" s="101" t="s">
        <v>11</v>
      </c>
      <c r="AC49" s="101" t="s">
        <v>11</v>
      </c>
      <c r="AD49" s="101" t="s">
        <v>11</v>
      </c>
      <c r="AE49" s="101" t="s">
        <v>11</v>
      </c>
      <c r="AF49" s="101" t="s">
        <v>11</v>
      </c>
      <c r="AG49" s="101" t="s">
        <v>11</v>
      </c>
      <c r="AH49" s="101" t="s">
        <v>11</v>
      </c>
      <c r="AI49" s="101" t="s">
        <v>11</v>
      </c>
      <c r="AJ49" s="101" t="s">
        <v>11</v>
      </c>
      <c r="AK49" s="101" t="s">
        <v>11</v>
      </c>
      <c r="AL49" s="101" t="s">
        <v>11</v>
      </c>
      <c r="AM49" s="101" t="s">
        <v>11</v>
      </c>
      <c r="AN49" s="101" t="s">
        <v>11</v>
      </c>
      <c r="AO49" s="101" t="s">
        <v>11</v>
      </c>
      <c r="AP49" s="101" t="s">
        <v>11</v>
      </c>
      <c r="AQ49" s="101" t="s">
        <v>11</v>
      </c>
      <c r="AR49" s="101" t="s">
        <v>11</v>
      </c>
      <c r="AS49" s="101" t="s">
        <v>11</v>
      </c>
      <c r="AT49" s="101" t="s">
        <v>11</v>
      </c>
      <c r="AU49" s="101" t="s">
        <v>11</v>
      </c>
      <c r="AV49" s="101" t="s">
        <v>11</v>
      </c>
      <c r="AW49" s="101" t="s">
        <v>11</v>
      </c>
      <c r="AX49" s="101" t="s">
        <v>11</v>
      </c>
      <c r="AY49" s="101" t="s">
        <v>11</v>
      </c>
      <c r="AZ49" s="101" t="s">
        <v>11</v>
      </c>
      <c r="BA49" s="101" t="s">
        <v>11</v>
      </c>
      <c r="BB49" s="101" t="s">
        <v>11</v>
      </c>
      <c r="BC49" s="101" t="s">
        <v>11</v>
      </c>
      <c r="BD49" s="101" t="s">
        <v>11</v>
      </c>
      <c r="BE49" s="101" t="s">
        <v>11</v>
      </c>
      <c r="BF49" s="101" t="s">
        <v>11</v>
      </c>
      <c r="BG49" s="101" t="s">
        <v>11</v>
      </c>
      <c r="BH49" s="101" t="s">
        <v>11</v>
      </c>
      <c r="BI49" s="101" t="s">
        <v>11</v>
      </c>
      <c r="BJ49" s="101" t="s">
        <v>11</v>
      </c>
      <c r="BK49" s="116" t="s">
        <v>11</v>
      </c>
      <c r="BL49" s="116" t="s">
        <v>11</v>
      </c>
      <c r="BM49" s="116" t="s">
        <v>11</v>
      </c>
      <c r="BN49" s="116" t="s">
        <v>11</v>
      </c>
      <c r="BO49" s="116" t="s">
        <v>11</v>
      </c>
      <c r="BP49" s="116" t="s">
        <v>11</v>
      </c>
      <c r="BQ49" s="116" t="s">
        <v>11</v>
      </c>
      <c r="BR49" s="117" t="s">
        <v>11</v>
      </c>
      <c r="BS49" s="105" t="s">
        <v>11</v>
      </c>
      <c r="BT49" s="105" t="s">
        <v>11</v>
      </c>
      <c r="BU49" s="115" t="s">
        <v>11</v>
      </c>
      <c r="BV49" s="159" t="s">
        <v>11</v>
      </c>
      <c r="BW49" s="159" t="s">
        <v>11</v>
      </c>
      <c r="BX49" s="115" t="s">
        <v>11</v>
      </c>
      <c r="BY49" s="115" t="s">
        <v>11</v>
      </c>
      <c r="BZ49" s="115" t="s">
        <v>11</v>
      </c>
      <c r="CA49" s="68" t="s">
        <v>11</v>
      </c>
      <c r="CB49" s="68" t="s">
        <v>11</v>
      </c>
      <c r="CC49" s="68" t="s">
        <v>11</v>
      </c>
      <c r="CD49" s="68" t="s">
        <v>11</v>
      </c>
      <c r="CE49" s="68" t="s">
        <v>11</v>
      </c>
      <c r="CF49" s="68" t="s">
        <v>11</v>
      </c>
      <c r="CG49" s="68" t="s">
        <v>11</v>
      </c>
      <c r="CH49" s="68" t="s">
        <v>11</v>
      </c>
      <c r="CI49" s="68" t="s">
        <v>11</v>
      </c>
      <c r="CJ49" s="68" t="s">
        <v>11</v>
      </c>
      <c r="CK49" s="68" t="s">
        <v>11</v>
      </c>
      <c r="CL49" s="68" t="s">
        <v>11</v>
      </c>
      <c r="CM49" s="68" t="s">
        <v>11</v>
      </c>
      <c r="CN49" s="68" t="s">
        <v>11</v>
      </c>
      <c r="CO49" s="68" t="s">
        <v>11</v>
      </c>
      <c r="CP49" s="68" t="s">
        <v>11</v>
      </c>
      <c r="CQ49" s="68" t="s">
        <v>11</v>
      </c>
      <c r="CR49" s="68" t="s">
        <v>11</v>
      </c>
      <c r="CS49" s="68" t="s">
        <v>11</v>
      </c>
      <c r="CT49" s="68" t="s">
        <v>11</v>
      </c>
      <c r="CU49" s="68" t="s">
        <v>11</v>
      </c>
      <c r="CV49" s="68" t="s">
        <v>11</v>
      </c>
      <c r="CW49" s="68" t="s">
        <v>11</v>
      </c>
      <c r="CX49" s="68" t="s">
        <v>11</v>
      </c>
      <c r="CY49" s="68" t="s">
        <v>11</v>
      </c>
      <c r="CZ49" s="68" t="s">
        <v>11</v>
      </c>
      <c r="DA49" s="68" t="s">
        <v>11</v>
      </c>
      <c r="DB49" s="68" t="s">
        <v>11</v>
      </c>
      <c r="DC49" s="68" t="s">
        <v>11</v>
      </c>
      <c r="DD49" s="68" t="s">
        <v>11</v>
      </c>
      <c r="DE49" s="68" t="s">
        <v>11</v>
      </c>
      <c r="DF49" s="68" t="s">
        <v>11</v>
      </c>
      <c r="DG49" s="68" t="s">
        <v>11</v>
      </c>
      <c r="DH49" s="68" t="s">
        <v>11</v>
      </c>
      <c r="DI49" s="68" t="s">
        <v>11</v>
      </c>
      <c r="DJ49" s="68" t="s">
        <v>11</v>
      </c>
      <c r="DK49" s="68" t="s">
        <v>11</v>
      </c>
      <c r="DL49" s="68" t="s">
        <v>11</v>
      </c>
      <c r="DM49" s="68" t="s">
        <v>11</v>
      </c>
      <c r="DN49" s="68" t="s">
        <v>11</v>
      </c>
      <c r="DO49" s="68" t="s">
        <v>11</v>
      </c>
      <c r="DP49" s="68" t="s">
        <v>11</v>
      </c>
      <c r="DQ49" s="68" t="s">
        <v>11</v>
      </c>
      <c r="DR49" s="68" t="s">
        <v>11</v>
      </c>
      <c r="DS49" s="68" t="s">
        <v>11</v>
      </c>
      <c r="DT49" s="68" t="s">
        <v>11</v>
      </c>
      <c r="DU49" s="68" t="s">
        <v>11</v>
      </c>
      <c r="DV49" s="68" t="s">
        <v>11</v>
      </c>
      <c r="DW49" s="159" t="s">
        <v>11</v>
      </c>
      <c r="DX49" s="159" t="s">
        <v>11</v>
      </c>
      <c r="DY49" s="159" t="s">
        <v>11</v>
      </c>
      <c r="DZ49" s="159" t="s">
        <v>11</v>
      </c>
      <c r="EA49" s="159" t="s">
        <v>11</v>
      </c>
      <c r="EB49" s="159" t="s">
        <v>11</v>
      </c>
      <c r="EC49" s="159" t="s">
        <v>11</v>
      </c>
      <c r="ED49" s="159" t="s">
        <v>11</v>
      </c>
      <c r="EE49" s="159" t="s">
        <v>11</v>
      </c>
      <c r="EF49" s="159" t="s">
        <v>11</v>
      </c>
      <c r="EG49" s="159" t="s">
        <v>11</v>
      </c>
      <c r="EH49" s="159" t="s">
        <v>11</v>
      </c>
      <c r="EI49" s="187" t="s">
        <v>11</v>
      </c>
      <c r="EJ49" s="115" t="s">
        <v>11</v>
      </c>
      <c r="EK49" s="187" t="s">
        <v>11</v>
      </c>
      <c r="EL49" s="115" t="s">
        <v>11</v>
      </c>
      <c r="EM49" s="187" t="s">
        <v>11</v>
      </c>
      <c r="EN49" s="159" t="s">
        <v>11</v>
      </c>
      <c r="EO49" s="159" t="s">
        <v>11</v>
      </c>
      <c r="EP49" s="159" t="s">
        <v>11</v>
      </c>
      <c r="EQ49" s="159" t="s">
        <v>11</v>
      </c>
      <c r="ER49" s="115" t="s">
        <v>11</v>
      </c>
      <c r="ES49" s="159" t="s">
        <v>11</v>
      </c>
      <c r="ET49" s="159" t="s">
        <v>11</v>
      </c>
      <c r="EU49" s="159" t="s">
        <v>11</v>
      </c>
      <c r="EV49" s="159" t="s">
        <v>11</v>
      </c>
      <c r="EW49" s="159" t="s">
        <v>11</v>
      </c>
      <c r="EX49" s="115" t="s">
        <v>11</v>
      </c>
      <c r="EY49" s="115" t="s">
        <v>11</v>
      </c>
      <c r="EZ49" s="115" t="s">
        <v>11</v>
      </c>
      <c r="FA49" s="68" t="s">
        <v>11</v>
      </c>
      <c r="FB49" s="68" t="s">
        <v>11</v>
      </c>
      <c r="FC49" s="68" t="s">
        <v>11</v>
      </c>
      <c r="FD49" s="68" t="s">
        <v>11</v>
      </c>
      <c r="FE49" s="68" t="s">
        <v>11</v>
      </c>
      <c r="FF49" s="68" t="s">
        <v>11</v>
      </c>
      <c r="FG49" s="68" t="s">
        <v>11</v>
      </c>
      <c r="FH49" s="68" t="s">
        <v>11</v>
      </c>
      <c r="FI49" s="68" t="s">
        <v>11</v>
      </c>
      <c r="FJ49" s="68" t="s">
        <v>11</v>
      </c>
      <c r="FK49" s="68" t="s">
        <v>11</v>
      </c>
      <c r="FL49" s="68" t="s">
        <v>11</v>
      </c>
      <c r="FM49" s="120" t="s">
        <v>11</v>
      </c>
      <c r="FN49" s="187" t="s">
        <v>11</v>
      </c>
      <c r="FO49" s="187" t="s">
        <v>11</v>
      </c>
      <c r="FP49" s="187" t="s">
        <v>11</v>
      </c>
      <c r="FQ49" s="187" t="s">
        <v>11</v>
      </c>
      <c r="FR49" s="115" t="s">
        <v>11</v>
      </c>
      <c r="FS49" s="187" t="s">
        <v>11</v>
      </c>
      <c r="FT49" s="187" t="s">
        <v>11</v>
      </c>
      <c r="FU49" s="187" t="s">
        <v>11</v>
      </c>
      <c r="FV49" s="159" t="s">
        <v>11</v>
      </c>
      <c r="FW49" s="159" t="s">
        <v>11</v>
      </c>
      <c r="FX49" s="159" t="s">
        <v>11</v>
      </c>
      <c r="FY49" s="115" t="s">
        <v>11</v>
      </c>
      <c r="FZ49" s="159" t="s">
        <v>11</v>
      </c>
      <c r="GA49" s="159" t="s">
        <v>11</v>
      </c>
      <c r="GB49" s="115" t="s">
        <v>11</v>
      </c>
      <c r="GC49" s="115" t="s">
        <v>11</v>
      </c>
      <c r="GD49" s="187" t="s">
        <v>11</v>
      </c>
      <c r="GE49" s="159" t="s">
        <v>11</v>
      </c>
      <c r="GF49" s="159" t="s">
        <v>11</v>
      </c>
      <c r="GG49" s="208" t="s">
        <v>11</v>
      </c>
      <c r="GH49" s="159" t="s">
        <v>11</v>
      </c>
      <c r="GI49" s="159" t="s">
        <v>11</v>
      </c>
      <c r="GJ49" s="159" t="s">
        <v>11</v>
      </c>
      <c r="GK49" s="159" t="s">
        <v>11</v>
      </c>
      <c r="GL49" s="115" t="s">
        <v>11</v>
      </c>
      <c r="GM49" s="115" t="s">
        <v>11</v>
      </c>
      <c r="GN49" s="159" t="s">
        <v>11</v>
      </c>
      <c r="GO49" s="159" t="s">
        <v>11</v>
      </c>
      <c r="GP49" s="115" t="s">
        <v>11</v>
      </c>
      <c r="GQ49" s="208" t="s">
        <v>11</v>
      </c>
      <c r="GR49" s="115" t="s">
        <v>11</v>
      </c>
      <c r="GS49" s="159" t="s">
        <v>11</v>
      </c>
      <c r="GT49" s="159" t="s">
        <v>11</v>
      </c>
      <c r="GU49" s="159" t="s">
        <v>11</v>
      </c>
      <c r="GV49" s="159" t="s">
        <v>11</v>
      </c>
      <c r="GW49" s="159" t="s">
        <v>11</v>
      </c>
      <c r="GX49" s="159" t="s">
        <v>11</v>
      </c>
      <c r="GY49" s="115" t="s">
        <v>11</v>
      </c>
      <c r="GZ49" s="208" t="s">
        <v>11</v>
      </c>
      <c r="HA49" s="159" t="s">
        <v>11</v>
      </c>
      <c r="HB49" s="159" t="s">
        <v>11</v>
      </c>
      <c r="HC49" s="159" t="s">
        <v>11</v>
      </c>
      <c r="HD49" s="159" t="s">
        <v>11</v>
      </c>
      <c r="HE49" s="159" t="s">
        <v>11</v>
      </c>
      <c r="HF49" s="159" t="s">
        <v>11</v>
      </c>
      <c r="HG49" s="187" t="s">
        <v>11</v>
      </c>
      <c r="HH49" s="159" t="s">
        <v>11</v>
      </c>
      <c r="HI49" s="200" t="s">
        <v>11</v>
      </c>
      <c r="HJ49" s="115" t="s">
        <v>11</v>
      </c>
      <c r="HK49" s="115" t="s">
        <v>11</v>
      </c>
      <c r="HL49" s="159" t="s">
        <v>11</v>
      </c>
      <c r="HM49" s="115" t="s">
        <v>11</v>
      </c>
      <c r="HN49" s="159" t="s">
        <v>11</v>
      </c>
      <c r="HO49" s="159" t="s">
        <v>11</v>
      </c>
      <c r="HP49" s="159" t="s">
        <v>11</v>
      </c>
      <c r="HQ49" s="159" t="s">
        <v>11</v>
      </c>
      <c r="HR49" s="159" t="s">
        <v>11</v>
      </c>
      <c r="HS49" s="159" t="s">
        <v>11</v>
      </c>
      <c r="HT49" s="159" t="s">
        <v>11</v>
      </c>
      <c r="HU49" s="159" t="s">
        <v>11</v>
      </c>
      <c r="HV49" s="159" t="s">
        <v>11</v>
      </c>
      <c r="HW49" s="159" t="s">
        <v>11</v>
      </c>
      <c r="HX49" s="159" t="s">
        <v>11</v>
      </c>
      <c r="HY49" s="115" t="s">
        <v>11</v>
      </c>
      <c r="HZ49" s="159" t="s">
        <v>11</v>
      </c>
      <c r="IA49" s="159" t="s">
        <v>11</v>
      </c>
      <c r="IB49" s="159" t="s">
        <v>11</v>
      </c>
      <c r="IC49" s="115" t="s">
        <v>11</v>
      </c>
      <c r="ID49" s="159" t="s">
        <v>11</v>
      </c>
      <c r="IE49" s="159" t="s">
        <v>11</v>
      </c>
      <c r="IF49" s="183" t="s">
        <v>11</v>
      </c>
      <c r="IG49" s="185" t="s">
        <v>11</v>
      </c>
      <c r="IH49" s="185" t="s">
        <v>11</v>
      </c>
      <c r="II49" s="185" t="s">
        <v>11</v>
      </c>
      <c r="IJ49" s="185" t="s">
        <v>11</v>
      </c>
      <c r="IK49" s="183" t="s">
        <v>11</v>
      </c>
      <c r="IL49" s="183" t="s">
        <v>11</v>
      </c>
      <c r="IM49" s="159" t="s">
        <v>11</v>
      </c>
      <c r="IN49" s="159" t="s">
        <v>11</v>
      </c>
      <c r="IO49" s="159" t="s">
        <v>11</v>
      </c>
      <c r="IP49" s="159" t="s">
        <v>11</v>
      </c>
      <c r="IQ49" s="115" t="s">
        <v>11</v>
      </c>
      <c r="IR49" s="159" t="s">
        <v>11</v>
      </c>
      <c r="IS49" s="159" t="s">
        <v>11</v>
      </c>
      <c r="IT49" s="159" t="s">
        <v>11</v>
      </c>
      <c r="IU49" s="159" t="s">
        <v>11</v>
      </c>
      <c r="IV49" s="159" t="s">
        <v>11</v>
      </c>
      <c r="IW49" s="159" t="s">
        <v>11</v>
      </c>
      <c r="IX49" s="159"/>
      <c r="IY49" s="159" t="s">
        <v>11</v>
      </c>
      <c r="IZ49" s="159" t="s">
        <v>11</v>
      </c>
      <c r="JA49" s="159" t="s">
        <v>11</v>
      </c>
      <c r="JB49" s="159" t="s">
        <v>11</v>
      </c>
      <c r="JC49" s="159" t="s">
        <v>11</v>
      </c>
      <c r="JD49" s="159" t="s">
        <v>11</v>
      </c>
      <c r="JE49" s="159" t="s">
        <v>11</v>
      </c>
      <c r="JF49" s="159" t="s">
        <v>11</v>
      </c>
      <c r="JG49" s="159" t="s">
        <v>11</v>
      </c>
      <c r="JH49" s="159" t="s">
        <v>11</v>
      </c>
      <c r="JI49" s="159" t="s">
        <v>11</v>
      </c>
      <c r="JJ49" s="243" t="s">
        <v>11</v>
      </c>
      <c r="JK49" s="243" t="s">
        <v>11</v>
      </c>
      <c r="JL49" s="243" t="s">
        <v>11</v>
      </c>
      <c r="JM49" s="243" t="s">
        <v>11</v>
      </c>
      <c r="JN49" s="159" t="s">
        <v>11</v>
      </c>
      <c r="JO49" s="159" t="s">
        <v>11</v>
      </c>
      <c r="JP49" s="159" t="s">
        <v>11</v>
      </c>
      <c r="JQ49" s="159" t="s">
        <v>11</v>
      </c>
      <c r="JR49" s="159" t="s">
        <v>11</v>
      </c>
      <c r="JS49" s="159" t="s">
        <v>11</v>
      </c>
      <c r="JT49" s="159" t="s">
        <v>11</v>
      </c>
      <c r="JU49" s="159" t="s">
        <v>11</v>
      </c>
      <c r="JV49" s="159" t="s">
        <v>11</v>
      </c>
      <c r="JW49" s="159" t="s">
        <v>11</v>
      </c>
      <c r="JX49" s="159" t="s">
        <v>11</v>
      </c>
      <c r="JY49" s="159" t="s">
        <v>11</v>
      </c>
      <c r="JZ49" s="159" t="s">
        <v>11</v>
      </c>
      <c r="KA49" s="159" t="s">
        <v>11</v>
      </c>
      <c r="KB49" s="159" t="s">
        <v>11</v>
      </c>
      <c r="KC49" s="159" t="s">
        <v>11</v>
      </c>
      <c r="KD49" s="159" t="s">
        <v>11</v>
      </c>
      <c r="KE49" s="159" t="s">
        <v>11</v>
      </c>
      <c r="KF49" s="159" t="s">
        <v>11</v>
      </c>
      <c r="KG49" s="159" t="s">
        <v>11</v>
      </c>
      <c r="KH49" s="159" t="s">
        <v>11</v>
      </c>
      <c r="KI49" s="159" t="s">
        <v>11</v>
      </c>
      <c r="KJ49" s="159" t="s">
        <v>11</v>
      </c>
      <c r="KK49" s="159" t="s">
        <v>11</v>
      </c>
      <c r="KL49" s="159" t="s">
        <v>11</v>
      </c>
      <c r="KM49" s="159" t="s">
        <v>11</v>
      </c>
      <c r="KN49" s="187" t="s">
        <v>11</v>
      </c>
      <c r="KO49" s="159" t="s">
        <v>11</v>
      </c>
      <c r="KP49" s="159" t="s">
        <v>11</v>
      </c>
      <c r="KQ49" s="159" t="s">
        <v>11</v>
      </c>
      <c r="KR49" s="159" t="s">
        <v>11</v>
      </c>
      <c r="KS49" s="159" t="s">
        <v>11</v>
      </c>
      <c r="KT49" s="159" t="s">
        <v>11</v>
      </c>
      <c r="KU49" s="159" t="s">
        <v>11</v>
      </c>
      <c r="KV49" s="159" t="s">
        <v>11</v>
      </c>
      <c r="KW49" s="115" t="s">
        <v>11</v>
      </c>
      <c r="KX49" s="115" t="s">
        <v>11</v>
      </c>
      <c r="KY49" s="243" t="s">
        <v>11</v>
      </c>
      <c r="KZ49" s="243" t="s">
        <v>11</v>
      </c>
      <c r="LA49" s="187" t="s">
        <v>11</v>
      </c>
      <c r="LB49" s="115" t="s">
        <v>11</v>
      </c>
      <c r="LC49" s="115" t="s">
        <v>11</v>
      </c>
      <c r="LD49" s="115" t="s">
        <v>11</v>
      </c>
      <c r="LE49" s="115" t="s">
        <v>11</v>
      </c>
      <c r="LF49" s="115" t="s">
        <v>11</v>
      </c>
      <c r="LG49" s="115" t="s">
        <v>11</v>
      </c>
      <c r="LH49" s="115" t="s">
        <v>11</v>
      </c>
      <c r="LI49" s="115" t="s">
        <v>11</v>
      </c>
      <c r="LJ49" s="115" t="s">
        <v>11</v>
      </c>
      <c r="LK49" s="115" t="s">
        <v>11</v>
      </c>
      <c r="LL49" s="187" t="s">
        <v>11</v>
      </c>
      <c r="LM49" s="120" t="s">
        <v>11</v>
      </c>
      <c r="LN49" s="263" t="s">
        <v>11</v>
      </c>
      <c r="LO49" s="115" t="s">
        <v>11</v>
      </c>
      <c r="LP49" s="115" t="s">
        <v>11</v>
      </c>
      <c r="LQ49" s="263" t="s">
        <v>11</v>
      </c>
      <c r="LR49" s="115" t="s">
        <v>11</v>
      </c>
      <c r="LS49" s="115" t="s">
        <v>11</v>
      </c>
      <c r="LT49" s="115" t="s">
        <v>11</v>
      </c>
      <c r="LU49" s="115" t="s">
        <v>11</v>
      </c>
      <c r="LV49" s="286" t="s">
        <v>11</v>
      </c>
      <c r="LW49" s="115" t="s">
        <v>11</v>
      </c>
      <c r="LX49" s="115" t="s">
        <v>11</v>
      </c>
      <c r="LY49" s="115" t="s">
        <v>11</v>
      </c>
      <c r="LZ49" s="115" t="s">
        <v>11</v>
      </c>
      <c r="MA49" s="115" t="s">
        <v>11</v>
      </c>
      <c r="MB49" s="115" t="s">
        <v>11</v>
      </c>
      <c r="MC49" s="115" t="s">
        <v>11</v>
      </c>
      <c r="MD49" s="115" t="s">
        <v>11</v>
      </c>
    </row>
    <row r="50" spans="1:342" ht="14.4" x14ac:dyDescent="0.3">
      <c r="A50" s="92">
        <v>47</v>
      </c>
      <c r="B50" s="311"/>
      <c r="C50" s="55" t="s">
        <v>487</v>
      </c>
      <c r="D50" s="14" t="s">
        <v>442</v>
      </c>
      <c r="E50" s="2" t="s">
        <v>25</v>
      </c>
      <c r="F50" s="2" t="s">
        <v>264</v>
      </c>
      <c r="G50" s="5" t="s">
        <v>54</v>
      </c>
      <c r="H50" s="5" t="s">
        <v>67</v>
      </c>
      <c r="I50" s="5" t="s">
        <v>106</v>
      </c>
      <c r="J50" s="2" t="s">
        <v>711</v>
      </c>
      <c r="K50" s="2" t="s">
        <v>720</v>
      </c>
      <c r="L50" s="5" t="s">
        <v>78</v>
      </c>
      <c r="M50" s="5" t="s">
        <v>88</v>
      </c>
      <c r="N50" s="5" t="s">
        <v>88</v>
      </c>
      <c r="O50" s="5" t="s">
        <v>88</v>
      </c>
      <c r="P50" s="5" t="s">
        <v>67</v>
      </c>
      <c r="Q50" s="2" t="s">
        <v>1123</v>
      </c>
      <c r="R50" s="5" t="s">
        <v>161</v>
      </c>
      <c r="S50" s="5" t="s">
        <v>161</v>
      </c>
      <c r="T50" s="5" t="s">
        <v>161</v>
      </c>
      <c r="U50" s="2" t="s">
        <v>278</v>
      </c>
      <c r="V50" s="2" t="s">
        <v>278</v>
      </c>
      <c r="W50" s="2" t="s">
        <v>278</v>
      </c>
      <c r="X50" s="2" t="s">
        <v>278</v>
      </c>
      <c r="Y50" s="2" t="s">
        <v>300</v>
      </c>
      <c r="Z50" s="2" t="s">
        <v>314</v>
      </c>
      <c r="AA50" s="2" t="s">
        <v>334</v>
      </c>
      <c r="AB50" s="2" t="s">
        <v>1132</v>
      </c>
      <c r="AC50" s="2" t="s">
        <v>1134</v>
      </c>
      <c r="AD50" s="2" t="s">
        <v>378</v>
      </c>
      <c r="AE50" s="2" t="s">
        <v>377</v>
      </c>
      <c r="AF50" s="2" t="s">
        <v>377</v>
      </c>
      <c r="AG50" s="2" t="s">
        <v>404</v>
      </c>
      <c r="AH50" s="2" t="s">
        <v>418</v>
      </c>
      <c r="AI50" s="5" t="s">
        <v>161</v>
      </c>
      <c r="AJ50" s="2" t="s">
        <v>542</v>
      </c>
      <c r="AK50" s="5" t="s">
        <v>161</v>
      </c>
      <c r="AL50" s="5" t="s">
        <v>161</v>
      </c>
      <c r="AM50" s="2" t="s">
        <v>543</v>
      </c>
      <c r="AN50" s="2" t="s">
        <v>574</v>
      </c>
      <c r="AO50" s="2" t="s">
        <v>584</v>
      </c>
      <c r="AP50" s="2" t="s">
        <v>591</v>
      </c>
      <c r="AQ50" s="2" t="s">
        <v>606</v>
      </c>
      <c r="AR50" s="2" t="s">
        <v>617</v>
      </c>
      <c r="AS50" s="2" t="s">
        <v>617</v>
      </c>
      <c r="AT50" s="2" t="s">
        <v>635</v>
      </c>
      <c r="AU50" s="5" t="s">
        <v>161</v>
      </c>
      <c r="AV50" s="5" t="s">
        <v>161</v>
      </c>
      <c r="AW50" s="5" t="s">
        <v>161</v>
      </c>
      <c r="AX50" s="66" t="s">
        <v>687</v>
      </c>
      <c r="AY50" s="2" t="s">
        <v>264</v>
      </c>
      <c r="AZ50" s="2" t="s">
        <v>264</v>
      </c>
      <c r="BA50" s="2" t="s">
        <v>746</v>
      </c>
      <c r="BB50" s="2" t="s">
        <v>617</v>
      </c>
      <c r="BC50" s="66" t="s">
        <v>800</v>
      </c>
      <c r="BD50" s="66" t="s">
        <v>802</v>
      </c>
      <c r="BE50" s="66" t="s">
        <v>806</v>
      </c>
      <c r="BF50" s="66" t="s">
        <v>806</v>
      </c>
      <c r="BG50" s="66" t="s">
        <v>800</v>
      </c>
      <c r="BH50" s="115" t="s">
        <v>1105</v>
      </c>
      <c r="BI50" s="66" t="s">
        <v>543</v>
      </c>
      <c r="BJ50" s="66" t="s">
        <v>543</v>
      </c>
      <c r="BK50" s="2" t="s">
        <v>1120</v>
      </c>
      <c r="BL50" s="111" t="s">
        <v>1099</v>
      </c>
      <c r="BM50" s="88" t="s">
        <v>1088</v>
      </c>
      <c r="BN50" s="88" t="s">
        <v>1088</v>
      </c>
      <c r="BO50" s="88" t="s">
        <v>1088</v>
      </c>
      <c r="BP50" s="88" t="s">
        <v>1088</v>
      </c>
      <c r="BQ50" s="88" t="s">
        <v>1088</v>
      </c>
      <c r="BR50" s="117" t="s">
        <v>1398</v>
      </c>
      <c r="BS50" s="105" t="s">
        <v>1414</v>
      </c>
      <c r="BT50" s="105" t="s">
        <v>1428</v>
      </c>
      <c r="BU50" s="115" t="s">
        <v>1442</v>
      </c>
      <c r="BV50" s="115" t="s">
        <v>1455</v>
      </c>
      <c r="BW50" s="115" t="s">
        <v>1468</v>
      </c>
      <c r="BX50" s="115" t="s">
        <v>1481</v>
      </c>
      <c r="BY50" s="115" t="s">
        <v>1491</v>
      </c>
      <c r="BZ50" s="115" t="s">
        <v>1498</v>
      </c>
      <c r="CA50" s="41" t="s">
        <v>1568</v>
      </c>
      <c r="CB50" s="41" t="s">
        <v>1588</v>
      </c>
      <c r="CC50" s="41" t="s">
        <v>1604</v>
      </c>
      <c r="CD50" s="41" t="s">
        <v>1621</v>
      </c>
      <c r="CE50" s="41" t="s">
        <v>1641</v>
      </c>
      <c r="CF50" s="41" t="s">
        <v>1650</v>
      </c>
      <c r="CG50" s="41" t="s">
        <v>1658</v>
      </c>
      <c r="CH50" s="41" t="s">
        <v>1668</v>
      </c>
      <c r="CI50" s="41" t="s">
        <v>1240</v>
      </c>
      <c r="CJ50" s="41" t="s">
        <v>1698</v>
      </c>
      <c r="CK50" s="41" t="s">
        <v>1704</v>
      </c>
      <c r="CL50" s="41" t="s">
        <v>1710</v>
      </c>
      <c r="CM50" s="41" t="s">
        <v>1722</v>
      </c>
      <c r="CN50" s="41" t="s">
        <v>1734</v>
      </c>
      <c r="CO50" s="41" t="s">
        <v>1744</v>
      </c>
      <c r="CP50" s="41" t="s">
        <v>1758</v>
      </c>
      <c r="CQ50" s="41" t="s">
        <v>1240</v>
      </c>
      <c r="CR50" s="41" t="s">
        <v>1782</v>
      </c>
      <c r="CS50" s="41" t="s">
        <v>377</v>
      </c>
      <c r="CT50" s="41" t="s">
        <v>67</v>
      </c>
      <c r="CU50" s="41" t="s">
        <v>1814</v>
      </c>
      <c r="CV50" s="41" t="s">
        <v>1820</v>
      </c>
      <c r="CW50" s="41" t="s">
        <v>377</v>
      </c>
      <c r="CX50" s="41" t="s">
        <v>88</v>
      </c>
      <c r="CY50" s="41" t="s">
        <v>88</v>
      </c>
      <c r="CZ50" s="41" t="s">
        <v>88</v>
      </c>
      <c r="DA50" s="41" t="s">
        <v>88</v>
      </c>
      <c r="DB50" s="41" t="s">
        <v>88</v>
      </c>
      <c r="DC50" s="41" t="s">
        <v>88</v>
      </c>
      <c r="DD50" s="41" t="s">
        <v>88</v>
      </c>
      <c r="DE50" s="41" t="s">
        <v>88</v>
      </c>
      <c r="DF50" s="41" t="s">
        <v>88</v>
      </c>
      <c r="DG50" s="41" t="s">
        <v>88</v>
      </c>
      <c r="DH50" s="41" t="s">
        <v>88</v>
      </c>
      <c r="DI50" s="41" t="s">
        <v>88</v>
      </c>
      <c r="DJ50" s="41" t="s">
        <v>1944</v>
      </c>
      <c r="DK50" s="41" t="s">
        <v>1944</v>
      </c>
      <c r="DL50" s="41" t="s">
        <v>1978</v>
      </c>
      <c r="DM50" s="41" t="s">
        <v>2054</v>
      </c>
      <c r="DN50" s="41" t="s">
        <v>2066</v>
      </c>
      <c r="DO50" s="112" t="s">
        <v>2078</v>
      </c>
      <c r="DP50" s="68" t="s">
        <v>2017</v>
      </c>
      <c r="DQ50" s="68" t="s">
        <v>2017</v>
      </c>
      <c r="DR50" s="68" t="s">
        <v>2028</v>
      </c>
      <c r="DS50" s="68" t="s">
        <v>2028</v>
      </c>
      <c r="DT50" s="68" t="s">
        <v>2028</v>
      </c>
      <c r="DU50" s="41" t="s">
        <v>2098</v>
      </c>
      <c r="DV50" s="105" t="s">
        <v>2119</v>
      </c>
      <c r="DW50" s="115" t="s">
        <v>2177</v>
      </c>
      <c r="DX50" s="115" t="s">
        <v>2194</v>
      </c>
      <c r="DY50" s="115" t="s">
        <v>2212</v>
      </c>
      <c r="DZ50" s="115" t="s">
        <v>2226</v>
      </c>
      <c r="EA50" s="115" t="s">
        <v>2238</v>
      </c>
      <c r="EB50" s="115" t="s">
        <v>2212</v>
      </c>
      <c r="EC50" s="115" t="s">
        <v>2054</v>
      </c>
      <c r="ED50" s="115" t="s">
        <v>2279</v>
      </c>
      <c r="EE50" s="115" t="s">
        <v>2279</v>
      </c>
      <c r="EF50" s="115" t="s">
        <v>2279</v>
      </c>
      <c r="EG50" s="115" t="s">
        <v>2279</v>
      </c>
      <c r="EH50" s="115" t="s">
        <v>2309</v>
      </c>
      <c r="EI50" s="187" t="s">
        <v>2324</v>
      </c>
      <c r="EJ50" s="115" t="s">
        <v>1978</v>
      </c>
      <c r="EK50" s="155" t="s">
        <v>2350</v>
      </c>
      <c r="EL50" s="115" t="s">
        <v>2366</v>
      </c>
      <c r="EM50" s="155" t="s">
        <v>2380</v>
      </c>
      <c r="EN50" s="115" t="s">
        <v>2394</v>
      </c>
      <c r="EO50" s="115" t="s">
        <v>2226</v>
      </c>
      <c r="EP50" s="115" t="s">
        <v>2424</v>
      </c>
      <c r="EQ50" s="115" t="s">
        <v>2438</v>
      </c>
      <c r="ER50" s="115" t="s">
        <v>2226</v>
      </c>
      <c r="ES50" s="115" t="s">
        <v>2226</v>
      </c>
      <c r="ET50" s="115" t="s">
        <v>2481</v>
      </c>
      <c r="EU50" s="115" t="s">
        <v>2497</v>
      </c>
      <c r="EV50" s="115" t="s">
        <v>2497</v>
      </c>
      <c r="EW50" s="115" t="s">
        <v>2530</v>
      </c>
      <c r="EX50" s="115" t="s">
        <v>88</v>
      </c>
      <c r="EY50" s="115" t="s">
        <v>88</v>
      </c>
      <c r="EZ50" s="115" t="s">
        <v>88</v>
      </c>
      <c r="FA50" s="41" t="s">
        <v>2614</v>
      </c>
      <c r="FB50" s="41" t="s">
        <v>2623</v>
      </c>
      <c r="FC50" s="41" t="s">
        <v>2614</v>
      </c>
      <c r="FD50" s="41" t="s">
        <v>2623</v>
      </c>
      <c r="FE50" s="41" t="s">
        <v>2645</v>
      </c>
      <c r="FF50" s="41" t="s">
        <v>2660</v>
      </c>
      <c r="FG50" s="41" t="s">
        <v>2660</v>
      </c>
      <c r="FH50" s="41" t="s">
        <v>2680</v>
      </c>
      <c r="FI50" s="41" t="s">
        <v>88</v>
      </c>
      <c r="FJ50" s="41" t="s">
        <v>2701</v>
      </c>
      <c r="FK50" s="41" t="s">
        <v>2713</v>
      </c>
      <c r="FL50" s="41" t="s">
        <v>2713</v>
      </c>
      <c r="FM50" s="187" t="s">
        <v>2735</v>
      </c>
      <c r="FN50" s="155" t="s">
        <v>2747</v>
      </c>
      <c r="FO50" s="187" t="s">
        <v>2763</v>
      </c>
      <c r="FP50" s="187" t="s">
        <v>2778</v>
      </c>
      <c r="FQ50" s="187" t="s">
        <v>2786</v>
      </c>
      <c r="FR50" s="115" t="s">
        <v>2804</v>
      </c>
      <c r="FS50" s="155" t="s">
        <v>2815</v>
      </c>
      <c r="FT50" s="155" t="s">
        <v>2826</v>
      </c>
      <c r="FU50" s="155" t="s">
        <v>2836</v>
      </c>
      <c r="FV50" s="115" t="s">
        <v>2852</v>
      </c>
      <c r="FW50" s="115" t="s">
        <v>2865</v>
      </c>
      <c r="FX50" s="115" t="s">
        <v>2876</v>
      </c>
      <c r="FY50" s="115" t="s">
        <v>2886</v>
      </c>
      <c r="FZ50" s="115" t="s">
        <v>2309</v>
      </c>
      <c r="GA50" s="115" t="s">
        <v>2909</v>
      </c>
      <c r="GB50" s="115" t="s">
        <v>2918</v>
      </c>
      <c r="GC50" s="115" t="s">
        <v>2927</v>
      </c>
      <c r="GD50" s="155" t="s">
        <v>2938</v>
      </c>
      <c r="GE50" s="115" t="s">
        <v>2950</v>
      </c>
      <c r="GF50" s="159" t="s">
        <v>2967</v>
      </c>
      <c r="GG50" s="208" t="s">
        <v>2981</v>
      </c>
      <c r="GH50" s="159" t="s">
        <v>2999</v>
      </c>
      <c r="GI50" s="159" t="s">
        <v>3012</v>
      </c>
      <c r="GJ50" s="159" t="s">
        <v>3023</v>
      </c>
      <c r="GK50" s="159" t="s">
        <v>1978</v>
      </c>
      <c r="GL50" s="115" t="s">
        <v>2967</v>
      </c>
      <c r="GM50" s="115" t="s">
        <v>2713</v>
      </c>
      <c r="GN50" s="115" t="s">
        <v>2660</v>
      </c>
      <c r="GO50" s="115" t="s">
        <v>3088</v>
      </c>
      <c r="GP50" s="115" t="s">
        <v>2804</v>
      </c>
      <c r="GQ50" s="208" t="s">
        <v>3125</v>
      </c>
      <c r="GR50" s="115" t="s">
        <v>1978</v>
      </c>
      <c r="GS50" s="115" t="s">
        <v>3155</v>
      </c>
      <c r="GT50" s="115" t="s">
        <v>3171</v>
      </c>
      <c r="GU50" s="115" t="s">
        <v>3187</v>
      </c>
      <c r="GV50" s="115" t="s">
        <v>3206</v>
      </c>
      <c r="GW50" s="115" t="s">
        <v>3223</v>
      </c>
      <c r="GX50" s="115" t="s">
        <v>3237</v>
      </c>
      <c r="GY50" s="115" t="s">
        <v>3249</v>
      </c>
      <c r="GZ50" s="187" t="s">
        <v>3261</v>
      </c>
      <c r="HA50" s="159" t="s">
        <v>3272</v>
      </c>
      <c r="HB50" s="159" t="s">
        <v>3292</v>
      </c>
      <c r="HC50" s="159" t="s">
        <v>3272</v>
      </c>
      <c r="HD50" s="187" t="s">
        <v>3261</v>
      </c>
      <c r="HE50" s="115" t="s">
        <v>3324</v>
      </c>
      <c r="HF50" s="115" t="s">
        <v>3324</v>
      </c>
      <c r="HG50" s="155" t="s">
        <v>3351</v>
      </c>
      <c r="HH50" s="115" t="s">
        <v>3324</v>
      </c>
      <c r="HI50" s="200" t="s">
        <v>3370</v>
      </c>
      <c r="HJ50" s="115" t="s">
        <v>3381</v>
      </c>
      <c r="HK50" s="115" t="s">
        <v>3399</v>
      </c>
      <c r="HL50" s="115" t="s">
        <v>3414</v>
      </c>
      <c r="HM50" s="115" t="s">
        <v>3431</v>
      </c>
      <c r="HN50" s="115" t="s">
        <v>3512</v>
      </c>
      <c r="HO50" s="115" t="s">
        <v>3525</v>
      </c>
      <c r="HP50" s="159" t="s">
        <v>3535</v>
      </c>
      <c r="HQ50" s="115" t="s">
        <v>3544</v>
      </c>
      <c r="HR50" s="159" t="s">
        <v>3555</v>
      </c>
      <c r="HS50" s="115" t="s">
        <v>3571</v>
      </c>
      <c r="HT50" s="115" t="s">
        <v>3586</v>
      </c>
      <c r="HU50" s="115" t="s">
        <v>3599</v>
      </c>
      <c r="HV50" s="115" t="s">
        <v>3604</v>
      </c>
      <c r="HW50" s="159" t="s">
        <v>3612</v>
      </c>
      <c r="HX50" s="115" t="s">
        <v>3525</v>
      </c>
      <c r="HY50" s="159" t="s">
        <v>3630</v>
      </c>
      <c r="HZ50" s="115" t="s">
        <v>3642</v>
      </c>
      <c r="IA50" s="115" t="s">
        <v>3525</v>
      </c>
      <c r="IB50" s="115" t="s">
        <v>3663</v>
      </c>
      <c r="IC50" s="115" t="s">
        <v>3630</v>
      </c>
      <c r="ID50" s="115" t="s">
        <v>3689</v>
      </c>
      <c r="IE50" s="115" t="s">
        <v>3703</v>
      </c>
      <c r="IF50" s="183" t="s">
        <v>3719</v>
      </c>
      <c r="IG50" s="185" t="s">
        <v>3727</v>
      </c>
      <c r="IH50" s="185" t="s">
        <v>3737</v>
      </c>
      <c r="II50" s="185" t="s">
        <v>3751</v>
      </c>
      <c r="IJ50" s="185" t="s">
        <v>3762</v>
      </c>
      <c r="IK50" s="185" t="s">
        <v>3771</v>
      </c>
      <c r="IL50" s="183" t="s">
        <v>3719</v>
      </c>
      <c r="IM50" s="159" t="s">
        <v>3787</v>
      </c>
      <c r="IN50" s="159" t="s">
        <v>3796</v>
      </c>
      <c r="IO50" s="159" t="s">
        <v>404</v>
      </c>
      <c r="IP50" s="159" t="s">
        <v>404</v>
      </c>
      <c r="IQ50" s="115" t="s">
        <v>88</v>
      </c>
      <c r="IR50" s="159" t="s">
        <v>3796</v>
      </c>
      <c r="IS50" s="115" t="s">
        <v>2226</v>
      </c>
      <c r="IT50" s="115" t="s">
        <v>3771</v>
      </c>
      <c r="IU50" s="115" t="s">
        <v>3771</v>
      </c>
      <c r="IV50" s="115" t="s">
        <v>3771</v>
      </c>
      <c r="IW50" s="115" t="s">
        <v>3771</v>
      </c>
      <c r="IX50" s="159"/>
      <c r="IY50" s="115" t="s">
        <v>3968</v>
      </c>
      <c r="IZ50" s="115" t="s">
        <v>3982</v>
      </c>
      <c r="JA50" s="159" t="s">
        <v>4018</v>
      </c>
      <c r="JB50" s="115" t="s">
        <v>4031</v>
      </c>
      <c r="JC50" s="159" t="s">
        <v>4044</v>
      </c>
      <c r="JD50" s="159" t="s">
        <v>4052</v>
      </c>
      <c r="JE50" s="115" t="s">
        <v>4063</v>
      </c>
      <c r="JF50" s="159" t="s">
        <v>4076</v>
      </c>
      <c r="JG50" s="115" t="s">
        <v>4091</v>
      </c>
      <c r="JH50" s="159" t="s">
        <v>4105</v>
      </c>
      <c r="JI50" s="159" t="s">
        <v>4119</v>
      </c>
      <c r="JJ50" s="245" t="s">
        <v>4133</v>
      </c>
      <c r="JK50" s="245" t="s">
        <v>4145</v>
      </c>
      <c r="JL50" s="245" t="s">
        <v>4158</v>
      </c>
      <c r="JM50" s="245" t="s">
        <v>4165</v>
      </c>
      <c r="JN50" s="115" t="s">
        <v>4175</v>
      </c>
      <c r="JO50" s="115" t="s">
        <v>4191</v>
      </c>
      <c r="JP50" s="159" t="s">
        <v>4224</v>
      </c>
      <c r="JQ50" s="159" t="s">
        <v>4239</v>
      </c>
      <c r="JR50" s="159" t="s">
        <v>4246</v>
      </c>
      <c r="JS50" s="159" t="s">
        <v>4257</v>
      </c>
      <c r="JT50" s="115" t="s">
        <v>4267</v>
      </c>
      <c r="JU50" s="159" t="s">
        <v>4257</v>
      </c>
      <c r="JV50" s="159" t="s">
        <v>4257</v>
      </c>
      <c r="JW50" s="159" t="s">
        <v>4280</v>
      </c>
      <c r="JX50" s="159" t="s">
        <v>4280</v>
      </c>
      <c r="JY50" s="159" t="s">
        <v>4280</v>
      </c>
      <c r="JZ50" s="159" t="s">
        <v>4280</v>
      </c>
      <c r="KA50" s="159" t="s">
        <v>4280</v>
      </c>
      <c r="KB50" s="159" t="s">
        <v>4280</v>
      </c>
      <c r="KC50" s="159" t="s">
        <v>4280</v>
      </c>
      <c r="KD50" s="115" t="s">
        <v>4326</v>
      </c>
      <c r="KE50" s="159" t="s">
        <v>4336</v>
      </c>
      <c r="KF50" s="159" t="s">
        <v>4342</v>
      </c>
      <c r="KG50" s="115" t="s">
        <v>4354</v>
      </c>
      <c r="KH50" s="115" t="s">
        <v>4372</v>
      </c>
      <c r="KI50" s="115" t="s">
        <v>4388</v>
      </c>
      <c r="KJ50" s="115" t="s">
        <v>4404</v>
      </c>
      <c r="KK50" s="115" t="s">
        <v>4418</v>
      </c>
      <c r="KL50" s="115" t="s">
        <v>4431</v>
      </c>
      <c r="KM50" s="115" t="s">
        <v>4447</v>
      </c>
      <c r="KN50" s="187" t="s">
        <v>4474</v>
      </c>
      <c r="KO50" s="159" t="s">
        <v>4491</v>
      </c>
      <c r="KP50" s="115" t="s">
        <v>1978</v>
      </c>
      <c r="KQ50" s="159" t="s">
        <v>4509</v>
      </c>
      <c r="KR50" s="159" t="s">
        <v>4521</v>
      </c>
      <c r="KS50" s="159" t="s">
        <v>4534</v>
      </c>
      <c r="KT50" s="159" t="s">
        <v>4544</v>
      </c>
      <c r="KU50" s="159" t="s">
        <v>4544</v>
      </c>
      <c r="KV50" s="159" t="s">
        <v>4558</v>
      </c>
      <c r="KW50" s="115" t="s">
        <v>4568</v>
      </c>
      <c r="KX50" s="115" t="s">
        <v>4578</v>
      </c>
      <c r="KY50" s="245" t="s">
        <v>4619</v>
      </c>
      <c r="KZ50" s="245" t="s">
        <v>4633</v>
      </c>
      <c r="LA50" s="187" t="s">
        <v>4668</v>
      </c>
      <c r="LB50" s="115" t="s">
        <v>4693</v>
      </c>
      <c r="LC50" s="115" t="s">
        <v>4706</v>
      </c>
      <c r="LD50" s="115" t="s">
        <v>4706</v>
      </c>
      <c r="LE50" s="115" t="s">
        <v>4706</v>
      </c>
      <c r="LF50" s="115" t="s">
        <v>4745</v>
      </c>
      <c r="LG50" s="115" t="s">
        <v>4823</v>
      </c>
      <c r="LH50" s="115" t="s">
        <v>4755</v>
      </c>
      <c r="LI50" s="115" t="s">
        <v>1978</v>
      </c>
      <c r="LJ50" s="115" t="s">
        <v>4776</v>
      </c>
      <c r="LK50" s="115" t="s">
        <v>4789</v>
      </c>
      <c r="LL50" s="187" t="s">
        <v>606</v>
      </c>
      <c r="LM50" s="120" t="s">
        <v>4805</v>
      </c>
      <c r="LN50" s="265" t="s">
        <v>4813</v>
      </c>
      <c r="LO50" s="115" t="s">
        <v>4839</v>
      </c>
      <c r="LP50" s="115" t="s">
        <v>4857</v>
      </c>
      <c r="LQ50" s="263" t="s">
        <v>4680</v>
      </c>
      <c r="LR50" s="115" t="s">
        <v>4823</v>
      </c>
      <c r="LS50" s="115" t="s">
        <v>4776</v>
      </c>
      <c r="LT50" s="115" t="s">
        <v>4889</v>
      </c>
      <c r="LU50" s="115" t="s">
        <v>4889</v>
      </c>
      <c r="LV50" s="286" t="s">
        <v>4889</v>
      </c>
      <c r="LW50" s="115" t="s">
        <v>4889</v>
      </c>
      <c r="LX50" s="115" t="s">
        <v>4889</v>
      </c>
      <c r="LY50" s="115" t="s">
        <v>4946</v>
      </c>
      <c r="LZ50" s="115" t="s">
        <v>4958</v>
      </c>
      <c r="MA50" s="115" t="s">
        <v>4972</v>
      </c>
      <c r="MB50" s="115" t="s">
        <v>4986</v>
      </c>
      <c r="MC50" s="115" t="s">
        <v>4946</v>
      </c>
      <c r="MD50" s="115" t="s">
        <v>5023</v>
      </c>
    </row>
    <row r="51" spans="1:342" ht="14.4" x14ac:dyDescent="0.3">
      <c r="A51" s="92">
        <v>48</v>
      </c>
      <c r="B51" s="311"/>
      <c r="C51" s="55" t="s">
        <v>488</v>
      </c>
      <c r="D51" s="14" t="s">
        <v>442</v>
      </c>
      <c r="E51" s="2" t="s">
        <v>26</v>
      </c>
      <c r="F51" s="2" t="s">
        <v>265</v>
      </c>
      <c r="G51" s="10" t="s">
        <v>55</v>
      </c>
      <c r="H51" s="5" t="s">
        <v>68</v>
      </c>
      <c r="I51" s="5" t="s">
        <v>107</v>
      </c>
      <c r="J51" s="2" t="s">
        <v>710</v>
      </c>
      <c r="K51" s="2" t="s">
        <v>722</v>
      </c>
      <c r="L51" s="5" t="s">
        <v>79</v>
      </c>
      <c r="M51" s="5" t="s">
        <v>89</v>
      </c>
      <c r="N51" s="5" t="s">
        <v>89</v>
      </c>
      <c r="O51" s="5" t="s">
        <v>89</v>
      </c>
      <c r="P51" s="5" t="s">
        <v>133</v>
      </c>
      <c r="Q51" s="10" t="s">
        <v>149</v>
      </c>
      <c r="R51" s="5" t="s">
        <v>162</v>
      </c>
      <c r="S51" s="5" t="s">
        <v>162</v>
      </c>
      <c r="T51" s="5" t="s">
        <v>162</v>
      </c>
      <c r="U51" s="2" t="s">
        <v>279</v>
      </c>
      <c r="V51" s="2" t="s">
        <v>279</v>
      </c>
      <c r="W51" s="2" t="s">
        <v>279</v>
      </c>
      <c r="X51" s="2" t="s">
        <v>294</v>
      </c>
      <c r="Y51" s="2" t="s">
        <v>301</v>
      </c>
      <c r="Z51" s="2" t="s">
        <v>315</v>
      </c>
      <c r="AA51" s="2" t="s">
        <v>335</v>
      </c>
      <c r="AB51" s="2" t="s">
        <v>356</v>
      </c>
      <c r="AC51" s="2" t="s">
        <v>364</v>
      </c>
      <c r="AD51" s="2" t="s">
        <v>379</v>
      </c>
      <c r="AE51" s="2" t="s">
        <v>394</v>
      </c>
      <c r="AF51" s="2" t="s">
        <v>395</v>
      </c>
      <c r="AG51" s="2" t="s">
        <v>405</v>
      </c>
      <c r="AH51" s="2" t="s">
        <v>419</v>
      </c>
      <c r="AI51" s="2" t="s">
        <v>545</v>
      </c>
      <c r="AJ51" s="2" t="s">
        <v>544</v>
      </c>
      <c r="AK51" s="2" t="s">
        <v>544</v>
      </c>
      <c r="AL51" s="2" t="s">
        <v>544</v>
      </c>
      <c r="AM51" s="2" t="s">
        <v>546</v>
      </c>
      <c r="AN51" s="2" t="s">
        <v>575</v>
      </c>
      <c r="AO51" s="2" t="s">
        <v>585</v>
      </c>
      <c r="AP51" s="2" t="s">
        <v>592</v>
      </c>
      <c r="AQ51" s="2" t="s">
        <v>607</v>
      </c>
      <c r="AR51" s="2" t="s">
        <v>620</v>
      </c>
      <c r="AS51" s="2" t="s">
        <v>624</v>
      </c>
      <c r="AT51" s="2" t="s">
        <v>638</v>
      </c>
      <c r="AU51" s="2" t="s">
        <v>659</v>
      </c>
      <c r="AV51" s="2" t="s">
        <v>660</v>
      </c>
      <c r="AW51" s="2" t="s">
        <v>661</v>
      </c>
      <c r="AX51" s="66" t="s">
        <v>691</v>
      </c>
      <c r="AY51" s="2" t="s">
        <v>265</v>
      </c>
      <c r="AZ51" s="2" t="s">
        <v>265</v>
      </c>
      <c r="BA51" s="2" t="s">
        <v>747</v>
      </c>
      <c r="BB51" s="2" t="s">
        <v>761</v>
      </c>
      <c r="BC51" s="66" t="s">
        <v>801</v>
      </c>
      <c r="BD51" s="66" t="s">
        <v>803</v>
      </c>
      <c r="BE51" s="66" t="s">
        <v>807</v>
      </c>
      <c r="BF51" s="66" t="s">
        <v>808</v>
      </c>
      <c r="BG51" s="66" t="s">
        <v>810</v>
      </c>
      <c r="BH51" s="115" t="s">
        <v>1106</v>
      </c>
      <c r="BI51" s="12" t="s">
        <v>841</v>
      </c>
      <c r="BJ51" s="91" t="s">
        <v>840</v>
      </c>
      <c r="BK51" s="2" t="s">
        <v>222</v>
      </c>
      <c r="BL51" s="72" t="s">
        <v>1104</v>
      </c>
      <c r="BM51" s="88" t="s">
        <v>1044</v>
      </c>
      <c r="BN51" s="88" t="s">
        <v>1044</v>
      </c>
      <c r="BO51" s="88" t="s">
        <v>1044</v>
      </c>
      <c r="BP51" s="88" t="s">
        <v>1044</v>
      </c>
      <c r="BQ51" s="88" t="s">
        <v>1044</v>
      </c>
      <c r="BR51" s="117" t="s">
        <v>1399</v>
      </c>
      <c r="BS51" s="105" t="s">
        <v>1415</v>
      </c>
      <c r="BT51" s="105" t="s">
        <v>1429</v>
      </c>
      <c r="BU51" s="115" t="s">
        <v>1443</v>
      </c>
      <c r="BV51" s="115" t="s">
        <v>1456</v>
      </c>
      <c r="BW51" s="115" t="s">
        <v>1469</v>
      </c>
      <c r="BX51" s="115" t="s">
        <v>1482</v>
      </c>
      <c r="BY51" s="115" t="s">
        <v>1492</v>
      </c>
      <c r="BZ51" s="115" t="s">
        <v>1499</v>
      </c>
      <c r="CA51" s="41" t="s">
        <v>1569</v>
      </c>
      <c r="CB51" s="41" t="s">
        <v>1589</v>
      </c>
      <c r="CC51" s="41" t="s">
        <v>1605</v>
      </c>
      <c r="CD51" s="41" t="s">
        <v>1622</v>
      </c>
      <c r="CE51" s="41" t="s">
        <v>1642</v>
      </c>
      <c r="CF51" s="41" t="s">
        <v>1651</v>
      </c>
      <c r="CG51" s="41" t="s">
        <v>1659</v>
      </c>
      <c r="CH51" s="41" t="s">
        <v>1669</v>
      </c>
      <c r="CI51" s="41" t="s">
        <v>1687</v>
      </c>
      <c r="CJ51" s="41" t="s">
        <v>1699</v>
      </c>
      <c r="CK51" s="41" t="s">
        <v>1705</v>
      </c>
      <c r="CL51" s="41" t="s">
        <v>1711</v>
      </c>
      <c r="CM51" s="41" t="s">
        <v>1723</v>
      </c>
      <c r="CN51" s="41" t="s">
        <v>1735</v>
      </c>
      <c r="CO51" s="41" t="s">
        <v>1745</v>
      </c>
      <c r="CP51" s="41" t="s">
        <v>1759</v>
      </c>
      <c r="CQ51" s="41" t="s">
        <v>1775</v>
      </c>
      <c r="CR51" s="41" t="s">
        <v>1783</v>
      </c>
      <c r="CS51" s="41" t="s">
        <v>1795</v>
      </c>
      <c r="CT51" s="41" t="s">
        <v>1808</v>
      </c>
      <c r="CU51" s="41" t="s">
        <v>1815</v>
      </c>
      <c r="CV51" s="41" t="s">
        <v>1821</v>
      </c>
      <c r="CW51" s="41" t="s">
        <v>1830</v>
      </c>
      <c r="CX51" s="41" t="s">
        <v>1840</v>
      </c>
      <c r="CY51" s="41" t="s">
        <v>1848</v>
      </c>
      <c r="CZ51" s="41" t="s">
        <v>1857</v>
      </c>
      <c r="DA51" s="41" t="s">
        <v>1864</v>
      </c>
      <c r="DB51" s="41" t="s">
        <v>1874</v>
      </c>
      <c r="DC51" s="41" t="s">
        <v>1884</v>
      </c>
      <c r="DD51" s="41" t="s">
        <v>1894</v>
      </c>
      <c r="DE51" s="41" t="s">
        <v>1901</v>
      </c>
      <c r="DF51" s="41" t="s">
        <v>1907</v>
      </c>
      <c r="DG51" s="41" t="s">
        <v>1916</v>
      </c>
      <c r="DH51" s="41" t="s">
        <v>1925</v>
      </c>
      <c r="DI51" s="41" t="s">
        <v>1933</v>
      </c>
      <c r="DJ51" s="41" t="s">
        <v>1945</v>
      </c>
      <c r="DK51" s="41" t="s">
        <v>1960</v>
      </c>
      <c r="DL51" s="41" t="s">
        <v>1986</v>
      </c>
      <c r="DM51" s="41" t="s">
        <v>2055</v>
      </c>
      <c r="DN51" s="41" t="s">
        <v>2067</v>
      </c>
      <c r="DO51" s="112" t="s">
        <v>2079</v>
      </c>
      <c r="DP51" s="105" t="s">
        <v>2019</v>
      </c>
      <c r="DQ51" s="105" t="s">
        <v>2025</v>
      </c>
      <c r="DR51" s="105" t="s">
        <v>2029</v>
      </c>
      <c r="DS51" s="105" t="s">
        <v>2029</v>
      </c>
      <c r="DT51" s="105" t="s">
        <v>2029</v>
      </c>
      <c r="DU51" s="41" t="s">
        <v>2099</v>
      </c>
      <c r="DV51" s="12" t="s">
        <v>2120</v>
      </c>
      <c r="DW51" s="115" t="s">
        <v>2178</v>
      </c>
      <c r="DX51" s="115" t="s">
        <v>2195</v>
      </c>
      <c r="DY51" s="115" t="s">
        <v>2213</v>
      </c>
      <c r="DZ51" s="115" t="s">
        <v>2227</v>
      </c>
      <c r="EA51" s="115" t="s">
        <v>2239</v>
      </c>
      <c r="EB51" s="115" t="s">
        <v>2250</v>
      </c>
      <c r="EC51" s="115" t="s">
        <v>2265</v>
      </c>
      <c r="ED51" s="115" t="s">
        <v>2280</v>
      </c>
      <c r="EE51" s="115" t="s">
        <v>2289</v>
      </c>
      <c r="EF51" s="115" t="s">
        <v>2296</v>
      </c>
      <c r="EG51" s="115" t="s">
        <v>2301</v>
      </c>
      <c r="EH51" s="115" t="s">
        <v>2310</v>
      </c>
      <c r="EI51" s="187" t="s">
        <v>2325</v>
      </c>
      <c r="EJ51" s="115" t="s">
        <v>2337</v>
      </c>
      <c r="EK51" s="155" t="s">
        <v>2351</v>
      </c>
      <c r="EL51" s="115" t="s">
        <v>2367</v>
      </c>
      <c r="EM51" s="155" t="s">
        <v>2381</v>
      </c>
      <c r="EN51" s="115" t="s">
        <v>2395</v>
      </c>
      <c r="EO51" s="115" t="s">
        <v>2409</v>
      </c>
      <c r="EP51" s="115" t="s">
        <v>2425</v>
      </c>
      <c r="EQ51" s="115" t="s">
        <v>2439</v>
      </c>
      <c r="ER51" s="115" t="s">
        <v>2454</v>
      </c>
      <c r="ES51" s="115" t="s">
        <v>2470</v>
      </c>
      <c r="ET51" s="115" t="s">
        <v>2482</v>
      </c>
      <c r="EU51" s="115" t="s">
        <v>2498</v>
      </c>
      <c r="EV51" s="115" t="s">
        <v>2514</v>
      </c>
      <c r="EW51" s="115" t="s">
        <v>2531</v>
      </c>
      <c r="EX51" s="115" t="s">
        <v>2544</v>
      </c>
      <c r="EY51" s="115" t="s">
        <v>2553</v>
      </c>
      <c r="EZ51" s="115" t="s">
        <v>2564</v>
      </c>
      <c r="FA51" s="41" t="s">
        <v>2615</v>
      </c>
      <c r="FB51" s="41" t="s">
        <v>2624</v>
      </c>
      <c r="FC51" s="41" t="s">
        <v>2631</v>
      </c>
      <c r="FD51" s="41" t="s">
        <v>2634</v>
      </c>
      <c r="FE51" s="41" t="s">
        <v>2646</v>
      </c>
      <c r="FF51" s="41" t="s">
        <v>2661</v>
      </c>
      <c r="FG51" s="41" t="s">
        <v>2672</v>
      </c>
      <c r="FH51" s="41" t="s">
        <v>2681</v>
      </c>
      <c r="FI51" s="41" t="s">
        <v>2690</v>
      </c>
      <c r="FJ51" s="41" t="s">
        <v>2702</v>
      </c>
      <c r="FK51" s="41" t="s">
        <v>2714</v>
      </c>
      <c r="FL51" s="41" t="s">
        <v>2724</v>
      </c>
      <c r="FM51" s="155" t="s">
        <v>2736</v>
      </c>
      <c r="FN51" s="155" t="s">
        <v>2748</v>
      </c>
      <c r="FO51" s="155" t="s">
        <v>2764</v>
      </c>
      <c r="FP51" s="155" t="s">
        <v>2779</v>
      </c>
      <c r="FQ51" s="155" t="s">
        <v>2787</v>
      </c>
      <c r="FR51" s="115" t="s">
        <v>2805</v>
      </c>
      <c r="FS51" s="155" t="s">
        <v>2816</v>
      </c>
      <c r="FT51" s="155" t="s">
        <v>2827</v>
      </c>
      <c r="FU51" s="155" t="s">
        <v>2837</v>
      </c>
      <c r="FV51" s="115" t="s">
        <v>2853</v>
      </c>
      <c r="FW51" s="115" t="s">
        <v>2866</v>
      </c>
      <c r="FX51" s="115" t="s">
        <v>2877</v>
      </c>
      <c r="FY51" s="115" t="s">
        <v>2887</v>
      </c>
      <c r="FZ51" s="115" t="s">
        <v>2896</v>
      </c>
      <c r="GA51" s="159" t="s">
        <v>2910</v>
      </c>
      <c r="GB51" s="115" t="s">
        <v>2919</v>
      </c>
      <c r="GC51" s="115" t="s">
        <v>2928</v>
      </c>
      <c r="GD51" s="155" t="s">
        <v>2939</v>
      </c>
      <c r="GE51" s="115" t="s">
        <v>2951</v>
      </c>
      <c r="GF51" s="159" t="s">
        <v>2968</v>
      </c>
      <c r="GG51" s="208" t="s">
        <v>2982</v>
      </c>
      <c r="GH51" s="159" t="s">
        <v>3000</v>
      </c>
      <c r="GI51" s="159" t="s">
        <v>3013</v>
      </c>
      <c r="GJ51" s="159" t="s">
        <v>3024</v>
      </c>
      <c r="GK51" s="159" t="s">
        <v>3037</v>
      </c>
      <c r="GL51" s="216" t="s">
        <v>3046</v>
      </c>
      <c r="GM51" s="115" t="s">
        <v>3058</v>
      </c>
      <c r="GN51" s="115" t="s">
        <v>3072</v>
      </c>
      <c r="GO51" s="115" t="s">
        <v>3089</v>
      </c>
      <c r="GP51" s="216" t="s">
        <v>3104</v>
      </c>
      <c r="GQ51" s="208" t="s">
        <v>3126</v>
      </c>
      <c r="GR51" s="216" t="s">
        <v>3141</v>
      </c>
      <c r="GS51" s="115" t="s">
        <v>3156</v>
      </c>
      <c r="GT51" s="115" t="s">
        <v>3172</v>
      </c>
      <c r="GU51" s="115" t="s">
        <v>3188</v>
      </c>
      <c r="GV51" s="159" t="s">
        <v>3207</v>
      </c>
      <c r="GW51" s="159" t="s">
        <v>3224</v>
      </c>
      <c r="GX51" s="115" t="s">
        <v>3238</v>
      </c>
      <c r="GY51" s="115" t="s">
        <v>3250</v>
      </c>
      <c r="GZ51" s="69" t="s">
        <v>3262</v>
      </c>
      <c r="HA51" s="159" t="s">
        <v>3273</v>
      </c>
      <c r="HB51" s="159" t="s">
        <v>3293</v>
      </c>
      <c r="HC51" s="159" t="s">
        <v>3300</v>
      </c>
      <c r="HD51" s="69" t="s">
        <v>3308</v>
      </c>
      <c r="HE51" s="185" t="s">
        <v>3325</v>
      </c>
      <c r="HF51" s="185" t="s">
        <v>3338</v>
      </c>
      <c r="HG51" s="187" t="s">
        <v>3352</v>
      </c>
      <c r="HH51" s="185" t="s">
        <v>3358</v>
      </c>
      <c r="HI51" s="155" t="s">
        <v>3371</v>
      </c>
      <c r="HJ51" s="115" t="s">
        <v>3382</v>
      </c>
      <c r="HK51" s="115" t="s">
        <v>3400</v>
      </c>
      <c r="HL51" s="115" t="s">
        <v>3415</v>
      </c>
      <c r="HM51" s="115" t="s">
        <v>3432</v>
      </c>
      <c r="HN51" s="115" t="s">
        <v>3513</v>
      </c>
      <c r="HO51" s="115" t="s">
        <v>3526</v>
      </c>
      <c r="HP51" s="159" t="s">
        <v>3536</v>
      </c>
      <c r="HQ51" s="115" t="s">
        <v>3545</v>
      </c>
      <c r="HR51" s="159" t="s">
        <v>3556</v>
      </c>
      <c r="HS51" s="115" t="s">
        <v>3572</v>
      </c>
      <c r="HT51" s="185" t="s">
        <v>3587</v>
      </c>
      <c r="HU51" s="159" t="s">
        <v>3600</v>
      </c>
      <c r="HV51" s="115" t="s">
        <v>3605</v>
      </c>
      <c r="HW51" s="159" t="s">
        <v>3613</v>
      </c>
      <c r="HX51" s="115" t="s">
        <v>3620</v>
      </c>
      <c r="HY51" s="159" t="s">
        <v>3631</v>
      </c>
      <c r="HZ51" s="115" t="s">
        <v>3643</v>
      </c>
      <c r="IA51" s="115" t="s">
        <v>3654</v>
      </c>
      <c r="IB51" s="115" t="s">
        <v>3664</v>
      </c>
      <c r="IC51" s="159" t="s">
        <v>3675</v>
      </c>
      <c r="ID51" s="185" t="s">
        <v>3690</v>
      </c>
      <c r="IE51" s="159" t="s">
        <v>3704</v>
      </c>
      <c r="IF51" s="183" t="s">
        <v>3720</v>
      </c>
      <c r="IG51" s="185" t="s">
        <v>3728</v>
      </c>
      <c r="IH51" s="169" t="s">
        <v>3738</v>
      </c>
      <c r="II51" s="185" t="s">
        <v>3752</v>
      </c>
      <c r="IJ51" s="185" t="s">
        <v>3763</v>
      </c>
      <c r="IK51" s="185" t="s">
        <v>3772</v>
      </c>
      <c r="IL51" s="183" t="s">
        <v>3779</v>
      </c>
      <c r="IM51" s="159" t="s">
        <v>3788</v>
      </c>
      <c r="IN51" s="159" t="s">
        <v>3797</v>
      </c>
      <c r="IO51" s="159" t="s">
        <v>3806</v>
      </c>
      <c r="IP51" s="159" t="s">
        <v>3820</v>
      </c>
      <c r="IQ51" s="115" t="s">
        <v>3833</v>
      </c>
      <c r="IR51" s="159" t="s">
        <v>3839</v>
      </c>
      <c r="IS51" s="115" t="s">
        <v>3851</v>
      </c>
      <c r="IT51" s="115" t="s">
        <v>3865</v>
      </c>
      <c r="IU51" s="115" t="s">
        <v>3877</v>
      </c>
      <c r="IV51" s="159" t="s">
        <v>3895</v>
      </c>
      <c r="IW51" s="115" t="s">
        <v>3999</v>
      </c>
      <c r="IX51" s="159"/>
      <c r="IY51" s="115" t="s">
        <v>3969</v>
      </c>
      <c r="IZ51" s="115" t="s">
        <v>3983</v>
      </c>
      <c r="JA51" s="159" t="s">
        <v>4019</v>
      </c>
      <c r="JB51" s="115" t="s">
        <v>4032</v>
      </c>
      <c r="JC51" s="159" t="s">
        <v>4045</v>
      </c>
      <c r="JD51" s="159" t="s">
        <v>4053</v>
      </c>
      <c r="JE51" s="115" t="s">
        <v>4064</v>
      </c>
      <c r="JF51" s="159" t="s">
        <v>4077</v>
      </c>
      <c r="JG51" s="115" t="s">
        <v>4092</v>
      </c>
      <c r="JH51" s="159" t="s">
        <v>4106</v>
      </c>
      <c r="JI51" s="159" t="s">
        <v>4120</v>
      </c>
      <c r="JJ51" s="245" t="s">
        <v>4134</v>
      </c>
      <c r="JK51" s="245" t="s">
        <v>4146</v>
      </c>
      <c r="JL51" s="244" t="s">
        <v>4159</v>
      </c>
      <c r="JM51" s="244" t="s">
        <v>4166</v>
      </c>
      <c r="JN51" s="115" t="s">
        <v>4176</v>
      </c>
      <c r="JO51" s="115" t="s">
        <v>4192</v>
      </c>
      <c r="JP51" s="159" t="s">
        <v>4225</v>
      </c>
      <c r="JQ51" s="159" t="s">
        <v>4240</v>
      </c>
      <c r="JR51" s="159" t="s">
        <v>4247</v>
      </c>
      <c r="JS51" s="159" t="s">
        <v>4258</v>
      </c>
      <c r="JT51" s="115" t="s">
        <v>4268</v>
      </c>
      <c r="JU51" s="159" t="s">
        <v>4272</v>
      </c>
      <c r="JV51" s="159" t="s">
        <v>4275</v>
      </c>
      <c r="JW51" s="159" t="s">
        <v>4281</v>
      </c>
      <c r="JX51" s="159" t="s">
        <v>4292</v>
      </c>
      <c r="JY51" s="159" t="s">
        <v>4309</v>
      </c>
      <c r="JZ51" s="159" t="s">
        <v>4317</v>
      </c>
      <c r="KA51" s="159" t="s">
        <v>4303</v>
      </c>
      <c r="KB51" s="159" t="s">
        <v>4313</v>
      </c>
      <c r="KC51" s="159" t="s">
        <v>4298</v>
      </c>
      <c r="KD51" s="115" t="s">
        <v>4327</v>
      </c>
      <c r="KE51" s="159" t="s">
        <v>4337</v>
      </c>
      <c r="KF51" s="159" t="s">
        <v>4343</v>
      </c>
      <c r="KG51" s="115" t="s">
        <v>4355</v>
      </c>
      <c r="KH51" s="115" t="s">
        <v>4373</v>
      </c>
      <c r="KI51" s="115" t="s">
        <v>4389</v>
      </c>
      <c r="KJ51" s="159" t="s">
        <v>4405</v>
      </c>
      <c r="KK51" s="159" t="s">
        <v>4419</v>
      </c>
      <c r="KL51" s="115" t="s">
        <v>4432</v>
      </c>
      <c r="KM51" s="115" t="s">
        <v>4448</v>
      </c>
      <c r="KN51" s="187" t="s">
        <v>4475</v>
      </c>
      <c r="KO51" s="159" t="s">
        <v>4492</v>
      </c>
      <c r="KP51" s="115" t="s">
        <v>4503</v>
      </c>
      <c r="KQ51" s="159" t="s">
        <v>4510</v>
      </c>
      <c r="KR51" s="159" t="s">
        <v>4522</v>
      </c>
      <c r="KS51" s="159" t="s">
        <v>4535</v>
      </c>
      <c r="KT51" s="159" t="s">
        <v>4545</v>
      </c>
      <c r="KU51" s="159" t="s">
        <v>4551</v>
      </c>
      <c r="KV51" s="159" t="s">
        <v>4559</v>
      </c>
      <c r="KW51" s="115" t="s">
        <v>4569</v>
      </c>
      <c r="KX51" s="115" t="s">
        <v>4579</v>
      </c>
      <c r="KY51" s="257" t="s">
        <v>4620</v>
      </c>
      <c r="KZ51" s="243" t="s">
        <v>4634</v>
      </c>
      <c r="LA51" s="187" t="s">
        <v>4669</v>
      </c>
      <c r="LB51" s="115" t="s">
        <v>4694</v>
      </c>
      <c r="LC51" s="115" t="s">
        <v>4707</v>
      </c>
      <c r="LD51" s="115" t="s">
        <v>4721</v>
      </c>
      <c r="LE51" s="115" t="s">
        <v>4727</v>
      </c>
      <c r="LF51" s="115" t="s">
        <v>4746</v>
      </c>
      <c r="LG51" s="115" t="s">
        <v>4824</v>
      </c>
      <c r="LH51" s="115" t="s">
        <v>4756</v>
      </c>
      <c r="LI51" s="115" t="s">
        <v>4766</v>
      </c>
      <c r="LJ51" s="115" t="s">
        <v>4766</v>
      </c>
      <c r="LK51" s="115" t="s">
        <v>4790</v>
      </c>
      <c r="LL51" s="187" t="s">
        <v>4800</v>
      </c>
      <c r="LM51" s="120" t="s">
        <v>4806</v>
      </c>
      <c r="LN51" s="263" t="s">
        <v>4814</v>
      </c>
      <c r="LO51" s="115" t="s">
        <v>4840</v>
      </c>
      <c r="LP51" s="115" t="s">
        <v>4858</v>
      </c>
      <c r="LQ51" s="263" t="s">
        <v>4867</v>
      </c>
      <c r="LR51" s="115" t="s">
        <v>4824</v>
      </c>
      <c r="LS51" s="115" t="s">
        <v>4878</v>
      </c>
      <c r="LT51" s="115" t="s">
        <v>4890</v>
      </c>
      <c r="LU51" s="115" t="s">
        <v>4903</v>
      </c>
      <c r="LV51" s="286" t="s">
        <v>4913</v>
      </c>
      <c r="LW51" s="115" t="s">
        <v>4924</v>
      </c>
      <c r="LX51" s="115" t="s">
        <v>4932</v>
      </c>
      <c r="LY51" s="115" t="s">
        <v>4947</v>
      </c>
      <c r="LZ51" s="115" t="s">
        <v>4959</v>
      </c>
      <c r="MA51" s="115" t="s">
        <v>4973</v>
      </c>
      <c r="MB51" s="115" t="s">
        <v>4987</v>
      </c>
      <c r="MC51" s="115" t="s">
        <v>5001</v>
      </c>
      <c r="MD51" s="115" t="s">
        <v>5024</v>
      </c>
    </row>
    <row r="52" spans="1:342" ht="14.4" x14ac:dyDescent="0.3">
      <c r="A52" s="92">
        <v>49</v>
      </c>
      <c r="B52" s="311"/>
      <c r="C52" s="55" t="s">
        <v>489</v>
      </c>
      <c r="D52" s="14" t="s">
        <v>442</v>
      </c>
      <c r="E52" s="2" t="s">
        <v>27</v>
      </c>
      <c r="F52" s="2" t="s">
        <v>266</v>
      </c>
      <c r="G52" s="5" t="s">
        <v>60</v>
      </c>
      <c r="H52" s="5" t="s">
        <v>69</v>
      </c>
      <c r="I52" s="5" t="s">
        <v>108</v>
      </c>
      <c r="J52" s="2" t="s">
        <v>712</v>
      </c>
      <c r="K52" s="2" t="s">
        <v>723</v>
      </c>
      <c r="L52" s="5" t="s">
        <v>80</v>
      </c>
      <c r="M52" s="5" t="s">
        <v>90</v>
      </c>
      <c r="N52" s="5" t="s">
        <v>90</v>
      </c>
      <c r="O52" s="5" t="s">
        <v>124</v>
      </c>
      <c r="P52" s="5" t="s">
        <v>69</v>
      </c>
      <c r="Q52" s="2" t="s">
        <v>1124</v>
      </c>
      <c r="R52" s="2" t="s">
        <v>1125</v>
      </c>
      <c r="S52" s="2" t="s">
        <v>1125</v>
      </c>
      <c r="T52" s="2" t="s">
        <v>1125</v>
      </c>
      <c r="U52" s="2" t="s">
        <v>280</v>
      </c>
      <c r="V52" s="2" t="s">
        <v>280</v>
      </c>
      <c r="W52" s="2" t="s">
        <v>280</v>
      </c>
      <c r="X52" s="2" t="s">
        <v>280</v>
      </c>
      <c r="Y52" s="2" t="s">
        <v>302</v>
      </c>
      <c r="Z52" s="2" t="s">
        <v>316</v>
      </c>
      <c r="AA52" s="2" t="s">
        <v>336</v>
      </c>
      <c r="AB52" s="2" t="s">
        <v>357</v>
      </c>
      <c r="AC52" s="2" t="s">
        <v>365</v>
      </c>
      <c r="AD52" s="2" t="s">
        <v>380</v>
      </c>
      <c r="AE52" s="2" t="s">
        <v>381</v>
      </c>
      <c r="AF52" s="2" t="s">
        <v>381</v>
      </c>
      <c r="AG52" s="2" t="s">
        <v>406</v>
      </c>
      <c r="AH52" s="2" t="s">
        <v>420</v>
      </c>
      <c r="AI52" s="2" t="s">
        <v>513</v>
      </c>
      <c r="AJ52" s="2" t="s">
        <v>554</v>
      </c>
      <c r="AK52" s="2" t="s">
        <v>513</v>
      </c>
      <c r="AL52" s="2" t="s">
        <v>513</v>
      </c>
      <c r="AM52" s="2" t="s">
        <v>554</v>
      </c>
      <c r="AN52" s="2" t="s">
        <v>576</v>
      </c>
      <c r="AO52" s="2" t="s">
        <v>586</v>
      </c>
      <c r="AP52" s="2" t="s">
        <v>593</v>
      </c>
      <c r="AQ52" s="2" t="s">
        <v>608</v>
      </c>
      <c r="AR52" s="2" t="s">
        <v>406</v>
      </c>
      <c r="AS52" s="2" t="s">
        <v>406</v>
      </c>
      <c r="AT52" s="2" t="s">
        <v>637</v>
      </c>
      <c r="AU52" s="2" t="s">
        <v>513</v>
      </c>
      <c r="AV52" s="2" t="s">
        <v>513</v>
      </c>
      <c r="AW52" s="2" t="s">
        <v>513</v>
      </c>
      <c r="AX52" s="2" t="s">
        <v>692</v>
      </c>
      <c r="AY52" s="2" t="s">
        <v>266</v>
      </c>
      <c r="AZ52" s="2" t="s">
        <v>266</v>
      </c>
      <c r="BA52" s="2" t="s">
        <v>748</v>
      </c>
      <c r="BB52" s="2" t="s">
        <v>762</v>
      </c>
      <c r="BC52" s="2" t="s">
        <v>826</v>
      </c>
      <c r="BD52" s="2" t="s">
        <v>826</v>
      </c>
      <c r="BE52" s="2" t="s">
        <v>827</v>
      </c>
      <c r="BF52" s="2" t="s">
        <v>827</v>
      </c>
      <c r="BG52" s="2" t="s">
        <v>826</v>
      </c>
      <c r="BH52" s="115" t="s">
        <v>826</v>
      </c>
      <c r="BI52" s="2" t="s">
        <v>828</v>
      </c>
      <c r="BJ52" s="2" t="s">
        <v>828</v>
      </c>
      <c r="BK52" s="2" t="s">
        <v>1121</v>
      </c>
      <c r="BL52" s="72" t="s">
        <v>1103</v>
      </c>
      <c r="BM52" s="88" t="s">
        <v>1045</v>
      </c>
      <c r="BN52" s="88" t="s">
        <v>1045</v>
      </c>
      <c r="BO52" s="88" t="s">
        <v>1045</v>
      </c>
      <c r="BP52" s="88" t="s">
        <v>1045</v>
      </c>
      <c r="BQ52" s="88" t="s">
        <v>1045</v>
      </c>
      <c r="BR52" s="117" t="s">
        <v>1400</v>
      </c>
      <c r="BS52" s="105" t="s">
        <v>1416</v>
      </c>
      <c r="BT52" s="105" t="s">
        <v>1430</v>
      </c>
      <c r="BU52" s="115" t="s">
        <v>1444</v>
      </c>
      <c r="BV52" s="115" t="s">
        <v>1457</v>
      </c>
      <c r="BW52" s="115" t="s">
        <v>1470</v>
      </c>
      <c r="BX52" s="115" t="s">
        <v>1483</v>
      </c>
      <c r="BY52" s="115" t="s">
        <v>1493</v>
      </c>
      <c r="BZ52" s="115" t="s">
        <v>1500</v>
      </c>
      <c r="CA52" s="41" t="s">
        <v>1570</v>
      </c>
      <c r="CB52" s="41" t="s">
        <v>1590</v>
      </c>
      <c r="CC52" s="41" t="s">
        <v>1606</v>
      </c>
      <c r="CD52" s="41" t="s">
        <v>1623</v>
      </c>
      <c r="CE52" s="41" t="s">
        <v>1643</v>
      </c>
      <c r="CF52" s="41" t="s">
        <v>1652</v>
      </c>
      <c r="CG52" s="41" t="s">
        <v>1660</v>
      </c>
      <c r="CH52" s="41" t="s">
        <v>1670</v>
      </c>
      <c r="CI52" s="41" t="s">
        <v>1688</v>
      </c>
      <c r="CJ52" s="41" t="s">
        <v>1700</v>
      </c>
      <c r="CK52" s="41" t="s">
        <v>1706</v>
      </c>
      <c r="CL52" s="41" t="s">
        <v>1712</v>
      </c>
      <c r="CM52" s="41" t="s">
        <v>1724</v>
      </c>
      <c r="CN52" s="41" t="s">
        <v>1736</v>
      </c>
      <c r="CO52" s="41" t="s">
        <v>1746</v>
      </c>
      <c r="CP52" s="41" t="s">
        <v>1760</v>
      </c>
      <c r="CQ52" s="41" t="s">
        <v>1776</v>
      </c>
      <c r="CR52" s="41" t="s">
        <v>1784</v>
      </c>
      <c r="CS52" s="41" t="s">
        <v>381</v>
      </c>
      <c r="CT52" s="41" t="s">
        <v>1809</v>
      </c>
      <c r="CU52" s="41" t="s">
        <v>1816</v>
      </c>
      <c r="CV52" s="41" t="s">
        <v>1822</v>
      </c>
      <c r="CW52" s="41" t="s">
        <v>381</v>
      </c>
      <c r="CX52" s="41" t="s">
        <v>90</v>
      </c>
      <c r="CY52" s="41" t="s">
        <v>90</v>
      </c>
      <c r="CZ52" s="41" t="s">
        <v>90</v>
      </c>
      <c r="DA52" s="41" t="s">
        <v>90</v>
      </c>
      <c r="DB52" s="41" t="s">
        <v>90</v>
      </c>
      <c r="DC52" s="41" t="s">
        <v>90</v>
      </c>
      <c r="DD52" s="41" t="s">
        <v>90</v>
      </c>
      <c r="DE52" s="41" t="s">
        <v>90</v>
      </c>
      <c r="DF52" s="41" t="s">
        <v>90</v>
      </c>
      <c r="DG52" s="41" t="s">
        <v>90</v>
      </c>
      <c r="DH52" s="41" t="s">
        <v>90</v>
      </c>
      <c r="DI52" s="41" t="s">
        <v>90</v>
      </c>
      <c r="DJ52" s="41" t="s">
        <v>1946</v>
      </c>
      <c r="DK52" s="41" t="s">
        <v>1946</v>
      </c>
      <c r="DL52" s="41" t="s">
        <v>1985</v>
      </c>
      <c r="DM52" s="41" t="s">
        <v>2056</v>
      </c>
      <c r="DN52" s="41" t="s">
        <v>2056</v>
      </c>
      <c r="DO52" s="112" t="s">
        <v>2080</v>
      </c>
      <c r="DP52" s="105" t="s">
        <v>2018</v>
      </c>
      <c r="DQ52" s="105" t="s">
        <v>2018</v>
      </c>
      <c r="DR52" s="105" t="s">
        <v>2030</v>
      </c>
      <c r="DS52" s="105" t="s">
        <v>2030</v>
      </c>
      <c r="DT52" s="105" t="s">
        <v>2030</v>
      </c>
      <c r="DU52" s="41" t="s">
        <v>2100</v>
      </c>
      <c r="DV52" s="105" t="s">
        <v>2121</v>
      </c>
      <c r="DW52" s="115" t="s">
        <v>2179</v>
      </c>
      <c r="DX52" s="115" t="s">
        <v>2196</v>
      </c>
      <c r="DY52" s="115" t="s">
        <v>2214</v>
      </c>
      <c r="DZ52" s="115" t="s">
        <v>1416</v>
      </c>
      <c r="EA52" s="115" t="s">
        <v>2240</v>
      </c>
      <c r="EB52" s="115" t="s">
        <v>2214</v>
      </c>
      <c r="EC52" s="115" t="s">
        <v>2266</v>
      </c>
      <c r="ED52" s="115" t="s">
        <v>2281</v>
      </c>
      <c r="EE52" s="115" t="s">
        <v>2281</v>
      </c>
      <c r="EF52" s="115" t="s">
        <v>2281</v>
      </c>
      <c r="EG52" s="115" t="s">
        <v>2281</v>
      </c>
      <c r="EH52" s="115" t="s">
        <v>2311</v>
      </c>
      <c r="EI52" s="187" t="s">
        <v>2326</v>
      </c>
      <c r="EJ52" s="115" t="s">
        <v>124</v>
      </c>
      <c r="EK52" s="155" t="s">
        <v>2352</v>
      </c>
      <c r="EL52" s="159" t="s">
        <v>2368</v>
      </c>
      <c r="EM52" s="155" t="s">
        <v>2382</v>
      </c>
      <c r="EN52" s="115" t="s">
        <v>2396</v>
      </c>
      <c r="EO52" s="115" t="s">
        <v>2410</v>
      </c>
      <c r="EP52" s="115" t="s">
        <v>2426</v>
      </c>
      <c r="EQ52" s="115" t="s">
        <v>2440</v>
      </c>
      <c r="ER52" s="115" t="s">
        <v>2455</v>
      </c>
      <c r="ES52" s="115" t="s">
        <v>2410</v>
      </c>
      <c r="ET52" s="115" t="s">
        <v>2483</v>
      </c>
      <c r="EU52" s="115" t="s">
        <v>2499</v>
      </c>
      <c r="EV52" s="115" t="s">
        <v>2499</v>
      </c>
      <c r="EW52" s="115" t="s">
        <v>2532</v>
      </c>
      <c r="EX52" s="115" t="s">
        <v>124</v>
      </c>
      <c r="EY52" s="115" t="s">
        <v>124</v>
      </c>
      <c r="EZ52" s="115" t="s">
        <v>124</v>
      </c>
      <c r="FA52" s="41" t="s">
        <v>2616</v>
      </c>
      <c r="FB52" s="41" t="s">
        <v>2625</v>
      </c>
      <c r="FC52" s="41" t="s">
        <v>2616</v>
      </c>
      <c r="FD52" s="41" t="s">
        <v>2625</v>
      </c>
      <c r="FE52" s="41" t="s">
        <v>2647</v>
      </c>
      <c r="FF52" s="41" t="s">
        <v>2662</v>
      </c>
      <c r="FG52" s="41" t="s">
        <v>2662</v>
      </c>
      <c r="FH52" s="41" t="s">
        <v>2682</v>
      </c>
      <c r="FI52" s="41" t="s">
        <v>124</v>
      </c>
      <c r="FJ52" s="41" t="s">
        <v>2703</v>
      </c>
      <c r="FK52" s="41" t="s">
        <v>2715</v>
      </c>
      <c r="FL52" s="41" t="s">
        <v>2715</v>
      </c>
      <c r="FM52" s="155" t="s">
        <v>2737</v>
      </c>
      <c r="FN52" s="155" t="s">
        <v>2749</v>
      </c>
      <c r="FO52" s="155" t="s">
        <v>2765</v>
      </c>
      <c r="FP52" s="155" t="s">
        <v>2780</v>
      </c>
      <c r="FQ52" s="155" t="s">
        <v>2788</v>
      </c>
      <c r="FR52" s="115" t="s">
        <v>2806</v>
      </c>
      <c r="FS52" s="155" t="s">
        <v>2817</v>
      </c>
      <c r="FT52" s="155" t="s">
        <v>2828</v>
      </c>
      <c r="FU52" s="155" t="s">
        <v>2838</v>
      </c>
      <c r="FV52" s="115" t="s">
        <v>2854</v>
      </c>
      <c r="FW52" s="115" t="s">
        <v>2867</v>
      </c>
      <c r="FX52" s="115" t="s">
        <v>2878</v>
      </c>
      <c r="FY52" s="115" t="s">
        <v>2888</v>
      </c>
      <c r="FZ52" s="115" t="s">
        <v>2897</v>
      </c>
      <c r="GA52" s="159" t="s">
        <v>2911</v>
      </c>
      <c r="GB52" s="115" t="s">
        <v>2920</v>
      </c>
      <c r="GC52" s="115" t="s">
        <v>2929</v>
      </c>
      <c r="GD52" s="155" t="s">
        <v>2940</v>
      </c>
      <c r="GE52" s="115" t="s">
        <v>2952</v>
      </c>
      <c r="GF52" s="159" t="s">
        <v>2969</v>
      </c>
      <c r="GG52" s="208" t="s">
        <v>2983</v>
      </c>
      <c r="GH52" s="159" t="s">
        <v>3001</v>
      </c>
      <c r="GI52" s="159" t="s">
        <v>3014</v>
      </c>
      <c r="GJ52" s="159" t="s">
        <v>3025</v>
      </c>
      <c r="GK52" s="159" t="s">
        <v>3038</v>
      </c>
      <c r="GL52" s="115" t="s">
        <v>3047</v>
      </c>
      <c r="GM52" s="115" t="s">
        <v>3059</v>
      </c>
      <c r="GN52" s="115" t="s">
        <v>3073</v>
      </c>
      <c r="GO52" s="115" t="s">
        <v>3090</v>
      </c>
      <c r="GP52" s="115" t="s">
        <v>3105</v>
      </c>
      <c r="GQ52" s="208" t="s">
        <v>3127</v>
      </c>
      <c r="GR52" s="115" t="s">
        <v>3038</v>
      </c>
      <c r="GS52" s="115" t="s">
        <v>3157</v>
      </c>
      <c r="GT52" s="115" t="s">
        <v>3173</v>
      </c>
      <c r="GU52" s="115" t="s">
        <v>3189</v>
      </c>
      <c r="GV52" s="159" t="s">
        <v>3208</v>
      </c>
      <c r="GW52" s="159" t="s">
        <v>3225</v>
      </c>
      <c r="GX52" s="115" t="s">
        <v>3239</v>
      </c>
      <c r="GY52" s="115" t="s">
        <v>3251</v>
      </c>
      <c r="GZ52" s="69" t="s">
        <v>3263</v>
      </c>
      <c r="HA52" s="159" t="s">
        <v>3274</v>
      </c>
      <c r="HB52" s="159" t="s">
        <v>3294</v>
      </c>
      <c r="HC52" s="159" t="s">
        <v>3274</v>
      </c>
      <c r="HD52" s="69" t="s">
        <v>3309</v>
      </c>
      <c r="HE52" s="185" t="s">
        <v>3326</v>
      </c>
      <c r="HF52" s="185" t="s">
        <v>3326</v>
      </c>
      <c r="HG52" s="187" t="s">
        <v>3353</v>
      </c>
      <c r="HH52" s="185" t="s">
        <v>3326</v>
      </c>
      <c r="HI52" s="155" t="s">
        <v>3372</v>
      </c>
      <c r="HJ52" s="115" t="s">
        <v>3383</v>
      </c>
      <c r="HK52" s="115" t="s">
        <v>3401</v>
      </c>
      <c r="HL52" s="115" t="s">
        <v>3416</v>
      </c>
      <c r="HM52" s="115" t="s">
        <v>3433</v>
      </c>
      <c r="HN52" s="115" t="s">
        <v>3514</v>
      </c>
      <c r="HO52" s="115" t="s">
        <v>3527</v>
      </c>
      <c r="HP52" s="159" t="s">
        <v>3537</v>
      </c>
      <c r="HQ52" s="115" t="s">
        <v>3546</v>
      </c>
      <c r="HR52" s="159" t="s">
        <v>3557</v>
      </c>
      <c r="HS52" s="115" t="s">
        <v>3573</v>
      </c>
      <c r="HT52" s="185" t="s">
        <v>3588</v>
      </c>
      <c r="HU52" s="159" t="s">
        <v>3601</v>
      </c>
      <c r="HV52" s="115" t="s">
        <v>3606</v>
      </c>
      <c r="HW52" s="159" t="s">
        <v>3614</v>
      </c>
      <c r="HX52" s="115" t="s">
        <v>3621</v>
      </c>
      <c r="HY52" s="159" t="s">
        <v>3632</v>
      </c>
      <c r="HZ52" s="115" t="s">
        <v>3644</v>
      </c>
      <c r="IA52" s="115" t="s">
        <v>3621</v>
      </c>
      <c r="IB52" s="115" t="s">
        <v>3665</v>
      </c>
      <c r="IC52" s="159" t="s">
        <v>3632</v>
      </c>
      <c r="ID52" s="185" t="s">
        <v>3691</v>
      </c>
      <c r="IE52" s="159" t="s">
        <v>3705</v>
      </c>
      <c r="IF52" s="183" t="s">
        <v>3721</v>
      </c>
      <c r="IG52" s="185" t="s">
        <v>3729</v>
      </c>
      <c r="IH52" s="169" t="s">
        <v>3739</v>
      </c>
      <c r="II52" s="185" t="s">
        <v>3753</v>
      </c>
      <c r="IJ52" s="185" t="s">
        <v>3764</v>
      </c>
      <c r="IK52" s="185" t="s">
        <v>3773</v>
      </c>
      <c r="IL52" s="183" t="s">
        <v>3721</v>
      </c>
      <c r="IM52" s="159" t="s">
        <v>3789</v>
      </c>
      <c r="IN52" s="159" t="s">
        <v>3798</v>
      </c>
      <c r="IO52" s="159" t="s">
        <v>3807</v>
      </c>
      <c r="IP52" s="159" t="s">
        <v>3807</v>
      </c>
      <c r="IQ52" s="115" t="s">
        <v>3834</v>
      </c>
      <c r="IR52" s="159" t="s">
        <v>3798</v>
      </c>
      <c r="IS52" s="115" t="s">
        <v>3852</v>
      </c>
      <c r="IT52" s="159" t="s">
        <v>3773</v>
      </c>
      <c r="IU52" s="115" t="s">
        <v>3773</v>
      </c>
      <c r="IV52" s="115" t="s">
        <v>3773</v>
      </c>
      <c r="IW52" s="115" t="s">
        <v>3773</v>
      </c>
      <c r="IX52" s="159"/>
      <c r="IY52" s="115" t="s">
        <v>3970</v>
      </c>
      <c r="IZ52" s="115" t="s">
        <v>3984</v>
      </c>
      <c r="JA52" s="159" t="s">
        <v>4020</v>
      </c>
      <c r="JB52" s="115" t="s">
        <v>4033</v>
      </c>
      <c r="JC52" s="159" t="s">
        <v>4046</v>
      </c>
      <c r="JD52" s="159" t="s">
        <v>4054</v>
      </c>
      <c r="JE52" s="115" t="s">
        <v>4065</v>
      </c>
      <c r="JF52" s="159" t="s">
        <v>4078</v>
      </c>
      <c r="JG52" s="115" t="s">
        <v>4093</v>
      </c>
      <c r="JH52" s="159" t="s">
        <v>4107</v>
      </c>
      <c r="JI52" s="159" t="s">
        <v>4121</v>
      </c>
      <c r="JJ52" s="244" t="s">
        <v>4135</v>
      </c>
      <c r="JK52" s="244" t="s">
        <v>4147</v>
      </c>
      <c r="JL52" s="244" t="s">
        <v>4160</v>
      </c>
      <c r="JM52" s="244" t="s">
        <v>4167</v>
      </c>
      <c r="JN52" s="115" t="s">
        <v>4177</v>
      </c>
      <c r="JO52" s="115" t="s">
        <v>4193</v>
      </c>
      <c r="JP52" s="159" t="s">
        <v>4226</v>
      </c>
      <c r="JQ52" s="159" t="s">
        <v>4241</v>
      </c>
      <c r="JR52" s="159" t="s">
        <v>4248</v>
      </c>
      <c r="JS52" s="159" t="s">
        <v>4259</v>
      </c>
      <c r="JT52" s="115" t="s">
        <v>4269</v>
      </c>
      <c r="JU52" s="159" t="s">
        <v>4259</v>
      </c>
      <c r="JV52" s="159" t="s">
        <v>4259</v>
      </c>
      <c r="JW52" s="159" t="s">
        <v>4282</v>
      </c>
      <c r="JX52" s="159" t="s">
        <v>4293</v>
      </c>
      <c r="JY52" s="159" t="s">
        <v>4293</v>
      </c>
      <c r="JZ52" s="159" t="s">
        <v>4293</v>
      </c>
      <c r="KA52" s="159" t="s">
        <v>4304</v>
      </c>
      <c r="KB52" s="159" t="s">
        <v>4293</v>
      </c>
      <c r="KC52" s="159" t="s">
        <v>4293</v>
      </c>
      <c r="KD52" s="115" t="s">
        <v>4328</v>
      </c>
      <c r="KE52" s="159" t="s">
        <v>4338</v>
      </c>
      <c r="KF52" s="159" t="s">
        <v>4344</v>
      </c>
      <c r="KG52" s="115" t="s">
        <v>4356</v>
      </c>
      <c r="KH52" s="115" t="s">
        <v>4374</v>
      </c>
      <c r="KI52" s="115" t="s">
        <v>4390</v>
      </c>
      <c r="KJ52" s="159" t="s">
        <v>4406</v>
      </c>
      <c r="KK52" s="159" t="s">
        <v>4420</v>
      </c>
      <c r="KL52" s="115" t="s">
        <v>4433</v>
      </c>
      <c r="KM52" s="115" t="s">
        <v>4449</v>
      </c>
      <c r="KN52" s="187" t="s">
        <v>2532</v>
      </c>
      <c r="KO52" s="159" t="s">
        <v>4493</v>
      </c>
      <c r="KP52" s="115" t="s">
        <v>4504</v>
      </c>
      <c r="KQ52" s="159" t="s">
        <v>4511</v>
      </c>
      <c r="KR52" s="159" t="s">
        <v>4523</v>
      </c>
      <c r="KS52" s="159" t="s">
        <v>4536</v>
      </c>
      <c r="KT52" s="159" t="s">
        <v>4546</v>
      </c>
      <c r="KU52" s="159" t="s">
        <v>4546</v>
      </c>
      <c r="KV52" s="159" t="s">
        <v>4560</v>
      </c>
      <c r="KW52" s="115" t="s">
        <v>4570</v>
      </c>
      <c r="KX52" s="115" t="s">
        <v>4570</v>
      </c>
      <c r="KY52" s="244" t="s">
        <v>4621</v>
      </c>
      <c r="KZ52" s="244" t="s">
        <v>4635</v>
      </c>
      <c r="LA52" s="187" t="s">
        <v>4670</v>
      </c>
      <c r="LB52" s="115" t="s">
        <v>4695</v>
      </c>
      <c r="LC52" s="115" t="s">
        <v>4708</v>
      </c>
      <c r="LD52" s="115" t="s">
        <v>4722</v>
      </c>
      <c r="LE52" s="115" t="s">
        <v>4728</v>
      </c>
      <c r="LF52" s="115" t="s">
        <v>4747</v>
      </c>
      <c r="LG52" s="115" t="s">
        <v>4825</v>
      </c>
      <c r="LH52" s="115" t="s">
        <v>4757</v>
      </c>
      <c r="LI52" s="115" t="s">
        <v>4767</v>
      </c>
      <c r="LJ52" s="115" t="s">
        <v>4777</v>
      </c>
      <c r="LK52" s="115" t="s">
        <v>4791</v>
      </c>
      <c r="LL52" s="187" t="s">
        <v>4801</v>
      </c>
      <c r="LM52" s="276" t="s">
        <v>4807</v>
      </c>
      <c r="LN52" s="264" t="s">
        <v>4815</v>
      </c>
      <c r="LO52" s="115" t="s">
        <v>4841</v>
      </c>
      <c r="LP52" s="115" t="s">
        <v>4859</v>
      </c>
      <c r="LQ52" s="266" t="s">
        <v>4681</v>
      </c>
      <c r="LR52" s="115" t="s">
        <v>4825</v>
      </c>
      <c r="LS52" s="115" t="s">
        <v>4777</v>
      </c>
      <c r="LT52" s="115" t="s">
        <v>4891</v>
      </c>
      <c r="LU52" s="115" t="s">
        <v>4891</v>
      </c>
      <c r="LV52" s="286" t="s">
        <v>4891</v>
      </c>
      <c r="LW52" s="115" t="s">
        <v>4891</v>
      </c>
      <c r="LX52" s="115" t="s">
        <v>4891</v>
      </c>
      <c r="LY52" s="115" t="s">
        <v>4948</v>
      </c>
      <c r="LZ52" s="115" t="s">
        <v>4960</v>
      </c>
      <c r="MA52" s="115" t="s">
        <v>4974</v>
      </c>
      <c r="MB52" s="115" t="s">
        <v>4988</v>
      </c>
      <c r="MC52" s="115" t="s">
        <v>4948</v>
      </c>
      <c r="MD52" s="115" t="s">
        <v>5025</v>
      </c>
    </row>
    <row r="53" spans="1:342" ht="14.1" customHeight="1" x14ac:dyDescent="0.25">
      <c r="A53" s="92">
        <v>50</v>
      </c>
      <c r="B53" s="312" t="s">
        <v>8</v>
      </c>
      <c r="C53" s="54" t="s">
        <v>439</v>
      </c>
      <c r="D53" s="14" t="s">
        <v>442</v>
      </c>
      <c r="E53" s="92" t="s">
        <v>207</v>
      </c>
      <c r="F53" s="92" t="s">
        <v>207</v>
      </c>
      <c r="G53" s="25" t="s">
        <v>860</v>
      </c>
      <c r="H53" s="92" t="s">
        <v>207</v>
      </c>
      <c r="I53" s="26" t="s">
        <v>206</v>
      </c>
      <c r="J53" s="92" t="s">
        <v>207</v>
      </c>
      <c r="K53" s="12" t="s">
        <v>861</v>
      </c>
      <c r="L53" s="92" t="s">
        <v>207</v>
      </c>
      <c r="M53" s="92" t="s">
        <v>207</v>
      </c>
      <c r="N53" s="92" t="s">
        <v>207</v>
      </c>
      <c r="O53" s="92" t="s">
        <v>207</v>
      </c>
      <c r="P53" s="26" t="s">
        <v>206</v>
      </c>
      <c r="Q53" s="92" t="s">
        <v>207</v>
      </c>
      <c r="R53" s="92" t="s">
        <v>207</v>
      </c>
      <c r="S53" s="26" t="s">
        <v>206</v>
      </c>
      <c r="T53" s="92" t="s">
        <v>207</v>
      </c>
      <c r="U53" s="92" t="s">
        <v>207</v>
      </c>
      <c r="V53" s="92" t="s">
        <v>207</v>
      </c>
      <c r="W53" s="92" t="s">
        <v>207</v>
      </c>
      <c r="X53" s="92" t="s">
        <v>207</v>
      </c>
      <c r="Y53" s="92" t="s">
        <v>207</v>
      </c>
      <c r="Z53" s="92" t="s">
        <v>207</v>
      </c>
      <c r="AA53" s="92" t="s">
        <v>207</v>
      </c>
      <c r="AB53" s="2" t="s">
        <v>206</v>
      </c>
      <c r="AC53" s="2" t="s">
        <v>206</v>
      </c>
      <c r="AD53" s="2" t="s">
        <v>207</v>
      </c>
      <c r="AE53" s="25" t="s">
        <v>860</v>
      </c>
      <c r="AF53" s="2" t="s">
        <v>206</v>
      </c>
      <c r="AG53" s="2" t="s">
        <v>207</v>
      </c>
      <c r="AH53" s="2" t="s">
        <v>207</v>
      </c>
      <c r="AI53" s="2" t="s">
        <v>207</v>
      </c>
      <c r="AJ53" s="2" t="s">
        <v>207</v>
      </c>
      <c r="AK53" s="2" t="s">
        <v>207</v>
      </c>
      <c r="AL53" s="2" t="s">
        <v>207</v>
      </c>
      <c r="AM53" s="2" t="s">
        <v>207</v>
      </c>
      <c r="AN53" s="2" t="s">
        <v>206</v>
      </c>
      <c r="AO53" s="2" t="s">
        <v>206</v>
      </c>
      <c r="AP53" s="2" t="s">
        <v>207</v>
      </c>
      <c r="AQ53" s="25" t="s">
        <v>860</v>
      </c>
      <c r="AR53" s="25" t="s">
        <v>860</v>
      </c>
      <c r="AS53" s="25" t="s">
        <v>860</v>
      </c>
      <c r="AT53" s="26" t="s">
        <v>206</v>
      </c>
      <c r="AU53" s="2" t="s">
        <v>207</v>
      </c>
      <c r="AV53" s="2" t="s">
        <v>207</v>
      </c>
      <c r="AW53" s="2" t="s">
        <v>207</v>
      </c>
      <c r="AX53" s="25" t="s">
        <v>860</v>
      </c>
      <c r="AY53" s="25" t="s">
        <v>860</v>
      </c>
      <c r="AZ53" s="25" t="s">
        <v>860</v>
      </c>
      <c r="BA53" s="92" t="s">
        <v>207</v>
      </c>
      <c r="BB53" s="92" t="s">
        <v>207</v>
      </c>
      <c r="BC53" s="25" t="s">
        <v>860</v>
      </c>
      <c r="BD53" s="25" t="s">
        <v>860</v>
      </c>
      <c r="BE53" s="25" t="s">
        <v>860</v>
      </c>
      <c r="BF53" s="25" t="s">
        <v>860</v>
      </c>
      <c r="BG53" s="25" t="s">
        <v>860</v>
      </c>
      <c r="BH53" s="25" t="s">
        <v>860</v>
      </c>
      <c r="BI53" s="2" t="s">
        <v>207</v>
      </c>
      <c r="BJ53" s="2" t="s">
        <v>207</v>
      </c>
      <c r="BK53" s="2" t="s">
        <v>207</v>
      </c>
      <c r="BL53" s="2" t="s">
        <v>206</v>
      </c>
      <c r="BM53" s="105" t="s">
        <v>861</v>
      </c>
      <c r="BN53" s="105" t="s">
        <v>861</v>
      </c>
      <c r="BO53" s="105" t="s">
        <v>861</v>
      </c>
      <c r="BP53" s="105" t="s">
        <v>861</v>
      </c>
      <c r="BQ53" s="105" t="s">
        <v>861</v>
      </c>
      <c r="BR53" s="117" t="s">
        <v>206</v>
      </c>
      <c r="BS53" s="105" t="s">
        <v>206</v>
      </c>
      <c r="BT53" s="105" t="s">
        <v>860</v>
      </c>
      <c r="BU53" s="155" t="s">
        <v>206</v>
      </c>
      <c r="BV53" s="155" t="s">
        <v>206</v>
      </c>
      <c r="BW53" s="69" t="s">
        <v>206</v>
      </c>
      <c r="BX53" s="155" t="s">
        <v>206</v>
      </c>
      <c r="BY53" s="155" t="s">
        <v>206</v>
      </c>
      <c r="BZ53" s="155" t="s">
        <v>206</v>
      </c>
      <c r="CA53" s="41" t="s">
        <v>207</v>
      </c>
      <c r="CB53" s="41" t="s">
        <v>860</v>
      </c>
      <c r="CC53" s="41" t="s">
        <v>206</v>
      </c>
      <c r="CD53" s="41" t="s">
        <v>861</v>
      </c>
      <c r="CE53" s="41" t="s">
        <v>206</v>
      </c>
      <c r="CF53" s="41" t="s">
        <v>207</v>
      </c>
      <c r="CG53" s="41" t="s">
        <v>860</v>
      </c>
      <c r="CH53" s="41" t="s">
        <v>207</v>
      </c>
      <c r="CI53" s="41" t="s">
        <v>861</v>
      </c>
      <c r="CJ53" s="41" t="s">
        <v>860</v>
      </c>
      <c r="CK53" s="41" t="s">
        <v>860</v>
      </c>
      <c r="CL53" s="41" t="s">
        <v>860</v>
      </c>
      <c r="CM53" s="41" t="s">
        <v>861</v>
      </c>
      <c r="CN53" s="41" t="s">
        <v>861</v>
      </c>
      <c r="CO53" s="41" t="s">
        <v>861</v>
      </c>
      <c r="CP53" s="41" t="s">
        <v>861</v>
      </c>
      <c r="CQ53" s="41" t="s">
        <v>861</v>
      </c>
      <c r="CR53" s="41" t="s">
        <v>861</v>
      </c>
      <c r="CS53" s="41" t="s">
        <v>207</v>
      </c>
      <c r="CT53" s="41" t="s">
        <v>207</v>
      </c>
      <c r="CU53" s="41" t="s">
        <v>206</v>
      </c>
      <c r="CV53" s="41" t="s">
        <v>861</v>
      </c>
      <c r="CW53" s="41" t="s">
        <v>207</v>
      </c>
      <c r="CX53" s="41" t="s">
        <v>206</v>
      </c>
      <c r="CY53" s="41" t="s">
        <v>207</v>
      </c>
      <c r="CZ53" s="41" t="s">
        <v>206</v>
      </c>
      <c r="DA53" s="41" t="s">
        <v>206</v>
      </c>
      <c r="DB53" s="41" t="s">
        <v>207</v>
      </c>
      <c r="DC53" s="41" t="s">
        <v>206</v>
      </c>
      <c r="DD53" s="41" t="s">
        <v>206</v>
      </c>
      <c r="DE53" s="41" t="s">
        <v>207</v>
      </c>
      <c r="DF53" s="41" t="s">
        <v>207</v>
      </c>
      <c r="DG53" s="41" t="s">
        <v>1917</v>
      </c>
      <c r="DH53" s="41" t="s">
        <v>206</v>
      </c>
      <c r="DI53" s="41" t="s">
        <v>207</v>
      </c>
      <c r="DJ53" s="41" t="s">
        <v>860</v>
      </c>
      <c r="DK53" s="41" t="s">
        <v>860</v>
      </c>
      <c r="DL53" s="105" t="s">
        <v>860</v>
      </c>
      <c r="DM53" s="41" t="s">
        <v>206</v>
      </c>
      <c r="DN53" s="41" t="s">
        <v>206</v>
      </c>
      <c r="DO53" s="177" t="s">
        <v>206</v>
      </c>
      <c r="DP53" s="105" t="s">
        <v>860</v>
      </c>
      <c r="DQ53" s="105" t="s">
        <v>860</v>
      </c>
      <c r="DR53" s="105" t="s">
        <v>860</v>
      </c>
      <c r="DS53" s="105" t="s">
        <v>860</v>
      </c>
      <c r="DT53" s="105" t="s">
        <v>860</v>
      </c>
      <c r="DU53" s="41" t="s">
        <v>860</v>
      </c>
      <c r="DV53" s="105" t="s">
        <v>861</v>
      </c>
      <c r="DW53" s="183" t="s">
        <v>861</v>
      </c>
      <c r="DX53" s="185" t="s">
        <v>206</v>
      </c>
      <c r="DY53" s="185" t="s">
        <v>207</v>
      </c>
      <c r="DZ53" s="185" t="s">
        <v>206</v>
      </c>
      <c r="EA53" s="185" t="s">
        <v>206</v>
      </c>
      <c r="EB53" s="185" t="s">
        <v>207</v>
      </c>
      <c r="EC53" s="185" t="s">
        <v>206</v>
      </c>
      <c r="ED53" s="183" t="s">
        <v>860</v>
      </c>
      <c r="EE53" s="183" t="s">
        <v>860</v>
      </c>
      <c r="EF53" s="183" t="s">
        <v>860</v>
      </c>
      <c r="EG53" s="183" t="s">
        <v>860</v>
      </c>
      <c r="EH53" s="185" t="s">
        <v>860</v>
      </c>
      <c r="EI53" s="155" t="s">
        <v>206</v>
      </c>
      <c r="EJ53" s="185" t="s">
        <v>206</v>
      </c>
      <c r="EK53" s="155" t="s">
        <v>206</v>
      </c>
      <c r="EL53" s="185" t="s">
        <v>206</v>
      </c>
      <c r="EM53" s="155" t="s">
        <v>206</v>
      </c>
      <c r="EN53" s="185" t="s">
        <v>207</v>
      </c>
      <c r="EO53" s="183" t="s">
        <v>206</v>
      </c>
      <c r="EP53" s="183" t="s">
        <v>206</v>
      </c>
      <c r="EQ53" s="183" t="s">
        <v>206</v>
      </c>
      <c r="ER53" s="185" t="s">
        <v>206</v>
      </c>
      <c r="ES53" s="183" t="s">
        <v>207</v>
      </c>
      <c r="ET53" s="183" t="s">
        <v>206</v>
      </c>
      <c r="EU53" s="184" t="s">
        <v>860</v>
      </c>
      <c r="EV53" s="184" t="s">
        <v>860</v>
      </c>
      <c r="EW53" s="185" t="s">
        <v>860</v>
      </c>
      <c r="EX53" s="185" t="s">
        <v>206</v>
      </c>
      <c r="EY53" s="185" t="s">
        <v>206</v>
      </c>
      <c r="EZ53" s="185" t="s">
        <v>206</v>
      </c>
      <c r="FA53" s="41" t="s">
        <v>206</v>
      </c>
      <c r="FB53" s="41" t="s">
        <v>206</v>
      </c>
      <c r="FC53" s="41" t="s">
        <v>206</v>
      </c>
      <c r="FD53" s="41" t="s">
        <v>206</v>
      </c>
      <c r="FE53" s="41" t="s">
        <v>206</v>
      </c>
      <c r="FF53" s="41" t="s">
        <v>206</v>
      </c>
      <c r="FG53" s="41" t="s">
        <v>206</v>
      </c>
      <c r="FH53" s="41" t="s">
        <v>206</v>
      </c>
      <c r="FI53" s="41" t="s">
        <v>207</v>
      </c>
      <c r="FJ53" s="41" t="s">
        <v>206</v>
      </c>
      <c r="FK53" s="41" t="s">
        <v>860</v>
      </c>
      <c r="FL53" s="41" t="s">
        <v>860</v>
      </c>
      <c r="FM53" s="201" t="s">
        <v>207</v>
      </c>
      <c r="FN53" s="155" t="s">
        <v>206</v>
      </c>
      <c r="FO53" s="155" t="s">
        <v>206</v>
      </c>
      <c r="FP53" s="155" t="s">
        <v>206</v>
      </c>
      <c r="FQ53" s="155" t="s">
        <v>206</v>
      </c>
      <c r="FR53" s="185" t="s">
        <v>206</v>
      </c>
      <c r="FS53" s="155" t="s">
        <v>206</v>
      </c>
      <c r="FT53" s="155" t="s">
        <v>206</v>
      </c>
      <c r="FU53" s="69" t="s">
        <v>206</v>
      </c>
      <c r="FV53" s="184" t="s">
        <v>207</v>
      </c>
      <c r="FW53" s="184" t="s">
        <v>207</v>
      </c>
      <c r="FX53" s="185" t="s">
        <v>207</v>
      </c>
      <c r="FY53" s="185" t="s">
        <v>206</v>
      </c>
      <c r="FZ53" s="185" t="s">
        <v>860</v>
      </c>
      <c r="GA53" s="185" t="s">
        <v>206</v>
      </c>
      <c r="GB53" s="185" t="s">
        <v>206</v>
      </c>
      <c r="GC53" s="185" t="s">
        <v>206</v>
      </c>
      <c r="GD53" s="155" t="s">
        <v>206</v>
      </c>
      <c r="GE53" s="185" t="s">
        <v>860</v>
      </c>
      <c r="GF53" s="185" t="s">
        <v>206</v>
      </c>
      <c r="GG53" s="210" t="s">
        <v>207</v>
      </c>
      <c r="GH53" s="185" t="s">
        <v>206</v>
      </c>
      <c r="GI53" s="185" t="s">
        <v>206</v>
      </c>
      <c r="GJ53" s="185" t="s">
        <v>206</v>
      </c>
      <c r="GK53" s="185" t="s">
        <v>207</v>
      </c>
      <c r="GL53" s="185" t="s">
        <v>206</v>
      </c>
      <c r="GM53" s="185" t="s">
        <v>860</v>
      </c>
      <c r="GN53" s="185" t="s">
        <v>206</v>
      </c>
      <c r="GO53" s="156" t="s">
        <v>206</v>
      </c>
      <c r="GP53" s="185" t="s">
        <v>206</v>
      </c>
      <c r="GQ53" s="210" t="s">
        <v>206</v>
      </c>
      <c r="GR53" s="185" t="s">
        <v>206</v>
      </c>
      <c r="GS53" s="183" t="s">
        <v>206</v>
      </c>
      <c r="GT53" s="183" t="s">
        <v>206</v>
      </c>
      <c r="GU53" s="183" t="s">
        <v>207</v>
      </c>
      <c r="GV53" s="185" t="s">
        <v>206</v>
      </c>
      <c r="GW53" s="185" t="s">
        <v>206</v>
      </c>
      <c r="GX53" s="206" t="s">
        <v>206</v>
      </c>
      <c r="GY53" s="185" t="s">
        <v>206</v>
      </c>
      <c r="GZ53" s="69" t="s">
        <v>206</v>
      </c>
      <c r="HA53" s="183" t="s">
        <v>861</v>
      </c>
      <c r="HB53" s="183" t="s">
        <v>206</v>
      </c>
      <c r="HC53" s="183" t="s">
        <v>861</v>
      </c>
      <c r="HD53" s="155" t="s">
        <v>206</v>
      </c>
      <c r="HE53" s="185" t="s">
        <v>207</v>
      </c>
      <c r="HF53" s="185" t="s">
        <v>206</v>
      </c>
      <c r="HG53" s="155" t="s">
        <v>206</v>
      </c>
      <c r="HH53" s="185" t="s">
        <v>207</v>
      </c>
      <c r="HI53" s="201" t="s">
        <v>206</v>
      </c>
      <c r="HJ53" s="185" t="s">
        <v>206</v>
      </c>
      <c r="HK53" s="185" t="s">
        <v>206</v>
      </c>
      <c r="HL53" s="185" t="s">
        <v>207</v>
      </c>
      <c r="HM53" s="185" t="s">
        <v>207</v>
      </c>
      <c r="HN53" s="185" t="s">
        <v>206</v>
      </c>
      <c r="HO53" s="184" t="s">
        <v>206</v>
      </c>
      <c r="HP53" s="184" t="s">
        <v>206</v>
      </c>
      <c r="HQ53" s="184" t="s">
        <v>206</v>
      </c>
      <c r="HR53" s="206" t="s">
        <v>206</v>
      </c>
      <c r="HS53" s="183" t="s">
        <v>206</v>
      </c>
      <c r="HT53" s="185" t="s">
        <v>207</v>
      </c>
      <c r="HU53" s="184" t="s">
        <v>206</v>
      </c>
      <c r="HV53" s="184" t="s">
        <v>206</v>
      </c>
      <c r="HW53" s="183" t="s">
        <v>206</v>
      </c>
      <c r="HX53" s="184" t="s">
        <v>206</v>
      </c>
      <c r="HY53" s="183" t="s">
        <v>206</v>
      </c>
      <c r="HZ53" s="185" t="s">
        <v>206</v>
      </c>
      <c r="IA53" s="184" t="s">
        <v>206</v>
      </c>
      <c r="IB53" s="185" t="s">
        <v>206</v>
      </c>
      <c r="IC53" s="185" t="s">
        <v>207</v>
      </c>
      <c r="ID53" s="185" t="s">
        <v>206</v>
      </c>
      <c r="IE53" s="185" t="s">
        <v>206</v>
      </c>
      <c r="IF53" s="194" t="s">
        <v>206</v>
      </c>
      <c r="IG53" s="185" t="s">
        <v>206</v>
      </c>
      <c r="IH53" s="185" t="s">
        <v>206</v>
      </c>
      <c r="II53" s="185" t="s">
        <v>206</v>
      </c>
      <c r="IJ53" s="185" t="s">
        <v>206</v>
      </c>
      <c r="IK53" s="185" t="s">
        <v>206</v>
      </c>
      <c r="IL53" s="194" t="s">
        <v>206</v>
      </c>
      <c r="IM53" s="235" t="s">
        <v>206</v>
      </c>
      <c r="IN53" s="235" t="s">
        <v>206</v>
      </c>
      <c r="IO53" s="183" t="s">
        <v>861</v>
      </c>
      <c r="IP53" s="183" t="s">
        <v>861</v>
      </c>
      <c r="IQ53" s="185" t="s">
        <v>206</v>
      </c>
      <c r="IR53" s="235" t="s">
        <v>206</v>
      </c>
      <c r="IS53" s="183" t="s">
        <v>206</v>
      </c>
      <c r="IT53" s="183" t="s">
        <v>206</v>
      </c>
      <c r="IU53" s="185" t="s">
        <v>206</v>
      </c>
      <c r="IV53" s="185" t="s">
        <v>206</v>
      </c>
      <c r="IW53" s="185" t="s">
        <v>207</v>
      </c>
      <c r="IX53" s="183"/>
      <c r="IY53" s="185" t="s">
        <v>206</v>
      </c>
      <c r="IZ53" s="185" t="s">
        <v>206</v>
      </c>
      <c r="JA53" s="183" t="s">
        <v>207</v>
      </c>
      <c r="JB53" s="183" t="s">
        <v>206</v>
      </c>
      <c r="JC53" s="183" t="s">
        <v>206</v>
      </c>
      <c r="JD53" s="183" t="s">
        <v>207</v>
      </c>
      <c r="JE53" s="183" t="s">
        <v>207</v>
      </c>
      <c r="JF53" s="183" t="s">
        <v>207</v>
      </c>
      <c r="JG53" s="183" t="s">
        <v>207</v>
      </c>
      <c r="JH53" s="183" t="s">
        <v>206</v>
      </c>
      <c r="JI53" s="183" t="s">
        <v>206</v>
      </c>
      <c r="JJ53" s="249" t="s">
        <v>206</v>
      </c>
      <c r="JK53" s="249" t="s">
        <v>206</v>
      </c>
      <c r="JL53" s="249" t="s">
        <v>206</v>
      </c>
      <c r="JM53" s="249" t="s">
        <v>206</v>
      </c>
      <c r="JN53" s="183" t="s">
        <v>206</v>
      </c>
      <c r="JO53" s="185" t="s">
        <v>206</v>
      </c>
      <c r="JP53" s="183" t="s">
        <v>206</v>
      </c>
      <c r="JQ53" s="185" t="s">
        <v>206</v>
      </c>
      <c r="JR53" s="185" t="s">
        <v>206</v>
      </c>
      <c r="JS53" s="183" t="s">
        <v>206</v>
      </c>
      <c r="JT53" s="183" t="s">
        <v>206</v>
      </c>
      <c r="JU53" s="183" t="s">
        <v>206</v>
      </c>
      <c r="JV53" s="183" t="s">
        <v>206</v>
      </c>
      <c r="JW53" s="183" t="s">
        <v>206</v>
      </c>
      <c r="JX53" s="183" t="s">
        <v>207</v>
      </c>
      <c r="JY53" s="183" t="s">
        <v>207</v>
      </c>
      <c r="JZ53" s="183" t="s">
        <v>207</v>
      </c>
      <c r="KA53" s="183" t="s">
        <v>207</v>
      </c>
      <c r="KB53" s="183" t="s">
        <v>207</v>
      </c>
      <c r="KC53" s="183" t="s">
        <v>207</v>
      </c>
      <c r="KD53" s="183" t="s">
        <v>206</v>
      </c>
      <c r="KE53" s="183" t="s">
        <v>206</v>
      </c>
      <c r="KF53" s="183" t="s">
        <v>206</v>
      </c>
      <c r="KG53" s="183" t="s">
        <v>206</v>
      </c>
      <c r="KH53" s="183" t="s">
        <v>207</v>
      </c>
      <c r="KI53" s="183" t="s">
        <v>860</v>
      </c>
      <c r="KJ53" s="185" t="s">
        <v>860</v>
      </c>
      <c r="KK53" s="185" t="s">
        <v>860</v>
      </c>
      <c r="KL53" s="185" t="s">
        <v>860</v>
      </c>
      <c r="KM53" s="184" t="s">
        <v>206</v>
      </c>
      <c r="KN53" s="155" t="s">
        <v>860</v>
      </c>
      <c r="KO53" s="185" t="s">
        <v>860</v>
      </c>
      <c r="KP53" s="185" t="s">
        <v>860</v>
      </c>
      <c r="KQ53" s="185" t="s">
        <v>860</v>
      </c>
      <c r="KR53" s="235" t="s">
        <v>860</v>
      </c>
      <c r="KS53" s="235" t="s">
        <v>860</v>
      </c>
      <c r="KT53" s="235" t="s">
        <v>860</v>
      </c>
      <c r="KU53" s="235" t="s">
        <v>860</v>
      </c>
      <c r="KV53" s="235" t="s">
        <v>860</v>
      </c>
      <c r="KW53" s="185" t="s">
        <v>207</v>
      </c>
      <c r="KX53" s="185" t="s">
        <v>207</v>
      </c>
      <c r="KY53" s="249" t="s">
        <v>861</v>
      </c>
      <c r="KZ53" s="249" t="s">
        <v>861</v>
      </c>
      <c r="LA53" s="155" t="s">
        <v>206</v>
      </c>
      <c r="LB53" s="185" t="s">
        <v>206</v>
      </c>
      <c r="LC53" s="185" t="s">
        <v>206</v>
      </c>
      <c r="LD53" s="185" t="s">
        <v>206</v>
      </c>
      <c r="LE53" s="185" t="s">
        <v>206</v>
      </c>
      <c r="LF53" s="185" t="s">
        <v>206</v>
      </c>
      <c r="LG53" s="185" t="s">
        <v>206</v>
      </c>
      <c r="LH53" s="185" t="s">
        <v>206</v>
      </c>
      <c r="LI53" s="185" t="s">
        <v>206</v>
      </c>
      <c r="LJ53" s="185" t="s">
        <v>206</v>
      </c>
      <c r="LK53" s="185" t="s">
        <v>206</v>
      </c>
      <c r="LL53" s="155" t="s">
        <v>206</v>
      </c>
      <c r="LM53" s="268" t="s">
        <v>206</v>
      </c>
      <c r="LN53" s="268" t="s">
        <v>206</v>
      </c>
      <c r="LO53" s="184" t="s">
        <v>206</v>
      </c>
      <c r="LP53" s="185" t="s">
        <v>206</v>
      </c>
      <c r="LQ53" s="281" t="s">
        <v>206</v>
      </c>
      <c r="LR53" s="185" t="s">
        <v>206</v>
      </c>
      <c r="LS53" s="185" t="s">
        <v>206</v>
      </c>
      <c r="LT53" s="185" t="s">
        <v>860</v>
      </c>
      <c r="LU53" s="185" t="s">
        <v>860</v>
      </c>
      <c r="LV53" s="288" t="s">
        <v>860</v>
      </c>
      <c r="LW53" s="185" t="s">
        <v>860</v>
      </c>
      <c r="LX53" s="185" t="s">
        <v>860</v>
      </c>
      <c r="LY53" s="185" t="s">
        <v>207</v>
      </c>
      <c r="LZ53" s="185" t="s">
        <v>860</v>
      </c>
      <c r="MA53" s="185" t="s">
        <v>860</v>
      </c>
      <c r="MB53" s="185" t="s">
        <v>860</v>
      </c>
      <c r="MC53" s="115" t="s">
        <v>860</v>
      </c>
      <c r="MD53" s="115" t="s">
        <v>206</v>
      </c>
    </row>
    <row r="54" spans="1:342" ht="14.4" x14ac:dyDescent="0.3">
      <c r="A54" s="92">
        <v>51</v>
      </c>
      <c r="B54" s="312"/>
      <c r="C54" s="54" t="s">
        <v>440</v>
      </c>
      <c r="D54" s="14" t="s">
        <v>442</v>
      </c>
      <c r="E54" s="2" t="s">
        <v>858</v>
      </c>
      <c r="F54" s="5" t="s">
        <v>39</v>
      </c>
      <c r="G54" s="5" t="s">
        <v>61</v>
      </c>
      <c r="H54" s="2" t="s">
        <v>858</v>
      </c>
      <c r="I54" s="2" t="s">
        <v>858</v>
      </c>
      <c r="J54" s="2" t="s">
        <v>858</v>
      </c>
      <c r="K54" s="2" t="s">
        <v>858</v>
      </c>
      <c r="L54" s="2" t="s">
        <v>1136</v>
      </c>
      <c r="M54" s="2" t="s">
        <v>858</v>
      </c>
      <c r="N54" s="2" t="s">
        <v>858</v>
      </c>
      <c r="O54" s="2" t="s">
        <v>858</v>
      </c>
      <c r="P54" s="2" t="s">
        <v>858</v>
      </c>
      <c r="Q54" s="2" t="s">
        <v>858</v>
      </c>
      <c r="R54" s="2" t="s">
        <v>858</v>
      </c>
      <c r="S54" s="2" t="s">
        <v>858</v>
      </c>
      <c r="T54" s="2" t="s">
        <v>858</v>
      </c>
      <c r="U54" s="2" t="s">
        <v>858</v>
      </c>
      <c r="V54" s="2" t="s">
        <v>858</v>
      </c>
      <c r="W54" s="2" t="s">
        <v>858</v>
      </c>
      <c r="X54" s="2" t="s">
        <v>1136</v>
      </c>
      <c r="Y54" s="2" t="s">
        <v>1136</v>
      </c>
      <c r="Z54" s="2" t="s">
        <v>1136</v>
      </c>
      <c r="AA54" s="2" t="s">
        <v>858</v>
      </c>
      <c r="AB54" s="2" t="s">
        <v>858</v>
      </c>
      <c r="AC54" s="2" t="s">
        <v>858</v>
      </c>
      <c r="AD54" s="2" t="s">
        <v>858</v>
      </c>
      <c r="AE54" s="2" t="s">
        <v>858</v>
      </c>
      <c r="AF54" s="2" t="s">
        <v>858</v>
      </c>
      <c r="AG54" s="2" t="s">
        <v>858</v>
      </c>
      <c r="AH54" s="2" t="s">
        <v>858</v>
      </c>
      <c r="AI54" s="2" t="s">
        <v>858</v>
      </c>
      <c r="AJ54" s="2" t="s">
        <v>858</v>
      </c>
      <c r="AK54" s="2" t="s">
        <v>858</v>
      </c>
      <c r="AL54" s="2" t="s">
        <v>858</v>
      </c>
      <c r="AM54" s="2" t="s">
        <v>858</v>
      </c>
      <c r="AN54" s="2" t="s">
        <v>858</v>
      </c>
      <c r="AO54" s="2" t="s">
        <v>858</v>
      </c>
      <c r="AP54" s="2" t="s">
        <v>858</v>
      </c>
      <c r="AQ54" s="2" t="s">
        <v>858</v>
      </c>
      <c r="AR54" s="2" t="s">
        <v>858</v>
      </c>
      <c r="AS54" s="2" t="s">
        <v>858</v>
      </c>
      <c r="AT54" s="2" t="s">
        <v>858</v>
      </c>
      <c r="AU54" s="2" t="s">
        <v>858</v>
      </c>
      <c r="AV54" s="2" t="s">
        <v>858</v>
      </c>
      <c r="AW54" s="2" t="s">
        <v>858</v>
      </c>
      <c r="AX54" s="92" t="s">
        <v>857</v>
      </c>
      <c r="AY54" s="2" t="s">
        <v>728</v>
      </c>
      <c r="AZ54" s="2" t="s">
        <v>728</v>
      </c>
      <c r="BA54" s="2" t="s">
        <v>858</v>
      </c>
      <c r="BB54" s="2" t="s">
        <v>858</v>
      </c>
      <c r="BC54" s="12" t="s">
        <v>859</v>
      </c>
      <c r="BD54" s="12" t="s">
        <v>859</v>
      </c>
      <c r="BE54" s="12" t="s">
        <v>859</v>
      </c>
      <c r="BF54" s="12" t="s">
        <v>859</v>
      </c>
      <c r="BG54" s="12" t="s">
        <v>859</v>
      </c>
      <c r="BH54" s="12" t="s">
        <v>859</v>
      </c>
      <c r="BI54" s="2" t="s">
        <v>728</v>
      </c>
      <c r="BJ54" s="2" t="s">
        <v>728</v>
      </c>
      <c r="BK54" s="5" t="s">
        <v>39</v>
      </c>
      <c r="BL54" s="25" t="s">
        <v>728</v>
      </c>
      <c r="BM54" s="105" t="s">
        <v>1042</v>
      </c>
      <c r="BN54" s="105" t="s">
        <v>1042</v>
      </c>
      <c r="BO54" s="105" t="s">
        <v>1042</v>
      </c>
      <c r="BP54" s="105" t="s">
        <v>1042</v>
      </c>
      <c r="BQ54" s="105" t="s">
        <v>1042</v>
      </c>
      <c r="BR54" s="117" t="s">
        <v>61</v>
      </c>
      <c r="BS54" s="105" t="s">
        <v>1417</v>
      </c>
      <c r="BT54" s="105" t="s">
        <v>61</v>
      </c>
      <c r="BU54" s="115" t="s">
        <v>61</v>
      </c>
      <c r="BV54" s="115" t="s">
        <v>61</v>
      </c>
      <c r="BW54" s="115" t="s">
        <v>728</v>
      </c>
      <c r="BX54" s="115" t="s">
        <v>61</v>
      </c>
      <c r="BY54" s="115" t="s">
        <v>61</v>
      </c>
      <c r="BZ54" s="115" t="s">
        <v>61</v>
      </c>
      <c r="CA54" s="41" t="s">
        <v>858</v>
      </c>
      <c r="CB54" s="41" t="s">
        <v>858</v>
      </c>
      <c r="CC54" s="41" t="s">
        <v>858</v>
      </c>
      <c r="CD54" s="41" t="s">
        <v>39</v>
      </c>
      <c r="CE54" s="41" t="s">
        <v>1417</v>
      </c>
      <c r="CF54" s="41" t="s">
        <v>858</v>
      </c>
      <c r="CG54" s="41" t="s">
        <v>858</v>
      </c>
      <c r="CH54" s="41" t="s">
        <v>858</v>
      </c>
      <c r="CI54" s="41" t="s">
        <v>1541</v>
      </c>
      <c r="CJ54" s="41" t="s">
        <v>1551</v>
      </c>
      <c r="CK54" s="41" t="s">
        <v>1551</v>
      </c>
      <c r="CL54" s="41" t="s">
        <v>1551</v>
      </c>
      <c r="CM54" s="41" t="s">
        <v>1541</v>
      </c>
      <c r="CN54" s="41" t="s">
        <v>39</v>
      </c>
      <c r="CO54" s="41" t="s">
        <v>1541</v>
      </c>
      <c r="CP54" s="41" t="s">
        <v>1541</v>
      </c>
      <c r="CQ54" s="41" t="s">
        <v>1541</v>
      </c>
      <c r="CR54" s="41" t="s">
        <v>39</v>
      </c>
      <c r="CS54" s="41" t="s">
        <v>858</v>
      </c>
      <c r="CT54" s="41" t="s">
        <v>858</v>
      </c>
      <c r="CU54" s="41" t="s">
        <v>858</v>
      </c>
      <c r="CV54" s="41" t="s">
        <v>39</v>
      </c>
      <c r="CW54" s="41" t="s">
        <v>858</v>
      </c>
      <c r="CX54" s="41" t="s">
        <v>858</v>
      </c>
      <c r="CY54" s="41" t="s">
        <v>858</v>
      </c>
      <c r="CZ54" s="41" t="s">
        <v>858</v>
      </c>
      <c r="DA54" s="41" t="s">
        <v>858</v>
      </c>
      <c r="DB54" s="41" t="s">
        <v>858</v>
      </c>
      <c r="DC54" s="41" t="s">
        <v>858</v>
      </c>
      <c r="DD54" s="41" t="s">
        <v>858</v>
      </c>
      <c r="DE54" s="41" t="s">
        <v>858</v>
      </c>
      <c r="DF54" s="41" t="s">
        <v>858</v>
      </c>
      <c r="DG54" s="41" t="s">
        <v>858</v>
      </c>
      <c r="DH54" s="41" t="s">
        <v>858</v>
      </c>
      <c r="DI54" s="41" t="s">
        <v>858</v>
      </c>
      <c r="DJ54" s="41" t="s">
        <v>61</v>
      </c>
      <c r="DK54" s="41" t="s">
        <v>61</v>
      </c>
      <c r="DL54" s="41" t="s">
        <v>858</v>
      </c>
      <c r="DM54" s="41" t="s">
        <v>2057</v>
      </c>
      <c r="DN54" s="41" t="s">
        <v>2057</v>
      </c>
      <c r="DO54" s="112" t="s">
        <v>728</v>
      </c>
      <c r="DP54" s="105" t="s">
        <v>61</v>
      </c>
      <c r="DQ54" s="105" t="s">
        <v>61</v>
      </c>
      <c r="DR54" s="105" t="s">
        <v>61</v>
      </c>
      <c r="DS54" s="105" t="s">
        <v>61</v>
      </c>
      <c r="DT54" s="105" t="s">
        <v>61</v>
      </c>
      <c r="DU54" s="41" t="s">
        <v>61</v>
      </c>
      <c r="DV54" s="4" t="s">
        <v>858</v>
      </c>
      <c r="DW54" s="115" t="s">
        <v>858</v>
      </c>
      <c r="DX54" s="115" t="s">
        <v>858</v>
      </c>
      <c r="DY54" s="115" t="s">
        <v>728</v>
      </c>
      <c r="DZ54" s="115" t="s">
        <v>2057</v>
      </c>
      <c r="EA54" s="115" t="s">
        <v>61</v>
      </c>
      <c r="EB54" s="115" t="s">
        <v>728</v>
      </c>
      <c r="EC54" s="115" t="s">
        <v>61</v>
      </c>
      <c r="ED54" s="115" t="s">
        <v>858</v>
      </c>
      <c r="EE54" s="115" t="s">
        <v>858</v>
      </c>
      <c r="EF54" s="115" t="s">
        <v>858</v>
      </c>
      <c r="EG54" s="115" t="s">
        <v>858</v>
      </c>
      <c r="EH54" s="115" t="s">
        <v>61</v>
      </c>
      <c r="EI54" s="155" t="s">
        <v>858</v>
      </c>
      <c r="EJ54" s="185" t="s">
        <v>858</v>
      </c>
      <c r="EK54" s="155" t="s">
        <v>858</v>
      </c>
      <c r="EL54" s="185" t="s">
        <v>858</v>
      </c>
      <c r="EM54" s="155" t="s">
        <v>858</v>
      </c>
      <c r="EN54" s="115" t="s">
        <v>728</v>
      </c>
      <c r="EO54" s="115" t="s">
        <v>858</v>
      </c>
      <c r="EP54" s="115" t="s">
        <v>858</v>
      </c>
      <c r="EQ54" s="115" t="s">
        <v>2441</v>
      </c>
      <c r="ER54" s="115" t="s">
        <v>858</v>
      </c>
      <c r="ES54" s="115" t="s">
        <v>858</v>
      </c>
      <c r="ET54" s="115" t="s">
        <v>858</v>
      </c>
      <c r="EU54" s="115" t="s">
        <v>61</v>
      </c>
      <c r="EV54" s="115" t="s">
        <v>2057</v>
      </c>
      <c r="EW54" s="115" t="s">
        <v>857</v>
      </c>
      <c r="EX54" s="115" t="s">
        <v>61</v>
      </c>
      <c r="EY54" s="115" t="s">
        <v>61</v>
      </c>
      <c r="EZ54" s="115" t="s">
        <v>61</v>
      </c>
      <c r="FA54" s="41" t="s">
        <v>858</v>
      </c>
      <c r="FB54" s="41" t="s">
        <v>858</v>
      </c>
      <c r="FC54" s="41" t="s">
        <v>858</v>
      </c>
      <c r="FD54" s="41" t="s">
        <v>858</v>
      </c>
      <c r="FE54" s="41" t="s">
        <v>2648</v>
      </c>
      <c r="FF54" s="41" t="s">
        <v>858</v>
      </c>
      <c r="FG54" s="41" t="s">
        <v>858</v>
      </c>
      <c r="FH54" s="41" t="s">
        <v>858</v>
      </c>
      <c r="FI54" s="41" t="s">
        <v>728</v>
      </c>
      <c r="FJ54" s="41" t="s">
        <v>858</v>
      </c>
      <c r="FK54" s="41" t="s">
        <v>858</v>
      </c>
      <c r="FL54" s="41" t="s">
        <v>858</v>
      </c>
      <c r="FM54" s="201" t="s">
        <v>858</v>
      </c>
      <c r="FN54" s="155" t="s">
        <v>858</v>
      </c>
      <c r="FO54" s="155" t="s">
        <v>858</v>
      </c>
      <c r="FP54" s="155" t="s">
        <v>858</v>
      </c>
      <c r="FQ54" s="155" t="s">
        <v>858</v>
      </c>
      <c r="FR54" s="185" t="s">
        <v>858</v>
      </c>
      <c r="FS54" s="155" t="s">
        <v>858</v>
      </c>
      <c r="FT54" s="155" t="s">
        <v>2648</v>
      </c>
      <c r="FU54" s="69" t="s">
        <v>61</v>
      </c>
      <c r="FV54" s="115" t="s">
        <v>728</v>
      </c>
      <c r="FW54" s="115" t="s">
        <v>728</v>
      </c>
      <c r="FX54" s="115" t="s">
        <v>858</v>
      </c>
      <c r="FY54" s="206" t="s">
        <v>61</v>
      </c>
      <c r="FZ54" s="115" t="s">
        <v>61</v>
      </c>
      <c r="GA54" s="185" t="s">
        <v>858</v>
      </c>
      <c r="GB54" s="185" t="s">
        <v>858</v>
      </c>
      <c r="GC54" s="185" t="s">
        <v>858</v>
      </c>
      <c r="GD54" s="155" t="s">
        <v>858</v>
      </c>
      <c r="GE54" s="115" t="s">
        <v>61</v>
      </c>
      <c r="GF54" s="185" t="s">
        <v>858</v>
      </c>
      <c r="GG54" s="210" t="s">
        <v>858</v>
      </c>
      <c r="GH54" s="185" t="s">
        <v>858</v>
      </c>
      <c r="GI54" s="185" t="s">
        <v>858</v>
      </c>
      <c r="GJ54" s="185" t="s">
        <v>858</v>
      </c>
      <c r="GK54" s="185" t="s">
        <v>858</v>
      </c>
      <c r="GL54" s="185" t="s">
        <v>858</v>
      </c>
      <c r="GM54" s="206" t="s">
        <v>61</v>
      </c>
      <c r="GN54" s="185" t="s">
        <v>858</v>
      </c>
      <c r="GO54" s="115" t="s">
        <v>61</v>
      </c>
      <c r="GP54" s="185" t="s">
        <v>3106</v>
      </c>
      <c r="GQ54" s="210" t="s">
        <v>61</v>
      </c>
      <c r="GR54" s="185" t="s">
        <v>61</v>
      </c>
      <c r="GS54" s="115" t="s">
        <v>61</v>
      </c>
      <c r="GT54" s="183" t="s">
        <v>61</v>
      </c>
      <c r="GU54" s="115" t="s">
        <v>728</v>
      </c>
      <c r="GV54" s="115" t="s">
        <v>61</v>
      </c>
      <c r="GW54" s="115" t="s">
        <v>61</v>
      </c>
      <c r="GX54" s="185" t="s">
        <v>61</v>
      </c>
      <c r="GY54" s="115" t="s">
        <v>61</v>
      </c>
      <c r="GZ54" s="191" t="s">
        <v>61</v>
      </c>
      <c r="HA54" s="159" t="s">
        <v>61</v>
      </c>
      <c r="HB54" s="185" t="s">
        <v>858</v>
      </c>
      <c r="HC54" s="159" t="s">
        <v>61</v>
      </c>
      <c r="HD54" s="191" t="s">
        <v>61</v>
      </c>
      <c r="HE54" s="169" t="s">
        <v>728</v>
      </c>
      <c r="HF54" s="169" t="s">
        <v>61</v>
      </c>
      <c r="HG54" s="155" t="s">
        <v>858</v>
      </c>
      <c r="HH54" s="169" t="s">
        <v>728</v>
      </c>
      <c r="HI54" s="201" t="s">
        <v>858</v>
      </c>
      <c r="HJ54" s="185" t="s">
        <v>61</v>
      </c>
      <c r="HK54" s="185" t="s">
        <v>61</v>
      </c>
      <c r="HL54" s="185" t="s">
        <v>728</v>
      </c>
      <c r="HM54" s="185" t="s">
        <v>3434</v>
      </c>
      <c r="HN54" s="115" t="s">
        <v>61</v>
      </c>
      <c r="HO54" s="115" t="s">
        <v>61</v>
      </c>
      <c r="HP54" s="115" t="s">
        <v>61</v>
      </c>
      <c r="HQ54" s="115" t="s">
        <v>61</v>
      </c>
      <c r="HR54" s="185" t="s">
        <v>61</v>
      </c>
      <c r="HS54" s="159" t="s">
        <v>61</v>
      </c>
      <c r="HT54" s="233" t="s">
        <v>3589</v>
      </c>
      <c r="HU54" s="115" t="s">
        <v>61</v>
      </c>
      <c r="HV54" s="115" t="s">
        <v>61</v>
      </c>
      <c r="HW54" s="159" t="s">
        <v>61</v>
      </c>
      <c r="HX54" s="115" t="s">
        <v>61</v>
      </c>
      <c r="HY54" s="183" t="s">
        <v>61</v>
      </c>
      <c r="HZ54" s="115" t="s">
        <v>2057</v>
      </c>
      <c r="IA54" s="115" t="s">
        <v>61</v>
      </c>
      <c r="IB54" s="185" t="s">
        <v>3106</v>
      </c>
      <c r="IC54" s="185" t="s">
        <v>858</v>
      </c>
      <c r="ID54" s="233" t="s">
        <v>728</v>
      </c>
      <c r="IE54" s="115" t="s">
        <v>858</v>
      </c>
      <c r="IF54" s="185" t="s">
        <v>3106</v>
      </c>
      <c r="IG54" s="185" t="s">
        <v>858</v>
      </c>
      <c r="IH54" s="185" t="s">
        <v>858</v>
      </c>
      <c r="II54" s="185" t="s">
        <v>858</v>
      </c>
      <c r="IJ54" s="185" t="s">
        <v>61</v>
      </c>
      <c r="IK54" s="185" t="s">
        <v>3106</v>
      </c>
      <c r="IL54" s="185" t="s">
        <v>3106</v>
      </c>
      <c r="IM54" s="185" t="s">
        <v>61</v>
      </c>
      <c r="IN54" s="185" t="s">
        <v>3106</v>
      </c>
      <c r="IO54" s="159" t="s">
        <v>61</v>
      </c>
      <c r="IP54" s="159" t="s">
        <v>61</v>
      </c>
      <c r="IQ54" s="185" t="s">
        <v>3106</v>
      </c>
      <c r="IR54" s="185" t="s">
        <v>3106</v>
      </c>
      <c r="IS54" s="115" t="s">
        <v>61</v>
      </c>
      <c r="IT54" s="183" t="s">
        <v>61</v>
      </c>
      <c r="IU54" s="185" t="s">
        <v>61</v>
      </c>
      <c r="IV54" s="185" t="s">
        <v>61</v>
      </c>
      <c r="IW54" s="185" t="s">
        <v>728</v>
      </c>
      <c r="IX54" s="159"/>
      <c r="IY54" s="185" t="s">
        <v>3106</v>
      </c>
      <c r="IZ54" s="185" t="s">
        <v>3106</v>
      </c>
      <c r="JA54" s="159" t="s">
        <v>728</v>
      </c>
      <c r="JB54" s="159" t="s">
        <v>61</v>
      </c>
      <c r="JC54" s="159" t="s">
        <v>61</v>
      </c>
      <c r="JD54" s="159" t="s">
        <v>728</v>
      </c>
      <c r="JE54" s="159" t="s">
        <v>728</v>
      </c>
      <c r="JF54" s="159" t="s">
        <v>728</v>
      </c>
      <c r="JG54" s="159" t="s">
        <v>728</v>
      </c>
      <c r="JH54" s="159" t="s">
        <v>61</v>
      </c>
      <c r="JI54" s="159" t="s">
        <v>61</v>
      </c>
      <c r="JJ54" s="250" t="s">
        <v>2648</v>
      </c>
      <c r="JK54" s="250" t="s">
        <v>2648</v>
      </c>
      <c r="JL54" s="250" t="s">
        <v>2648</v>
      </c>
      <c r="JM54" s="250" t="s">
        <v>2648</v>
      </c>
      <c r="JN54" s="115" t="s">
        <v>61</v>
      </c>
      <c r="JO54" s="185" t="s">
        <v>61</v>
      </c>
      <c r="JP54" s="159" t="s">
        <v>2441</v>
      </c>
      <c r="JQ54" s="185" t="s">
        <v>61</v>
      </c>
      <c r="JR54" s="185" t="s">
        <v>61</v>
      </c>
      <c r="JS54" s="159" t="s">
        <v>2057</v>
      </c>
      <c r="JT54" s="159" t="s">
        <v>2057</v>
      </c>
      <c r="JU54" s="159" t="s">
        <v>2057</v>
      </c>
      <c r="JV54" s="159" t="s">
        <v>2057</v>
      </c>
      <c r="JW54" s="159" t="s">
        <v>2057</v>
      </c>
      <c r="JX54" s="159" t="s">
        <v>2648</v>
      </c>
      <c r="JY54" s="159" t="s">
        <v>2648</v>
      </c>
      <c r="JZ54" s="159" t="s">
        <v>2648</v>
      </c>
      <c r="KA54" s="159" t="s">
        <v>2648</v>
      </c>
      <c r="KB54" s="159" t="s">
        <v>2648</v>
      </c>
      <c r="KC54" s="159" t="s">
        <v>2648</v>
      </c>
      <c r="KD54" s="159" t="s">
        <v>2441</v>
      </c>
      <c r="KE54" s="159" t="s">
        <v>2441</v>
      </c>
      <c r="KF54" s="159" t="s">
        <v>2441</v>
      </c>
      <c r="KG54" s="115" t="s">
        <v>857</v>
      </c>
      <c r="KH54" s="115" t="s">
        <v>728</v>
      </c>
      <c r="KI54" s="115" t="s">
        <v>61</v>
      </c>
      <c r="KJ54" s="115" t="s">
        <v>61</v>
      </c>
      <c r="KK54" s="115" t="s">
        <v>61</v>
      </c>
      <c r="KL54" s="185" t="s">
        <v>61</v>
      </c>
      <c r="KM54" s="115" t="s">
        <v>61</v>
      </c>
      <c r="KN54" s="155" t="s">
        <v>858</v>
      </c>
      <c r="KO54" s="115" t="s">
        <v>4494</v>
      </c>
      <c r="KP54" s="115" t="s">
        <v>4494</v>
      </c>
      <c r="KQ54" s="115" t="s">
        <v>4494</v>
      </c>
      <c r="KR54" s="185" t="s">
        <v>61</v>
      </c>
      <c r="KS54" s="185" t="s">
        <v>61</v>
      </c>
      <c r="KT54" s="185" t="s">
        <v>61</v>
      </c>
      <c r="KU54" s="185" t="s">
        <v>61</v>
      </c>
      <c r="KV54" s="185" t="s">
        <v>61</v>
      </c>
      <c r="KW54" s="115" t="s">
        <v>728</v>
      </c>
      <c r="KX54" s="115" t="s">
        <v>728</v>
      </c>
      <c r="KY54" s="250" t="s">
        <v>61</v>
      </c>
      <c r="KZ54" s="250" t="s">
        <v>61</v>
      </c>
      <c r="LA54" s="187" t="s">
        <v>61</v>
      </c>
      <c r="LB54" s="115" t="s">
        <v>61</v>
      </c>
      <c r="LC54" s="115" t="s">
        <v>61</v>
      </c>
      <c r="LD54" s="115" t="s">
        <v>61</v>
      </c>
      <c r="LE54" s="115" t="s">
        <v>61</v>
      </c>
      <c r="LF54" s="115" t="s">
        <v>61</v>
      </c>
      <c r="LG54" s="115" t="s">
        <v>61</v>
      </c>
      <c r="LH54" s="185" t="s">
        <v>61</v>
      </c>
      <c r="LI54" s="185" t="s">
        <v>61</v>
      </c>
      <c r="LJ54" s="185" t="s">
        <v>61</v>
      </c>
      <c r="LK54" s="115" t="s">
        <v>61</v>
      </c>
      <c r="LL54" s="187" t="s">
        <v>61</v>
      </c>
      <c r="LM54" s="269" t="s">
        <v>61</v>
      </c>
      <c r="LN54" s="269" t="s">
        <v>61</v>
      </c>
      <c r="LO54" s="115" t="s">
        <v>61</v>
      </c>
      <c r="LP54" s="185" t="s">
        <v>61</v>
      </c>
      <c r="LQ54" s="282" t="s">
        <v>2057</v>
      </c>
      <c r="LR54" s="115" t="s">
        <v>61</v>
      </c>
      <c r="LS54" s="185" t="s">
        <v>2057</v>
      </c>
      <c r="LT54" s="115" t="s">
        <v>61</v>
      </c>
      <c r="LU54" s="115" t="s">
        <v>61</v>
      </c>
      <c r="LV54" s="286" t="s">
        <v>858</v>
      </c>
      <c r="LW54" s="115" t="s">
        <v>858</v>
      </c>
      <c r="LX54" s="115" t="s">
        <v>61</v>
      </c>
      <c r="LY54" s="185" t="s">
        <v>728</v>
      </c>
      <c r="LZ54" s="185" t="s">
        <v>61</v>
      </c>
      <c r="MA54" s="185" t="s">
        <v>61</v>
      </c>
      <c r="MB54" s="115" t="s">
        <v>61</v>
      </c>
      <c r="MC54" s="115" t="s">
        <v>858</v>
      </c>
      <c r="MD54" s="115" t="s">
        <v>61</v>
      </c>
    </row>
    <row r="55" spans="1:342" ht="14.4" x14ac:dyDescent="0.3">
      <c r="A55" s="92">
        <v>52</v>
      </c>
      <c r="B55" s="312"/>
      <c r="C55" s="13" t="s">
        <v>441</v>
      </c>
      <c r="D55" s="40" t="s">
        <v>442</v>
      </c>
      <c r="E55" s="2" t="s">
        <v>287</v>
      </c>
      <c r="F55" s="5" t="s">
        <v>40</v>
      </c>
      <c r="G55" s="5" t="s">
        <v>40</v>
      </c>
      <c r="H55" s="5" t="s">
        <v>70</v>
      </c>
      <c r="I55" s="5" t="s">
        <v>109</v>
      </c>
      <c r="J55" s="2" t="s">
        <v>70</v>
      </c>
      <c r="K55" s="2" t="s">
        <v>717</v>
      </c>
      <c r="L55" s="5" t="s">
        <v>81</v>
      </c>
      <c r="M55" s="5" t="s">
        <v>81</v>
      </c>
      <c r="N55" s="5" t="s">
        <v>40</v>
      </c>
      <c r="O55" s="5" t="s">
        <v>125</v>
      </c>
      <c r="P55" s="5" t="s">
        <v>40</v>
      </c>
      <c r="Q55" s="5" t="s">
        <v>125</v>
      </c>
      <c r="R55" s="5" t="s">
        <v>163</v>
      </c>
      <c r="S55" s="5" t="s">
        <v>171</v>
      </c>
      <c r="T55" s="5" t="s">
        <v>177</v>
      </c>
      <c r="U55" s="2" t="s">
        <v>287</v>
      </c>
      <c r="V55" s="2" t="s">
        <v>286</v>
      </c>
      <c r="W55" s="2" t="s">
        <v>290</v>
      </c>
      <c r="X55" s="5" t="s">
        <v>81</v>
      </c>
      <c r="Y55" s="5" t="s">
        <v>81</v>
      </c>
      <c r="Z55" s="5" t="s">
        <v>81</v>
      </c>
      <c r="AA55" s="2" t="s">
        <v>329</v>
      </c>
      <c r="AB55" s="2" t="s">
        <v>355</v>
      </c>
      <c r="AC55" s="2" t="s">
        <v>355</v>
      </c>
      <c r="AD55" s="2" t="s">
        <v>382</v>
      </c>
      <c r="AE55" s="2" t="s">
        <v>383</v>
      </c>
      <c r="AF55" s="12" t="s">
        <v>388</v>
      </c>
      <c r="AG55" s="12" t="s">
        <v>407</v>
      </c>
      <c r="AH55" s="12" t="s">
        <v>407</v>
      </c>
      <c r="AI55" s="2" t="s">
        <v>514</v>
      </c>
      <c r="AJ55" s="2" t="s">
        <v>551</v>
      </c>
      <c r="AK55" s="2" t="s">
        <v>549</v>
      </c>
      <c r="AL55" s="2" t="s">
        <v>549</v>
      </c>
      <c r="AM55" s="2" t="s">
        <v>550</v>
      </c>
      <c r="AN55" s="2" t="s">
        <v>571</v>
      </c>
      <c r="AO55" s="2" t="s">
        <v>571</v>
      </c>
      <c r="AP55" s="2" t="s">
        <v>594</v>
      </c>
      <c r="AQ55" s="2" t="s">
        <v>609</v>
      </c>
      <c r="AR55" s="12" t="s">
        <v>618</v>
      </c>
      <c r="AS55" s="12" t="s">
        <v>618</v>
      </c>
      <c r="AT55" s="2" t="s">
        <v>636</v>
      </c>
      <c r="AU55" s="2" t="s">
        <v>663</v>
      </c>
      <c r="AV55" s="2" t="s">
        <v>665</v>
      </c>
      <c r="AW55" s="2" t="s">
        <v>667</v>
      </c>
      <c r="AX55" s="41" t="s">
        <v>679</v>
      </c>
      <c r="AY55" s="2" t="s">
        <v>749</v>
      </c>
      <c r="AZ55" s="2" t="s">
        <v>749</v>
      </c>
      <c r="BA55" s="2" t="s">
        <v>750</v>
      </c>
      <c r="BB55" s="2" t="s">
        <v>763</v>
      </c>
      <c r="BC55" s="81" t="s">
        <v>798</v>
      </c>
      <c r="BD55" s="81" t="s">
        <v>798</v>
      </c>
      <c r="BE55" s="81" t="s">
        <v>798</v>
      </c>
      <c r="BF55" s="81" t="s">
        <v>798</v>
      </c>
      <c r="BG55" s="81" t="s">
        <v>798</v>
      </c>
      <c r="BH55" s="81" t="s">
        <v>798</v>
      </c>
      <c r="BI55" s="12" t="s">
        <v>830</v>
      </c>
      <c r="BJ55" s="12" t="s">
        <v>839</v>
      </c>
      <c r="BK55" s="5" t="s">
        <v>40</v>
      </c>
      <c r="BL55" s="72" t="s">
        <v>1102</v>
      </c>
      <c r="BM55" s="88" t="s">
        <v>1038</v>
      </c>
      <c r="BN55" s="88" t="s">
        <v>1055</v>
      </c>
      <c r="BO55" s="88" t="s">
        <v>1067</v>
      </c>
      <c r="BP55" s="88" t="s">
        <v>1067</v>
      </c>
      <c r="BQ55" s="88" t="s">
        <v>1038</v>
      </c>
      <c r="BR55" s="117" t="s">
        <v>30</v>
      </c>
      <c r="BS55" s="105" t="s">
        <v>1418</v>
      </c>
      <c r="BT55" s="105" t="s">
        <v>30</v>
      </c>
      <c r="BU55" s="115" t="s">
        <v>30</v>
      </c>
      <c r="BV55" s="115" t="s">
        <v>30</v>
      </c>
      <c r="BW55" s="115" t="s">
        <v>1471</v>
      </c>
      <c r="BX55" s="115" t="s">
        <v>30</v>
      </c>
      <c r="BY55" s="115" t="s">
        <v>30</v>
      </c>
      <c r="BZ55" s="115" t="s">
        <v>30</v>
      </c>
      <c r="CA55" s="41" t="s">
        <v>1571</v>
      </c>
      <c r="CB55" s="41" t="s">
        <v>1591</v>
      </c>
      <c r="CC55" s="41" t="s">
        <v>1607</v>
      </c>
      <c r="CD55" s="41" t="s">
        <v>1624</v>
      </c>
      <c r="CE55" s="41" t="s">
        <v>1644</v>
      </c>
      <c r="CF55" s="41" t="s">
        <v>1571</v>
      </c>
      <c r="CG55" s="41" t="s">
        <v>1591</v>
      </c>
      <c r="CH55" s="41" t="s">
        <v>1671</v>
      </c>
      <c r="CI55" s="41" t="s">
        <v>1511</v>
      </c>
      <c r="CJ55" s="41" t="s">
        <v>1548</v>
      </c>
      <c r="CK55" s="41" t="s">
        <v>1548</v>
      </c>
      <c r="CL55" s="41" t="s">
        <v>1548</v>
      </c>
      <c r="CM55" s="41" t="s">
        <v>1511</v>
      </c>
      <c r="CN55" s="41" t="s">
        <v>1624</v>
      </c>
      <c r="CO55" s="41" t="s">
        <v>1511</v>
      </c>
      <c r="CP55" s="41" t="s">
        <v>1511</v>
      </c>
      <c r="CQ55" s="41" t="s">
        <v>1511</v>
      </c>
      <c r="CR55" s="41" t="s">
        <v>1624</v>
      </c>
      <c r="CS55" s="41" t="s">
        <v>1796</v>
      </c>
      <c r="CT55" s="41" t="s">
        <v>1571</v>
      </c>
      <c r="CU55" s="41" t="s">
        <v>1607</v>
      </c>
      <c r="CV55" s="41" t="s">
        <v>1624</v>
      </c>
      <c r="CW55" s="41" t="s">
        <v>1831</v>
      </c>
      <c r="CX55" s="41" t="s">
        <v>1841</v>
      </c>
      <c r="CY55" s="41" t="s">
        <v>1849</v>
      </c>
      <c r="CZ55" s="41" t="s">
        <v>1858</v>
      </c>
      <c r="DA55" s="41" t="s">
        <v>1858</v>
      </c>
      <c r="DB55" s="41" t="s">
        <v>1875</v>
      </c>
      <c r="DC55" s="41" t="s">
        <v>1885</v>
      </c>
      <c r="DD55" s="41" t="s">
        <v>1895</v>
      </c>
      <c r="DE55" s="41" t="s">
        <v>1902</v>
      </c>
      <c r="DF55" s="41" t="s">
        <v>1908</v>
      </c>
      <c r="DG55" s="41" t="s">
        <v>1918</v>
      </c>
      <c r="DH55" s="41" t="s">
        <v>1926</v>
      </c>
      <c r="DI55" s="41" t="s">
        <v>1934</v>
      </c>
      <c r="DJ55" s="41" t="s">
        <v>1947</v>
      </c>
      <c r="DK55" s="41" t="s">
        <v>1961</v>
      </c>
      <c r="DL55" s="41" t="s">
        <v>1984</v>
      </c>
      <c r="DM55" s="41" t="s">
        <v>2058</v>
      </c>
      <c r="DN55" s="41" t="s">
        <v>2058</v>
      </c>
      <c r="DO55" s="178" t="s">
        <v>2081</v>
      </c>
      <c r="DP55" s="41" t="s">
        <v>1315</v>
      </c>
      <c r="DQ55" s="105" t="s">
        <v>1315</v>
      </c>
      <c r="DR55" s="105" t="s">
        <v>1315</v>
      </c>
      <c r="DS55" s="105" t="s">
        <v>1315</v>
      </c>
      <c r="DT55" s="105" t="s">
        <v>1315</v>
      </c>
      <c r="DU55" s="41" t="s">
        <v>2101</v>
      </c>
      <c r="DV55" s="105" t="s">
        <v>2108</v>
      </c>
      <c r="DW55" s="115" t="s">
        <v>2180</v>
      </c>
      <c r="DX55" s="115" t="s">
        <v>2197</v>
      </c>
      <c r="DY55" s="115" t="s">
        <v>2215</v>
      </c>
      <c r="DZ55" s="115" t="s">
        <v>2228</v>
      </c>
      <c r="EA55" s="115" t="s">
        <v>2241</v>
      </c>
      <c r="EB55" s="115" t="s">
        <v>2251</v>
      </c>
      <c r="EC55" s="115" t="s">
        <v>2267</v>
      </c>
      <c r="ED55" s="115" t="s">
        <v>2282</v>
      </c>
      <c r="EE55" s="115" t="s">
        <v>2282</v>
      </c>
      <c r="EF55" s="115" t="s">
        <v>2282</v>
      </c>
      <c r="EG55" s="115" t="s">
        <v>2282</v>
      </c>
      <c r="EH55" s="115" t="s">
        <v>1315</v>
      </c>
      <c r="EI55" s="155" t="s">
        <v>2327</v>
      </c>
      <c r="EJ55" s="185" t="s">
        <v>2327</v>
      </c>
      <c r="EK55" s="155" t="s">
        <v>2327</v>
      </c>
      <c r="EL55" s="185" t="s">
        <v>2327</v>
      </c>
      <c r="EM55" s="155" t="s">
        <v>2327</v>
      </c>
      <c r="EN55" s="115" t="s">
        <v>2397</v>
      </c>
      <c r="EO55" s="115" t="s">
        <v>2411</v>
      </c>
      <c r="EP55" s="115" t="s">
        <v>2427</v>
      </c>
      <c r="EQ55" s="115" t="s">
        <v>2442</v>
      </c>
      <c r="ER55" s="115" t="s">
        <v>2456</v>
      </c>
      <c r="ES55" s="115" t="s">
        <v>2197</v>
      </c>
      <c r="ET55" s="115" t="s">
        <v>2484</v>
      </c>
      <c r="EU55" s="115" t="s">
        <v>2500</v>
      </c>
      <c r="EV55" s="115" t="s">
        <v>2515</v>
      </c>
      <c r="EW55" s="115" t="s">
        <v>2533</v>
      </c>
      <c r="EX55" s="115" t="s">
        <v>2545</v>
      </c>
      <c r="EY55" s="115" t="s">
        <v>2554</v>
      </c>
      <c r="EZ55" s="115" t="s">
        <v>2554</v>
      </c>
      <c r="FA55" s="41" t="s">
        <v>2582</v>
      </c>
      <c r="FB55" s="41" t="s">
        <v>2582</v>
      </c>
      <c r="FC55" s="41" t="s">
        <v>2582</v>
      </c>
      <c r="FD55" s="41" t="s">
        <v>2582</v>
      </c>
      <c r="FE55" s="41" t="s">
        <v>2649</v>
      </c>
      <c r="FF55" s="41" t="s">
        <v>2663</v>
      </c>
      <c r="FG55" s="41" t="s">
        <v>2663</v>
      </c>
      <c r="FH55" s="41" t="s">
        <v>2663</v>
      </c>
      <c r="FI55" s="41" t="s">
        <v>2691</v>
      </c>
      <c r="FJ55" s="41" t="s">
        <v>2327</v>
      </c>
      <c r="FK55" s="41" t="s">
        <v>2603</v>
      </c>
      <c r="FL55" s="41" t="s">
        <v>2603</v>
      </c>
      <c r="FM55" s="201" t="s">
        <v>2327</v>
      </c>
      <c r="FN55" s="155" t="s">
        <v>2750</v>
      </c>
      <c r="FO55" s="155" t="s">
        <v>2327</v>
      </c>
      <c r="FP55" s="155" t="s">
        <v>2327</v>
      </c>
      <c r="FQ55" s="155" t="s">
        <v>2789</v>
      </c>
      <c r="FR55" s="185" t="s">
        <v>2327</v>
      </c>
      <c r="FS55" s="155" t="s">
        <v>2327</v>
      </c>
      <c r="FT55" s="155" t="s">
        <v>2327</v>
      </c>
      <c r="FU55" s="69" t="s">
        <v>2839</v>
      </c>
      <c r="FV55" s="115" t="s">
        <v>2855</v>
      </c>
      <c r="FW55" s="115" t="s">
        <v>2855</v>
      </c>
      <c r="FX55" s="115" t="s">
        <v>2855</v>
      </c>
      <c r="FY55" s="115" t="s">
        <v>2889</v>
      </c>
      <c r="FZ55" s="115" t="s">
        <v>1315</v>
      </c>
      <c r="GA55" s="185" t="s">
        <v>2327</v>
      </c>
      <c r="GB55" s="185" t="s">
        <v>2327</v>
      </c>
      <c r="GC55" s="185" t="s">
        <v>2327</v>
      </c>
      <c r="GD55" s="155" t="s">
        <v>2327</v>
      </c>
      <c r="GE55" s="115" t="s">
        <v>2953</v>
      </c>
      <c r="GF55" s="185" t="s">
        <v>2327</v>
      </c>
      <c r="GG55" s="210" t="s">
        <v>2327</v>
      </c>
      <c r="GH55" s="185" t="s">
        <v>2327</v>
      </c>
      <c r="GI55" s="185" t="s">
        <v>2327</v>
      </c>
      <c r="GJ55" s="185" t="s">
        <v>2327</v>
      </c>
      <c r="GK55" s="185" t="s">
        <v>2327</v>
      </c>
      <c r="GL55" s="185" t="s">
        <v>2327</v>
      </c>
      <c r="GM55" s="115" t="s">
        <v>3060</v>
      </c>
      <c r="GN55" s="185" t="s">
        <v>2327</v>
      </c>
      <c r="GO55" s="115" t="s">
        <v>3091</v>
      </c>
      <c r="GP55" s="185" t="s">
        <v>3107</v>
      </c>
      <c r="GQ55" s="210" t="s">
        <v>3128</v>
      </c>
      <c r="GR55" s="185" t="s">
        <v>3142</v>
      </c>
      <c r="GS55" s="159" t="s">
        <v>3158</v>
      </c>
      <c r="GT55" s="183" t="s">
        <v>3128</v>
      </c>
      <c r="GU55" s="159" t="s">
        <v>3190</v>
      </c>
      <c r="GV55" s="115" t="s">
        <v>3209</v>
      </c>
      <c r="GW55" s="115" t="s">
        <v>3209</v>
      </c>
      <c r="GX55" s="185" t="s">
        <v>3240</v>
      </c>
      <c r="GY55" s="115" t="s">
        <v>3209</v>
      </c>
      <c r="GZ55" s="69" t="s">
        <v>3264</v>
      </c>
      <c r="HA55" s="159" t="s">
        <v>1511</v>
      </c>
      <c r="HB55" s="185" t="s">
        <v>2327</v>
      </c>
      <c r="HC55" s="159" t="s">
        <v>1511</v>
      </c>
      <c r="HD55" s="69" t="s">
        <v>3310</v>
      </c>
      <c r="HE55" s="185" t="s">
        <v>3327</v>
      </c>
      <c r="HF55" s="185" t="s">
        <v>3339</v>
      </c>
      <c r="HG55" s="155" t="s">
        <v>2327</v>
      </c>
      <c r="HH55" s="185" t="s">
        <v>3359</v>
      </c>
      <c r="HI55" s="201" t="s">
        <v>2327</v>
      </c>
      <c r="HJ55" s="185" t="s">
        <v>3384</v>
      </c>
      <c r="HK55" s="185" t="s">
        <v>2603</v>
      </c>
      <c r="HL55" s="185" t="s">
        <v>3417</v>
      </c>
      <c r="HM55" s="185" t="s">
        <v>3435</v>
      </c>
      <c r="HN55" s="115" t="s">
        <v>3515</v>
      </c>
      <c r="HO55" s="115" t="s">
        <v>3464</v>
      </c>
      <c r="HP55" s="115" t="s">
        <v>3464</v>
      </c>
      <c r="HQ55" s="115" t="s">
        <v>3464</v>
      </c>
      <c r="HR55" s="169" t="s">
        <v>3558</v>
      </c>
      <c r="HS55" s="159" t="s">
        <v>3240</v>
      </c>
      <c r="HT55" s="185" t="s">
        <v>3435</v>
      </c>
      <c r="HU55" s="115" t="s">
        <v>3464</v>
      </c>
      <c r="HV55" s="115" t="s">
        <v>2953</v>
      </c>
      <c r="HW55" s="159" t="s">
        <v>3240</v>
      </c>
      <c r="HX55" s="115" t="s">
        <v>3464</v>
      </c>
      <c r="HY55" s="183" t="s">
        <v>3633</v>
      </c>
      <c r="HZ55" s="115" t="s">
        <v>3645</v>
      </c>
      <c r="IA55" s="115" t="s">
        <v>3464</v>
      </c>
      <c r="IB55" s="185" t="s">
        <v>3493</v>
      </c>
      <c r="IC55" s="185" t="s">
        <v>3676</v>
      </c>
      <c r="ID55" s="185" t="s">
        <v>3692</v>
      </c>
      <c r="IE55" s="115" t="s">
        <v>109</v>
      </c>
      <c r="IF55" s="169" t="s">
        <v>3484</v>
      </c>
      <c r="IG55" s="185" t="s">
        <v>2327</v>
      </c>
      <c r="IH55" s="185" t="s">
        <v>2327</v>
      </c>
      <c r="II55" s="185" t="s">
        <v>2327</v>
      </c>
      <c r="IJ55" s="185" t="s">
        <v>3765</v>
      </c>
      <c r="IK55" s="185" t="s">
        <v>3493</v>
      </c>
      <c r="IL55" s="169" t="s">
        <v>3484</v>
      </c>
      <c r="IM55" s="169" t="s">
        <v>3558</v>
      </c>
      <c r="IN55" s="169" t="s">
        <v>3484</v>
      </c>
      <c r="IO55" s="159" t="s">
        <v>3808</v>
      </c>
      <c r="IP55" s="159" t="s">
        <v>3821</v>
      </c>
      <c r="IQ55" s="185" t="s">
        <v>3493</v>
      </c>
      <c r="IR55" s="169" t="s">
        <v>3484</v>
      </c>
      <c r="IS55" s="159" t="s">
        <v>3853</v>
      </c>
      <c r="IT55" s="183" t="s">
        <v>3866</v>
      </c>
      <c r="IU55" s="185" t="s">
        <v>3878</v>
      </c>
      <c r="IV55" s="185" t="s">
        <v>3240</v>
      </c>
      <c r="IW55" s="185" t="s">
        <v>4000</v>
      </c>
      <c r="IX55" s="159"/>
      <c r="IY55" s="185" t="s">
        <v>40</v>
      </c>
      <c r="IZ55" s="185" t="s">
        <v>40</v>
      </c>
      <c r="JA55" s="159" t="s">
        <v>4021</v>
      </c>
      <c r="JB55" s="159" t="s">
        <v>4034</v>
      </c>
      <c r="JC55" s="159" t="s">
        <v>4034</v>
      </c>
      <c r="JD55" s="159" t="s">
        <v>4055</v>
      </c>
      <c r="JE55" s="159" t="s">
        <v>4055</v>
      </c>
      <c r="JF55" s="159" t="s">
        <v>4079</v>
      </c>
      <c r="JG55" s="159" t="s">
        <v>4094</v>
      </c>
      <c r="JH55" s="159" t="s">
        <v>4108</v>
      </c>
      <c r="JI55" s="159" t="s">
        <v>4122</v>
      </c>
      <c r="JJ55" s="250" t="s">
        <v>2327</v>
      </c>
      <c r="JK55" s="250" t="s">
        <v>2327</v>
      </c>
      <c r="JL55" s="250" t="s">
        <v>2327</v>
      </c>
      <c r="JM55" s="250" t="s">
        <v>2327</v>
      </c>
      <c r="JN55" s="115" t="s">
        <v>4178</v>
      </c>
      <c r="JO55" s="185" t="s">
        <v>4194</v>
      </c>
      <c r="JP55" s="159" t="s">
        <v>4227</v>
      </c>
      <c r="JQ55" s="185" t="s">
        <v>4194</v>
      </c>
      <c r="JR55" s="185" t="s">
        <v>4194</v>
      </c>
      <c r="JS55" s="159" t="s">
        <v>4260</v>
      </c>
      <c r="JT55" s="159" t="s">
        <v>4260</v>
      </c>
      <c r="JU55" s="159" t="s">
        <v>4260</v>
      </c>
      <c r="JV55" s="159" t="s">
        <v>4260</v>
      </c>
      <c r="JW55" s="159" t="s">
        <v>4260</v>
      </c>
      <c r="JX55" s="159" t="s">
        <v>4294</v>
      </c>
      <c r="JY55" s="159" t="s">
        <v>4294</v>
      </c>
      <c r="JZ55" s="159" t="s">
        <v>4294</v>
      </c>
      <c r="KA55" s="159" t="s">
        <v>4294</v>
      </c>
      <c r="KB55" s="159" t="s">
        <v>4294</v>
      </c>
      <c r="KC55" s="159" t="s">
        <v>4294</v>
      </c>
      <c r="KD55" s="159" t="s">
        <v>4260</v>
      </c>
      <c r="KE55" s="159" t="s">
        <v>4260</v>
      </c>
      <c r="KF55" s="159" t="s">
        <v>4260</v>
      </c>
      <c r="KG55" s="159" t="s">
        <v>4357</v>
      </c>
      <c r="KH55" s="159" t="s">
        <v>4375</v>
      </c>
      <c r="KI55" s="159" t="s">
        <v>4391</v>
      </c>
      <c r="KJ55" s="115" t="s">
        <v>4407</v>
      </c>
      <c r="KK55" s="115" t="s">
        <v>4407</v>
      </c>
      <c r="KL55" s="185" t="s">
        <v>4434</v>
      </c>
      <c r="KM55" s="115" t="s">
        <v>3464</v>
      </c>
      <c r="KN55" s="155" t="s">
        <v>4476</v>
      </c>
      <c r="KO55" s="115" t="s">
        <v>3944</v>
      </c>
      <c r="KP55" s="115" t="s">
        <v>3944</v>
      </c>
      <c r="KQ55" s="115" t="s">
        <v>3944</v>
      </c>
      <c r="KR55" s="169" t="s">
        <v>4524</v>
      </c>
      <c r="KS55" s="169" t="s">
        <v>4524</v>
      </c>
      <c r="KT55" s="169" t="s">
        <v>4524</v>
      </c>
      <c r="KU55" s="169" t="s">
        <v>4524</v>
      </c>
      <c r="KV55" s="169" t="s">
        <v>4524</v>
      </c>
      <c r="KW55" s="115" t="s">
        <v>4571</v>
      </c>
      <c r="KX55" s="115" t="s">
        <v>4571</v>
      </c>
      <c r="KY55" s="250" t="s">
        <v>4622</v>
      </c>
      <c r="KZ55" s="250" t="s">
        <v>4622</v>
      </c>
      <c r="LA55" s="187" t="s">
        <v>4671</v>
      </c>
      <c r="LB55" s="115" t="s">
        <v>4696</v>
      </c>
      <c r="LC55" s="115" t="s">
        <v>2328</v>
      </c>
      <c r="LD55" s="115" t="s">
        <v>2328</v>
      </c>
      <c r="LE55" s="115" t="s">
        <v>2328</v>
      </c>
      <c r="LF55" s="115" t="s">
        <v>2328</v>
      </c>
      <c r="LG55" s="115" t="s">
        <v>4826</v>
      </c>
      <c r="LH55" s="185" t="s">
        <v>4758</v>
      </c>
      <c r="LI55" s="185" t="s">
        <v>4768</v>
      </c>
      <c r="LJ55" s="185" t="s">
        <v>4778</v>
      </c>
      <c r="LK55" s="115" t="s">
        <v>4758</v>
      </c>
      <c r="LL55" s="187" t="s">
        <v>4758</v>
      </c>
      <c r="LM55" s="269" t="s">
        <v>4758</v>
      </c>
      <c r="LN55" s="269" t="s">
        <v>4758</v>
      </c>
      <c r="LO55" s="115" t="s">
        <v>3464</v>
      </c>
      <c r="LP55" s="185" t="s">
        <v>4656</v>
      </c>
      <c r="LQ55" s="282" t="s">
        <v>4682</v>
      </c>
      <c r="LR55" s="115" t="s">
        <v>4826</v>
      </c>
      <c r="LS55" s="185" t="s">
        <v>4879</v>
      </c>
      <c r="LT55" s="115" t="s">
        <v>4892</v>
      </c>
      <c r="LU55" s="115" t="s">
        <v>4892</v>
      </c>
      <c r="LV55" s="286" t="s">
        <v>4914</v>
      </c>
      <c r="LW55" s="115" t="s">
        <v>4914</v>
      </c>
      <c r="LX55" s="115" t="s">
        <v>4933</v>
      </c>
      <c r="LY55" s="185" t="s">
        <v>4949</v>
      </c>
      <c r="LZ55" s="185" t="s">
        <v>4961</v>
      </c>
      <c r="MA55" s="185" t="s">
        <v>4961</v>
      </c>
      <c r="MB55" s="115" t="s">
        <v>4989</v>
      </c>
      <c r="MC55" s="115" t="s">
        <v>5002</v>
      </c>
      <c r="MD55" s="115" t="s">
        <v>5019</v>
      </c>
    </row>
    <row r="56" spans="1:342" ht="14.4" x14ac:dyDescent="0.3">
      <c r="A56" s="92">
        <v>53</v>
      </c>
      <c r="B56" s="312"/>
      <c r="C56" s="13" t="s">
        <v>490</v>
      </c>
      <c r="D56" s="29"/>
      <c r="E56" s="3" t="s">
        <v>11</v>
      </c>
      <c r="F56" s="3" t="s">
        <v>11</v>
      </c>
      <c r="G56" s="11" t="s">
        <v>62</v>
      </c>
      <c r="H56" s="3" t="s">
        <v>11</v>
      </c>
      <c r="I56" s="3" t="s">
        <v>11</v>
      </c>
      <c r="J56" s="3" t="s">
        <v>11</v>
      </c>
      <c r="K56" s="78" t="s">
        <v>714</v>
      </c>
      <c r="L56" s="3" t="s">
        <v>11</v>
      </c>
      <c r="M56" s="3" t="s">
        <v>11</v>
      </c>
      <c r="N56" s="3" t="s">
        <v>11</v>
      </c>
      <c r="O56" s="3" t="s">
        <v>11</v>
      </c>
      <c r="P56" s="3" t="s">
        <v>11</v>
      </c>
      <c r="Q56" s="3" t="s">
        <v>11</v>
      </c>
      <c r="R56" s="3" t="s">
        <v>11</v>
      </c>
      <c r="S56" s="3" t="s">
        <v>11</v>
      </c>
      <c r="T56" s="3" t="s">
        <v>11</v>
      </c>
      <c r="U56" s="3" t="s">
        <v>11</v>
      </c>
      <c r="V56" s="3" t="s">
        <v>11</v>
      </c>
      <c r="W56" s="3" t="s">
        <v>11</v>
      </c>
      <c r="X56" s="3" t="s">
        <v>11</v>
      </c>
      <c r="Y56" s="3" t="s">
        <v>11</v>
      </c>
      <c r="Z56" s="3" t="s">
        <v>11</v>
      </c>
      <c r="AA56" s="3" t="s">
        <v>11</v>
      </c>
      <c r="AB56" s="3" t="s">
        <v>11</v>
      </c>
      <c r="AC56" s="3" t="s">
        <v>11</v>
      </c>
      <c r="AD56" s="3" t="s">
        <v>11</v>
      </c>
      <c r="AE56" s="3" t="s">
        <v>11</v>
      </c>
      <c r="AF56" s="3" t="s">
        <v>11</v>
      </c>
      <c r="AG56" s="3" t="s">
        <v>11</v>
      </c>
      <c r="AH56" s="3" t="s">
        <v>11</v>
      </c>
      <c r="AI56" s="3" t="s">
        <v>11</v>
      </c>
      <c r="AJ56" s="3" t="s">
        <v>11</v>
      </c>
      <c r="AK56" s="3" t="s">
        <v>11</v>
      </c>
      <c r="AL56" s="3" t="s">
        <v>11</v>
      </c>
      <c r="AM56" s="3" t="s">
        <v>11</v>
      </c>
      <c r="AN56" s="3" t="s">
        <v>11</v>
      </c>
      <c r="AO56" s="3" t="s">
        <v>11</v>
      </c>
      <c r="AP56" s="3" t="s">
        <v>11</v>
      </c>
      <c r="AQ56" s="3" t="s">
        <v>11</v>
      </c>
      <c r="AR56" s="3" t="s">
        <v>11</v>
      </c>
      <c r="AS56" s="3" t="s">
        <v>11</v>
      </c>
      <c r="AT56" s="3" t="s">
        <v>11</v>
      </c>
      <c r="AU56" s="3" t="s">
        <v>11</v>
      </c>
      <c r="AV56" s="3" t="s">
        <v>11</v>
      </c>
      <c r="AW56" s="3" t="s">
        <v>11</v>
      </c>
      <c r="AX56" s="70" t="s">
        <v>690</v>
      </c>
      <c r="AY56" s="2" t="s">
        <v>729</v>
      </c>
      <c r="AZ56" s="2" t="s">
        <v>729</v>
      </c>
      <c r="BA56" s="3" t="s">
        <v>11</v>
      </c>
      <c r="BB56" s="3" t="s">
        <v>11</v>
      </c>
      <c r="BC56" s="81" t="s">
        <v>796</v>
      </c>
      <c r="BD56" s="81" t="s">
        <v>796</v>
      </c>
      <c r="BE56" s="81" t="s">
        <v>796</v>
      </c>
      <c r="BF56" s="81" t="s">
        <v>796</v>
      </c>
      <c r="BG56" s="81" t="s">
        <v>796</v>
      </c>
      <c r="BH56" s="81" t="s">
        <v>796</v>
      </c>
      <c r="BI56" s="68" t="s">
        <v>822</v>
      </c>
      <c r="BJ56" s="89" t="s">
        <v>837</v>
      </c>
      <c r="BK56" s="2" t="s">
        <v>41</v>
      </c>
      <c r="BL56" s="26" t="s">
        <v>1100</v>
      </c>
      <c r="BM56" s="90" t="s">
        <v>1037</v>
      </c>
      <c r="BN56" s="105" t="s">
        <v>1056</v>
      </c>
      <c r="BO56" s="90" t="s">
        <v>1068</v>
      </c>
      <c r="BP56" s="90" t="s">
        <v>1076</v>
      </c>
      <c r="BQ56" s="90" t="s">
        <v>1085</v>
      </c>
      <c r="BR56" s="117" t="s">
        <v>1401</v>
      </c>
      <c r="BS56" s="105" t="s">
        <v>11</v>
      </c>
      <c r="BT56" s="105" t="s">
        <v>1401</v>
      </c>
      <c r="BU56" s="156" t="s">
        <v>1445</v>
      </c>
      <c r="BV56" s="156" t="s">
        <v>1445</v>
      </c>
      <c r="BW56" s="115" t="s">
        <v>11</v>
      </c>
      <c r="BX56" s="156" t="s">
        <v>1445</v>
      </c>
      <c r="BY56" s="156" t="s">
        <v>1445</v>
      </c>
      <c r="BZ56" s="156" t="s">
        <v>1445</v>
      </c>
      <c r="CA56" s="41" t="s">
        <v>11</v>
      </c>
      <c r="CB56" s="41" t="s">
        <v>1592</v>
      </c>
      <c r="CC56" s="41" t="s">
        <v>1608</v>
      </c>
      <c r="CD56" s="41" t="s">
        <v>1625</v>
      </c>
      <c r="CE56" s="41" t="s">
        <v>11</v>
      </c>
      <c r="CF56" s="41" t="s">
        <v>11</v>
      </c>
      <c r="CG56" s="41" t="s">
        <v>1592</v>
      </c>
      <c r="CH56" s="41" t="s">
        <v>1672</v>
      </c>
      <c r="CI56" s="41" t="s">
        <v>1539</v>
      </c>
      <c r="CJ56" s="41" t="s">
        <v>1701</v>
      </c>
      <c r="CK56" s="41" t="s">
        <v>1701</v>
      </c>
      <c r="CL56" s="41" t="s">
        <v>1701</v>
      </c>
      <c r="CM56" s="41" t="s">
        <v>1539</v>
      </c>
      <c r="CN56" s="41" t="s">
        <v>1737</v>
      </c>
      <c r="CO56" s="41" t="s">
        <v>1539</v>
      </c>
      <c r="CP56" s="41" t="s">
        <v>1539</v>
      </c>
      <c r="CQ56" s="41" t="s">
        <v>1539</v>
      </c>
      <c r="CR56" s="41" t="s">
        <v>1785</v>
      </c>
      <c r="CS56" s="41" t="s">
        <v>1797</v>
      </c>
      <c r="CT56" s="41" t="s">
        <v>11</v>
      </c>
      <c r="CU56" s="41" t="s">
        <v>1608</v>
      </c>
      <c r="CV56" s="41" t="s">
        <v>1823</v>
      </c>
      <c r="CW56" s="41" t="s">
        <v>1832</v>
      </c>
      <c r="CX56" s="41" t="s">
        <v>1842</v>
      </c>
      <c r="CY56" s="41" t="s">
        <v>1850</v>
      </c>
      <c r="CZ56" s="41" t="s">
        <v>1859</v>
      </c>
      <c r="DA56" s="41" t="s">
        <v>1865</v>
      </c>
      <c r="DB56" s="41" t="s">
        <v>1876</v>
      </c>
      <c r="DC56" s="41" t="s">
        <v>1886</v>
      </c>
      <c r="DD56" s="41" t="s">
        <v>1896</v>
      </c>
      <c r="DE56" s="41" t="s">
        <v>1903</v>
      </c>
      <c r="DF56" s="41" t="s">
        <v>1909</v>
      </c>
      <c r="DG56" s="41" t="s">
        <v>1919</v>
      </c>
      <c r="DH56" s="41" t="s">
        <v>1927</v>
      </c>
      <c r="DI56" s="41" t="s">
        <v>1935</v>
      </c>
      <c r="DJ56" s="41" t="s">
        <v>1948</v>
      </c>
      <c r="DK56" s="41" t="s">
        <v>1962</v>
      </c>
      <c r="DL56" s="105" t="s">
        <v>1979</v>
      </c>
      <c r="DM56" s="41" t="s">
        <v>11</v>
      </c>
      <c r="DN56" s="41" t="s">
        <v>11</v>
      </c>
      <c r="DO56" s="178" t="s">
        <v>2082</v>
      </c>
      <c r="DP56" s="68" t="s">
        <v>2004</v>
      </c>
      <c r="DQ56" s="68" t="s">
        <v>2004</v>
      </c>
      <c r="DR56" s="68" t="s">
        <v>2004</v>
      </c>
      <c r="DS56" s="68" t="s">
        <v>2004</v>
      </c>
      <c r="DT56" s="68" t="s">
        <v>2004</v>
      </c>
      <c r="DU56" s="41" t="s">
        <v>2102</v>
      </c>
      <c r="DV56" s="105" t="s">
        <v>2111</v>
      </c>
      <c r="DW56" s="159" t="s">
        <v>2181</v>
      </c>
      <c r="DX56" s="159" t="s">
        <v>2198</v>
      </c>
      <c r="DY56" s="159" t="s">
        <v>2216</v>
      </c>
      <c r="DZ56" s="159" t="s">
        <v>2229</v>
      </c>
      <c r="EA56" s="159" t="s">
        <v>2242</v>
      </c>
      <c r="EB56" s="186" t="s">
        <v>2252</v>
      </c>
      <c r="EC56" s="159" t="s">
        <v>2268</v>
      </c>
      <c r="ED56" s="159" t="s">
        <v>2283</v>
      </c>
      <c r="EE56" s="159" t="s">
        <v>2283</v>
      </c>
      <c r="EF56" s="159" t="s">
        <v>2297</v>
      </c>
      <c r="EG56" s="159" t="s">
        <v>2297</v>
      </c>
      <c r="EH56" s="115" t="s">
        <v>2003</v>
      </c>
      <c r="EI56" s="155" t="s">
        <v>2327</v>
      </c>
      <c r="EJ56" s="185" t="s">
        <v>2327</v>
      </c>
      <c r="EK56" s="155" t="s">
        <v>2353</v>
      </c>
      <c r="EL56" s="185" t="s">
        <v>2327</v>
      </c>
      <c r="EM56" s="155" t="s">
        <v>2327</v>
      </c>
      <c r="EN56" s="194" t="s">
        <v>2398</v>
      </c>
      <c r="EO56" s="115" t="s">
        <v>2412</v>
      </c>
      <c r="EP56" s="115" t="s">
        <v>2428</v>
      </c>
      <c r="EQ56" s="115" t="s">
        <v>2443</v>
      </c>
      <c r="ER56" s="169" t="s">
        <v>2457</v>
      </c>
      <c r="ES56" s="115" t="s">
        <v>2198</v>
      </c>
      <c r="ET56" s="115" t="s">
        <v>2485</v>
      </c>
      <c r="EU56" s="195" t="s">
        <v>2501</v>
      </c>
      <c r="EV56" s="195" t="s">
        <v>2516</v>
      </c>
      <c r="EW56" s="169" t="s">
        <v>2533</v>
      </c>
      <c r="EX56" s="115" t="s">
        <v>11</v>
      </c>
      <c r="EY56" s="115" t="s">
        <v>2555</v>
      </c>
      <c r="EZ56" s="115" t="s">
        <v>2555</v>
      </c>
      <c r="FA56" s="41" t="s">
        <v>2593</v>
      </c>
      <c r="FB56" s="41" t="s">
        <v>2593</v>
      </c>
      <c r="FC56" s="41" t="s">
        <v>2593</v>
      </c>
      <c r="FD56" s="41" t="s">
        <v>2593</v>
      </c>
      <c r="FE56" s="41" t="s">
        <v>2327</v>
      </c>
      <c r="FF56" s="41" t="s">
        <v>2664</v>
      </c>
      <c r="FG56" s="41" t="s">
        <v>2664</v>
      </c>
      <c r="FH56" s="41" t="s">
        <v>2664</v>
      </c>
      <c r="FI56" s="41" t="s">
        <v>2692</v>
      </c>
      <c r="FJ56" s="41" t="s">
        <v>2327</v>
      </c>
      <c r="FK56" s="41" t="s">
        <v>2716</v>
      </c>
      <c r="FL56" s="41" t="s">
        <v>2725</v>
      </c>
      <c r="FM56" s="201" t="s">
        <v>2327</v>
      </c>
      <c r="FN56" s="155" t="s">
        <v>2751</v>
      </c>
      <c r="FO56" s="155" t="s">
        <v>2327</v>
      </c>
      <c r="FP56" s="155" t="s">
        <v>2327</v>
      </c>
      <c r="FQ56" s="155" t="s">
        <v>2790</v>
      </c>
      <c r="FR56" s="185" t="s">
        <v>2327</v>
      </c>
      <c r="FS56" s="155" t="s">
        <v>2327</v>
      </c>
      <c r="FT56" s="155" t="s">
        <v>2327</v>
      </c>
      <c r="FU56" s="69" t="s">
        <v>2840</v>
      </c>
      <c r="FV56" s="195" t="s">
        <v>2856</v>
      </c>
      <c r="FW56" s="195" t="s">
        <v>2868</v>
      </c>
      <c r="FX56" s="195" t="s">
        <v>2856</v>
      </c>
      <c r="FY56" s="206" t="s">
        <v>2890</v>
      </c>
      <c r="FZ56" s="115" t="s">
        <v>2003</v>
      </c>
      <c r="GA56" s="185" t="s">
        <v>2327</v>
      </c>
      <c r="GB56" s="185" t="s">
        <v>2327</v>
      </c>
      <c r="GC56" s="185" t="s">
        <v>2327</v>
      </c>
      <c r="GD56" s="155" t="s">
        <v>2327</v>
      </c>
      <c r="GE56" s="115" t="s">
        <v>2954</v>
      </c>
      <c r="GF56" s="185" t="s">
        <v>2327</v>
      </c>
      <c r="GG56" s="69" t="s">
        <v>2327</v>
      </c>
      <c r="GH56" s="185" t="s">
        <v>2327</v>
      </c>
      <c r="GI56" s="185" t="s">
        <v>2327</v>
      </c>
      <c r="GJ56" s="185" t="s">
        <v>2327</v>
      </c>
      <c r="GK56" s="185" t="s">
        <v>2327</v>
      </c>
      <c r="GL56" s="185" t="s">
        <v>2327</v>
      </c>
      <c r="GM56" s="115" t="s">
        <v>3061</v>
      </c>
      <c r="GN56" s="185" t="s">
        <v>2327</v>
      </c>
      <c r="GO56" s="186" t="s">
        <v>3092</v>
      </c>
      <c r="GP56" s="185" t="s">
        <v>3108</v>
      </c>
      <c r="GQ56" s="69" t="s">
        <v>3129</v>
      </c>
      <c r="GR56" s="185" t="s">
        <v>3143</v>
      </c>
      <c r="GS56" s="159" t="s">
        <v>3159</v>
      </c>
      <c r="GT56" s="185" t="s">
        <v>3174</v>
      </c>
      <c r="GU56" s="159" t="s">
        <v>3191</v>
      </c>
      <c r="GV56" s="115" t="s">
        <v>3210</v>
      </c>
      <c r="GW56" s="115" t="s">
        <v>3226</v>
      </c>
      <c r="GX56" s="169" t="s">
        <v>3241</v>
      </c>
      <c r="GY56" s="115" t="s">
        <v>3210</v>
      </c>
      <c r="GZ56" s="69" t="s">
        <v>3265</v>
      </c>
      <c r="HA56" s="220" t="s">
        <v>3275</v>
      </c>
      <c r="HB56" s="185" t="s">
        <v>2327</v>
      </c>
      <c r="HC56" s="159" t="s">
        <v>3301</v>
      </c>
      <c r="HD56" s="69" t="s">
        <v>3311</v>
      </c>
      <c r="HE56" s="185" t="s">
        <v>3328</v>
      </c>
      <c r="HF56" s="185" t="s">
        <v>3340</v>
      </c>
      <c r="HG56" s="155" t="s">
        <v>2327</v>
      </c>
      <c r="HH56" s="185" t="s">
        <v>3360</v>
      </c>
      <c r="HI56" s="201" t="s">
        <v>2327</v>
      </c>
      <c r="HJ56" s="194" t="s">
        <v>3385</v>
      </c>
      <c r="HK56" s="186" t="s">
        <v>3402</v>
      </c>
      <c r="HL56" s="185" t="s">
        <v>3418</v>
      </c>
      <c r="HM56" s="194" t="s">
        <v>3436</v>
      </c>
      <c r="HN56" s="194" t="s">
        <v>3516</v>
      </c>
      <c r="HO56" s="195" t="s">
        <v>3462</v>
      </c>
      <c r="HP56" s="195" t="s">
        <v>3465</v>
      </c>
      <c r="HQ56" s="195" t="s">
        <v>3465</v>
      </c>
      <c r="HR56" s="195" t="s">
        <v>3559</v>
      </c>
      <c r="HS56" s="215" t="s">
        <v>1672</v>
      </c>
      <c r="HT56" s="234" t="s">
        <v>3590</v>
      </c>
      <c r="HU56" s="195" t="s">
        <v>3465</v>
      </c>
      <c r="HV56" s="195" t="s">
        <v>3449</v>
      </c>
      <c r="HW56" s="215" t="s">
        <v>1672</v>
      </c>
      <c r="HX56" s="195" t="s">
        <v>3462</v>
      </c>
      <c r="HY56" s="183" t="s">
        <v>3634</v>
      </c>
      <c r="HZ56" s="215" t="s">
        <v>3646</v>
      </c>
      <c r="IA56" s="195" t="s">
        <v>3462</v>
      </c>
      <c r="IB56" s="185" t="s">
        <v>3492</v>
      </c>
      <c r="IC56" s="185" t="s">
        <v>3677</v>
      </c>
      <c r="ID56" s="234" t="s">
        <v>3693</v>
      </c>
      <c r="IE56" s="115" t="s">
        <v>3706</v>
      </c>
      <c r="IF56" s="169" t="s">
        <v>3486</v>
      </c>
      <c r="IG56" s="185" t="s">
        <v>2327</v>
      </c>
      <c r="IH56" s="185" t="s">
        <v>2327</v>
      </c>
      <c r="II56" s="185" t="s">
        <v>2327</v>
      </c>
      <c r="IJ56" s="194" t="s">
        <v>3766</v>
      </c>
      <c r="IK56" s="185" t="s">
        <v>3492</v>
      </c>
      <c r="IL56" s="169" t="s">
        <v>3486</v>
      </c>
      <c r="IM56" s="169" t="s">
        <v>3561</v>
      </c>
      <c r="IN56" s="169" t="s">
        <v>3486</v>
      </c>
      <c r="IO56" s="159" t="s">
        <v>3809</v>
      </c>
      <c r="IP56" s="159" t="s">
        <v>3822</v>
      </c>
      <c r="IQ56" s="185" t="s">
        <v>3492</v>
      </c>
      <c r="IR56" s="169" t="s">
        <v>3486</v>
      </c>
      <c r="IS56" s="159" t="s">
        <v>3854</v>
      </c>
      <c r="IT56" s="183" t="s">
        <v>3867</v>
      </c>
      <c r="IU56" s="185" t="s">
        <v>3879</v>
      </c>
      <c r="IV56" s="185" t="s">
        <v>3896</v>
      </c>
      <c r="IW56" s="185" t="s">
        <v>4001</v>
      </c>
      <c r="IX56" s="215"/>
      <c r="IY56" s="185" t="s">
        <v>3971</v>
      </c>
      <c r="IZ56" s="185" t="s">
        <v>3971</v>
      </c>
      <c r="JA56" s="215" t="s">
        <v>4022</v>
      </c>
      <c r="JB56" s="215" t="s">
        <v>4035</v>
      </c>
      <c r="JC56" s="215" t="s">
        <v>4035</v>
      </c>
      <c r="JD56" s="215" t="s">
        <v>4056</v>
      </c>
      <c r="JE56" s="215" t="s">
        <v>4056</v>
      </c>
      <c r="JF56" s="215" t="s">
        <v>4080</v>
      </c>
      <c r="JG56" s="215" t="s">
        <v>4095</v>
      </c>
      <c r="JH56" s="169" t="s">
        <v>4109</v>
      </c>
      <c r="JI56" s="215" t="s">
        <v>4123</v>
      </c>
      <c r="JJ56" s="250" t="s">
        <v>2327</v>
      </c>
      <c r="JK56" s="250" t="s">
        <v>2327</v>
      </c>
      <c r="JL56" s="250" t="s">
        <v>2327</v>
      </c>
      <c r="JM56" s="250" t="s">
        <v>2327</v>
      </c>
      <c r="JN56" s="115" t="s">
        <v>4179</v>
      </c>
      <c r="JO56" s="185" t="s">
        <v>4195</v>
      </c>
      <c r="JP56" s="215" t="s">
        <v>4228</v>
      </c>
      <c r="JQ56" s="185" t="s">
        <v>4195</v>
      </c>
      <c r="JR56" s="185" t="s">
        <v>4195</v>
      </c>
      <c r="JS56" s="215" t="s">
        <v>4261</v>
      </c>
      <c r="JT56" s="215" t="s">
        <v>4261</v>
      </c>
      <c r="JU56" s="215" t="s">
        <v>4261</v>
      </c>
      <c r="JV56" s="215" t="s">
        <v>4261</v>
      </c>
      <c r="JW56" s="215" t="s">
        <v>4261</v>
      </c>
      <c r="JX56" s="215" t="s">
        <v>4294</v>
      </c>
      <c r="JY56" s="215" t="s">
        <v>4294</v>
      </c>
      <c r="JZ56" s="215" t="s">
        <v>4294</v>
      </c>
      <c r="KA56" s="215" t="s">
        <v>4294</v>
      </c>
      <c r="KB56" s="215" t="s">
        <v>4294</v>
      </c>
      <c r="KC56" s="215" t="s">
        <v>4294</v>
      </c>
      <c r="KD56" s="215" t="s">
        <v>4329</v>
      </c>
      <c r="KE56" s="215" t="s">
        <v>4329</v>
      </c>
      <c r="KF56" s="215" t="s">
        <v>4329</v>
      </c>
      <c r="KG56" s="159" t="s">
        <v>4358</v>
      </c>
      <c r="KH56" s="159" t="s">
        <v>4376</v>
      </c>
      <c r="KI56" s="159" t="s">
        <v>4392</v>
      </c>
      <c r="KJ56" s="115" t="s">
        <v>4408</v>
      </c>
      <c r="KK56" s="115" t="s">
        <v>4408</v>
      </c>
      <c r="KL56" s="185" t="s">
        <v>4435</v>
      </c>
      <c r="KM56" s="195" t="s">
        <v>3462</v>
      </c>
      <c r="KN56" s="155" t="s">
        <v>4477</v>
      </c>
      <c r="KO56" s="115" t="s">
        <v>4495</v>
      </c>
      <c r="KP56" s="115" t="s">
        <v>4495</v>
      </c>
      <c r="KQ56" s="115" t="s">
        <v>4495</v>
      </c>
      <c r="KR56" s="169" t="s">
        <v>4525</v>
      </c>
      <c r="KS56" s="169" t="s">
        <v>4525</v>
      </c>
      <c r="KT56" s="169" t="s">
        <v>4525</v>
      </c>
      <c r="KU56" s="169" t="s">
        <v>4525</v>
      </c>
      <c r="KV56" s="169" t="s">
        <v>4525</v>
      </c>
      <c r="KW56" s="195" t="s">
        <v>4572</v>
      </c>
      <c r="KX56" s="195" t="s">
        <v>4572</v>
      </c>
      <c r="KY56" s="250" t="s">
        <v>4623</v>
      </c>
      <c r="KZ56" s="250" t="s">
        <v>4623</v>
      </c>
      <c r="LA56" s="187" t="s">
        <v>4672</v>
      </c>
      <c r="LB56" s="195" t="s">
        <v>4697</v>
      </c>
      <c r="LC56" s="115" t="s">
        <v>4709</v>
      </c>
      <c r="LD56" s="115" t="s">
        <v>4709</v>
      </c>
      <c r="LE56" s="115" t="s">
        <v>4709</v>
      </c>
      <c r="LF56" s="115" t="s">
        <v>4709</v>
      </c>
      <c r="LG56" s="115" t="s">
        <v>4827</v>
      </c>
      <c r="LH56" s="185" t="s">
        <v>4759</v>
      </c>
      <c r="LI56" s="185" t="s">
        <v>4769</v>
      </c>
      <c r="LJ56" s="185" t="s">
        <v>4779</v>
      </c>
      <c r="LK56" s="115" t="s">
        <v>4759</v>
      </c>
      <c r="LL56" s="187" t="s">
        <v>4759</v>
      </c>
      <c r="LM56" s="269" t="s">
        <v>4759</v>
      </c>
      <c r="LN56" s="269" t="s">
        <v>4759</v>
      </c>
      <c r="LO56" s="195" t="s">
        <v>3462</v>
      </c>
      <c r="LP56" s="185" t="s">
        <v>4860</v>
      </c>
      <c r="LQ56" s="282" t="s">
        <v>4683</v>
      </c>
      <c r="LR56" s="115" t="s">
        <v>4827</v>
      </c>
      <c r="LS56" s="185" t="s">
        <v>4880</v>
      </c>
      <c r="LT56" s="115" t="s">
        <v>4893</v>
      </c>
      <c r="LU56" s="115" t="s">
        <v>4904</v>
      </c>
      <c r="LV56" s="286" t="s">
        <v>4915</v>
      </c>
      <c r="LW56" s="115" t="s">
        <v>4915</v>
      </c>
      <c r="LX56" s="115" t="s">
        <v>4934</v>
      </c>
      <c r="LY56" s="185" t="s">
        <v>4950</v>
      </c>
      <c r="LZ56" s="185" t="s">
        <v>4962</v>
      </c>
      <c r="MA56" s="185" t="s">
        <v>4962</v>
      </c>
      <c r="MB56" s="115" t="s">
        <v>4990</v>
      </c>
      <c r="MC56" s="115" t="s">
        <v>5003</v>
      </c>
      <c r="MD56" s="206" t="s">
        <v>5026</v>
      </c>
    </row>
    <row r="57" spans="1:342" ht="14.4" x14ac:dyDescent="0.3">
      <c r="A57" s="92">
        <v>54</v>
      </c>
      <c r="B57" s="312"/>
      <c r="C57" s="56" t="s">
        <v>491</v>
      </c>
      <c r="D57" s="40" t="s">
        <v>442</v>
      </c>
      <c r="E57" s="2" t="s">
        <v>854</v>
      </c>
      <c r="F57" s="2" t="s">
        <v>797</v>
      </c>
      <c r="G57" s="2" t="s">
        <v>797</v>
      </c>
      <c r="H57" s="2" t="s">
        <v>855</v>
      </c>
      <c r="I57" s="2" t="s">
        <v>855</v>
      </c>
      <c r="J57" s="2" t="s">
        <v>855</v>
      </c>
      <c r="K57" s="2" t="s">
        <v>797</v>
      </c>
      <c r="L57" s="2" t="s">
        <v>855</v>
      </c>
      <c r="M57" s="2" t="s">
        <v>855</v>
      </c>
      <c r="N57" s="2" t="s">
        <v>855</v>
      </c>
      <c r="O57" s="2" t="s">
        <v>855</v>
      </c>
      <c r="P57" s="2" t="s">
        <v>797</v>
      </c>
      <c r="Q57" s="2" t="s">
        <v>855</v>
      </c>
      <c r="R57" s="2" t="s">
        <v>854</v>
      </c>
      <c r="S57" s="2" t="s">
        <v>854</v>
      </c>
      <c r="T57" s="2" t="s">
        <v>854</v>
      </c>
      <c r="U57" s="2" t="s">
        <v>855</v>
      </c>
      <c r="V57" s="2" t="s">
        <v>855</v>
      </c>
      <c r="W57" s="2" t="s">
        <v>855</v>
      </c>
      <c r="X57" s="2" t="s">
        <v>855</v>
      </c>
      <c r="Y57" s="2" t="s">
        <v>855</v>
      </c>
      <c r="Z57" s="2" t="s">
        <v>855</v>
      </c>
      <c r="AA57" s="2" t="s">
        <v>855</v>
      </c>
      <c r="AB57" s="2" t="s">
        <v>855</v>
      </c>
      <c r="AC57" s="2" t="s">
        <v>855</v>
      </c>
      <c r="AD57" s="2" t="s">
        <v>855</v>
      </c>
      <c r="AE57" s="2" t="s">
        <v>855</v>
      </c>
      <c r="AF57" s="2" t="s">
        <v>797</v>
      </c>
      <c r="AG57" s="2" t="s">
        <v>797</v>
      </c>
      <c r="AH57" s="2" t="s">
        <v>797</v>
      </c>
      <c r="AI57" s="2" t="s">
        <v>855</v>
      </c>
      <c r="AJ57" s="2" t="s">
        <v>855</v>
      </c>
      <c r="AK57" s="2" t="s">
        <v>855</v>
      </c>
      <c r="AL57" s="2" t="s">
        <v>855</v>
      </c>
      <c r="AM57" s="2" t="s">
        <v>855</v>
      </c>
      <c r="AN57" s="2" t="s">
        <v>855</v>
      </c>
      <c r="AO57" s="2" t="s">
        <v>854</v>
      </c>
      <c r="AP57" s="2" t="s">
        <v>855</v>
      </c>
      <c r="AQ57" s="2" t="s">
        <v>797</v>
      </c>
      <c r="AR57" s="2" t="s">
        <v>797</v>
      </c>
      <c r="AS57" s="2" t="s">
        <v>797</v>
      </c>
      <c r="AT57" s="2" t="s">
        <v>797</v>
      </c>
      <c r="AU57" s="2" t="s">
        <v>855</v>
      </c>
      <c r="AV57" s="2" t="s">
        <v>855</v>
      </c>
      <c r="AW57" s="2" t="s">
        <v>855</v>
      </c>
      <c r="AX57" s="12" t="s">
        <v>689</v>
      </c>
      <c r="AY57" s="2" t="s">
        <v>797</v>
      </c>
      <c r="AZ57" s="2" t="s">
        <v>797</v>
      </c>
      <c r="BA57" s="2" t="s">
        <v>855</v>
      </c>
      <c r="BB57" s="2" t="s">
        <v>855</v>
      </c>
      <c r="BC57" s="12" t="s">
        <v>797</v>
      </c>
      <c r="BD57" s="12" t="s">
        <v>797</v>
      </c>
      <c r="BE57" s="12" t="s">
        <v>797</v>
      </c>
      <c r="BF57" s="12" t="s">
        <v>797</v>
      </c>
      <c r="BG57" s="12" t="s">
        <v>797</v>
      </c>
      <c r="BH57" s="12" t="s">
        <v>797</v>
      </c>
      <c r="BI57" s="12" t="s">
        <v>797</v>
      </c>
      <c r="BJ57" s="12" t="s">
        <v>797</v>
      </c>
      <c r="BK57" s="2" t="s">
        <v>1118</v>
      </c>
      <c r="BL57" s="12" t="s">
        <v>1101</v>
      </c>
      <c r="BM57" s="12" t="s">
        <v>1040</v>
      </c>
      <c r="BN57" s="12" t="s">
        <v>1040</v>
      </c>
      <c r="BO57" s="12" t="s">
        <v>1040</v>
      </c>
      <c r="BP57" s="12" t="s">
        <v>1040</v>
      </c>
      <c r="BQ57" s="12" t="s">
        <v>1040</v>
      </c>
      <c r="BR57" s="117" t="s">
        <v>1402</v>
      </c>
      <c r="BS57" s="105" t="s">
        <v>855</v>
      </c>
      <c r="BT57" s="105" t="s">
        <v>1402</v>
      </c>
      <c r="BU57" s="115" t="s">
        <v>855</v>
      </c>
      <c r="BV57" s="115" t="s">
        <v>855</v>
      </c>
      <c r="BW57" s="115" t="s">
        <v>1402</v>
      </c>
      <c r="BX57" s="115" t="s">
        <v>855</v>
      </c>
      <c r="BY57" s="115" t="s">
        <v>855</v>
      </c>
      <c r="BZ57" s="115" t="s">
        <v>855</v>
      </c>
      <c r="CA57" s="41" t="s">
        <v>1572</v>
      </c>
      <c r="CB57" s="41" t="s">
        <v>1593</v>
      </c>
      <c r="CC57" s="41" t="s">
        <v>1609</v>
      </c>
      <c r="CD57" s="41" t="s">
        <v>1626</v>
      </c>
      <c r="CE57" s="41" t="s">
        <v>1572</v>
      </c>
      <c r="CF57" s="41" t="s">
        <v>1572</v>
      </c>
      <c r="CG57" s="41" t="s">
        <v>1593</v>
      </c>
      <c r="CH57" s="41" t="s">
        <v>797</v>
      </c>
      <c r="CI57" s="41" t="s">
        <v>1689</v>
      </c>
      <c r="CJ57" s="41" t="s">
        <v>1609</v>
      </c>
      <c r="CK57" s="41" t="s">
        <v>1609</v>
      </c>
      <c r="CL57" s="41" t="s">
        <v>1609</v>
      </c>
      <c r="CM57" s="41" t="s">
        <v>1689</v>
      </c>
      <c r="CN57" s="41" t="s">
        <v>1626</v>
      </c>
      <c r="CO57" s="41" t="s">
        <v>1689</v>
      </c>
      <c r="CP57" s="41" t="s">
        <v>1689</v>
      </c>
      <c r="CQ57" s="41" t="s">
        <v>1689</v>
      </c>
      <c r="CR57" s="41" t="s">
        <v>1626</v>
      </c>
      <c r="CS57" s="41" t="s">
        <v>1572</v>
      </c>
      <c r="CT57" s="41" t="s">
        <v>1572</v>
      </c>
      <c r="CU57" s="41" t="s">
        <v>1609</v>
      </c>
      <c r="CV57" s="41" t="s">
        <v>1626</v>
      </c>
      <c r="CW57" s="41" t="s">
        <v>855</v>
      </c>
      <c r="CX57" s="41" t="s">
        <v>855</v>
      </c>
      <c r="CY57" s="41" t="s">
        <v>855</v>
      </c>
      <c r="CZ57" s="41" t="s">
        <v>855</v>
      </c>
      <c r="DA57" s="41" t="s">
        <v>855</v>
      </c>
      <c r="DB57" s="41" t="s">
        <v>855</v>
      </c>
      <c r="DC57" s="41" t="s">
        <v>855</v>
      </c>
      <c r="DD57" s="41" t="s">
        <v>855</v>
      </c>
      <c r="DE57" s="41" t="s">
        <v>855</v>
      </c>
      <c r="DF57" s="41" t="s">
        <v>855</v>
      </c>
      <c r="DG57" s="41" t="s">
        <v>855</v>
      </c>
      <c r="DH57" s="41" t="s">
        <v>855</v>
      </c>
      <c r="DI57" s="41" t="s">
        <v>855</v>
      </c>
      <c r="DJ57" s="41" t="s">
        <v>1949</v>
      </c>
      <c r="DK57" s="41" t="s">
        <v>1949</v>
      </c>
      <c r="DL57" s="41" t="s">
        <v>1980</v>
      </c>
      <c r="DM57" s="41" t="s">
        <v>855</v>
      </c>
      <c r="DN57" s="41" t="s">
        <v>855</v>
      </c>
      <c r="DO57" s="112" t="s">
        <v>2083</v>
      </c>
      <c r="DP57" s="105" t="s">
        <v>1155</v>
      </c>
      <c r="DQ57" s="105" t="s">
        <v>1155</v>
      </c>
      <c r="DR57" s="105" t="s">
        <v>1155</v>
      </c>
      <c r="DS57" s="105" t="s">
        <v>1155</v>
      </c>
      <c r="DT57" s="105" t="s">
        <v>1155</v>
      </c>
      <c r="DU57" s="41" t="s">
        <v>1593</v>
      </c>
      <c r="DV57" s="105" t="s">
        <v>1980</v>
      </c>
      <c r="DW57" s="115" t="s">
        <v>2182</v>
      </c>
      <c r="DX57" s="115" t="s">
        <v>2199</v>
      </c>
      <c r="DY57" s="115" t="s">
        <v>2199</v>
      </c>
      <c r="DZ57" s="115" t="s">
        <v>2199</v>
      </c>
      <c r="EA57" s="115" t="s">
        <v>2199</v>
      </c>
      <c r="EB57" s="115" t="s">
        <v>2253</v>
      </c>
      <c r="EC57" s="115" t="s">
        <v>2199</v>
      </c>
      <c r="ED57" s="115" t="s">
        <v>1609</v>
      </c>
      <c r="EE57" s="115" t="s">
        <v>1609</v>
      </c>
      <c r="EF57" s="115" t="s">
        <v>1609</v>
      </c>
      <c r="EG57" s="115" t="s">
        <v>1609</v>
      </c>
      <c r="EH57" s="115" t="s">
        <v>2312</v>
      </c>
      <c r="EI57" s="155" t="s">
        <v>2327</v>
      </c>
      <c r="EJ57" s="185" t="s">
        <v>2327</v>
      </c>
      <c r="EK57" s="155" t="s">
        <v>2354</v>
      </c>
      <c r="EL57" s="185" t="s">
        <v>2327</v>
      </c>
      <c r="EM57" s="155" t="s">
        <v>2327</v>
      </c>
      <c r="EN57" s="115" t="s">
        <v>2253</v>
      </c>
      <c r="EO57" s="115" t="s">
        <v>2413</v>
      </c>
      <c r="EP57" s="115" t="s">
        <v>2413</v>
      </c>
      <c r="EQ57" s="115" t="s">
        <v>2444</v>
      </c>
      <c r="ER57" s="115" t="s">
        <v>2458</v>
      </c>
      <c r="ES57" s="115" t="s">
        <v>2199</v>
      </c>
      <c r="ET57" s="115" t="s">
        <v>2413</v>
      </c>
      <c r="EU57" s="115" t="s">
        <v>2502</v>
      </c>
      <c r="EV57" s="115" t="s">
        <v>2517</v>
      </c>
      <c r="EW57" s="115" t="s">
        <v>2534</v>
      </c>
      <c r="EX57" s="115" t="s">
        <v>855</v>
      </c>
      <c r="EY57" s="115" t="s">
        <v>2556</v>
      </c>
      <c r="EZ57" s="115" t="s">
        <v>2556</v>
      </c>
      <c r="FA57" s="41" t="s">
        <v>1609</v>
      </c>
      <c r="FB57" s="41" t="s">
        <v>1609</v>
      </c>
      <c r="FC57" s="41" t="s">
        <v>1609</v>
      </c>
      <c r="FD57" s="41" t="s">
        <v>1609</v>
      </c>
      <c r="FE57" s="41" t="s">
        <v>2327</v>
      </c>
      <c r="FF57" s="41" t="s">
        <v>2665</v>
      </c>
      <c r="FG57" s="41" t="s">
        <v>2665</v>
      </c>
      <c r="FH57" s="41" t="s">
        <v>2665</v>
      </c>
      <c r="FI57" s="41" t="s">
        <v>2693</v>
      </c>
      <c r="FJ57" s="41" t="s">
        <v>2327</v>
      </c>
      <c r="FK57" s="41" t="s">
        <v>2717</v>
      </c>
      <c r="FL57" s="41" t="s">
        <v>2717</v>
      </c>
      <c r="FM57" s="201" t="s">
        <v>2327</v>
      </c>
      <c r="FN57" s="155" t="s">
        <v>2752</v>
      </c>
      <c r="FO57" s="155" t="s">
        <v>2327</v>
      </c>
      <c r="FP57" s="155" t="s">
        <v>2327</v>
      </c>
      <c r="FQ57" s="155" t="s">
        <v>2791</v>
      </c>
      <c r="FR57" s="185" t="s">
        <v>2327</v>
      </c>
      <c r="FS57" s="155" t="s">
        <v>2327</v>
      </c>
      <c r="FT57" s="155" t="s">
        <v>2327</v>
      </c>
      <c r="FU57" s="69" t="s">
        <v>2841</v>
      </c>
      <c r="FV57" s="115" t="s">
        <v>2857</v>
      </c>
      <c r="FW57" s="115" t="s">
        <v>2857</v>
      </c>
      <c r="FX57" s="115" t="s">
        <v>1572</v>
      </c>
      <c r="FY57" s="115" t="s">
        <v>2083</v>
      </c>
      <c r="FZ57" s="115" t="s">
        <v>2312</v>
      </c>
      <c r="GA57" s="115" t="s">
        <v>2912</v>
      </c>
      <c r="GB57" s="115" t="s">
        <v>2912</v>
      </c>
      <c r="GC57" s="115" t="s">
        <v>2912</v>
      </c>
      <c r="GD57" s="155" t="s">
        <v>2327</v>
      </c>
      <c r="GE57" s="115" t="s">
        <v>2312</v>
      </c>
      <c r="GF57" s="185" t="s">
        <v>2327</v>
      </c>
      <c r="GG57" s="69" t="s">
        <v>2327</v>
      </c>
      <c r="GH57" s="185" t="s">
        <v>2327</v>
      </c>
      <c r="GI57" s="185" t="s">
        <v>2327</v>
      </c>
      <c r="GJ57" s="185" t="s">
        <v>2327</v>
      </c>
      <c r="GK57" s="185" t="s">
        <v>2327</v>
      </c>
      <c r="GL57" s="185" t="s">
        <v>2327</v>
      </c>
      <c r="GM57" s="115" t="s">
        <v>2083</v>
      </c>
      <c r="GN57" s="115" t="s">
        <v>3074</v>
      </c>
      <c r="GO57" s="115" t="s">
        <v>3093</v>
      </c>
      <c r="GP57" s="185" t="s">
        <v>3109</v>
      </c>
      <c r="GQ57" s="69" t="s">
        <v>3130</v>
      </c>
      <c r="GR57" s="185" t="s">
        <v>3144</v>
      </c>
      <c r="GS57" s="159" t="s">
        <v>3160</v>
      </c>
      <c r="GT57" s="185" t="s">
        <v>3175</v>
      </c>
      <c r="GU57" s="159" t="s">
        <v>3192</v>
      </c>
      <c r="GV57" s="115" t="s">
        <v>3211</v>
      </c>
      <c r="GW57" s="115" t="s">
        <v>3227</v>
      </c>
      <c r="GX57" s="115" t="s">
        <v>3242</v>
      </c>
      <c r="GY57" s="115" t="s">
        <v>3211</v>
      </c>
      <c r="GZ57" s="69" t="s">
        <v>3266</v>
      </c>
      <c r="HA57" s="159" t="s">
        <v>3276</v>
      </c>
      <c r="HB57" s="185" t="s">
        <v>2327</v>
      </c>
      <c r="HC57" s="159" t="s">
        <v>3276</v>
      </c>
      <c r="HD57" s="69" t="s">
        <v>3266</v>
      </c>
      <c r="HE57" s="185" t="s">
        <v>3329</v>
      </c>
      <c r="HF57" s="185" t="s">
        <v>3329</v>
      </c>
      <c r="HG57" s="155" t="s">
        <v>2327</v>
      </c>
      <c r="HH57" s="185" t="s">
        <v>3361</v>
      </c>
      <c r="HI57" s="201" t="s">
        <v>2327</v>
      </c>
      <c r="HJ57" s="115" t="s">
        <v>3386</v>
      </c>
      <c r="HK57" s="115" t="s">
        <v>3386</v>
      </c>
      <c r="HL57" s="115" t="s">
        <v>3386</v>
      </c>
      <c r="HM57" s="115" t="s">
        <v>3386</v>
      </c>
      <c r="HN57" s="115" t="s">
        <v>3517</v>
      </c>
      <c r="HO57" s="115" t="s">
        <v>3528</v>
      </c>
      <c r="HP57" s="115" t="s">
        <v>3528</v>
      </c>
      <c r="HQ57" s="115" t="s">
        <v>3528</v>
      </c>
      <c r="HR57" s="115" t="s">
        <v>3560</v>
      </c>
      <c r="HS57" s="159" t="s">
        <v>3574</v>
      </c>
      <c r="HT57" s="185" t="s">
        <v>3591</v>
      </c>
      <c r="HU57" s="115" t="s">
        <v>3528</v>
      </c>
      <c r="HV57" s="115" t="s">
        <v>2857</v>
      </c>
      <c r="HW57" s="159" t="s">
        <v>3574</v>
      </c>
      <c r="HX57" s="115" t="s">
        <v>3528</v>
      </c>
      <c r="HY57" s="183" t="s">
        <v>3635</v>
      </c>
      <c r="HZ57" s="115" t="s">
        <v>3647</v>
      </c>
      <c r="IA57" s="115" t="s">
        <v>3528</v>
      </c>
      <c r="IB57" s="115" t="s">
        <v>3666</v>
      </c>
      <c r="IC57" s="185" t="s">
        <v>2312</v>
      </c>
      <c r="ID57" s="185" t="s">
        <v>3361</v>
      </c>
      <c r="IE57" s="115" t="s">
        <v>3707</v>
      </c>
      <c r="IF57" s="185" t="s">
        <v>3242</v>
      </c>
      <c r="IG57" s="185" t="s">
        <v>2327</v>
      </c>
      <c r="IH57" s="185" t="s">
        <v>2327</v>
      </c>
      <c r="II57" s="185" t="s">
        <v>2327</v>
      </c>
      <c r="IJ57" s="185" t="s">
        <v>3767</v>
      </c>
      <c r="IK57" s="185" t="s">
        <v>3666</v>
      </c>
      <c r="IL57" s="185" t="s">
        <v>3242</v>
      </c>
      <c r="IM57" s="115" t="s">
        <v>3242</v>
      </c>
      <c r="IN57" s="115" t="s">
        <v>3242</v>
      </c>
      <c r="IO57" s="159" t="s">
        <v>3810</v>
      </c>
      <c r="IP57" s="159" t="s">
        <v>3810</v>
      </c>
      <c r="IQ57" s="115" t="s">
        <v>3666</v>
      </c>
      <c r="IR57" s="115" t="s">
        <v>3242</v>
      </c>
      <c r="IS57" s="159" t="s">
        <v>3855</v>
      </c>
      <c r="IT57" s="159" t="s">
        <v>3868</v>
      </c>
      <c r="IU57" s="115" t="s">
        <v>3880</v>
      </c>
      <c r="IV57" s="115" t="s">
        <v>3897</v>
      </c>
      <c r="IW57" s="159" t="s">
        <v>4002</v>
      </c>
      <c r="IX57" s="159"/>
      <c r="IY57" s="115" t="s">
        <v>3666</v>
      </c>
      <c r="IZ57" s="115" t="s">
        <v>3666</v>
      </c>
      <c r="JA57" s="159" t="s">
        <v>4023</v>
      </c>
      <c r="JB57" s="159" t="s">
        <v>4036</v>
      </c>
      <c r="JC57" s="159" t="s">
        <v>4036</v>
      </c>
      <c r="JD57" s="159" t="s">
        <v>4036</v>
      </c>
      <c r="JE57" s="159" t="s">
        <v>4036</v>
      </c>
      <c r="JF57" s="159" t="s">
        <v>4081</v>
      </c>
      <c r="JG57" s="159" t="s">
        <v>4096</v>
      </c>
      <c r="JH57" s="159" t="s">
        <v>4110</v>
      </c>
      <c r="JI57" s="159" t="s">
        <v>4124</v>
      </c>
      <c r="JJ57" s="250" t="s">
        <v>2327</v>
      </c>
      <c r="JK57" s="250" t="s">
        <v>2327</v>
      </c>
      <c r="JL57" s="250" t="s">
        <v>2327</v>
      </c>
      <c r="JM57" s="250" t="s">
        <v>2327</v>
      </c>
      <c r="JN57" s="115" t="s">
        <v>4180</v>
      </c>
      <c r="JO57" s="115" t="s">
        <v>4196</v>
      </c>
      <c r="JP57" s="159" t="s">
        <v>4124</v>
      </c>
      <c r="JQ57" s="115" t="s">
        <v>4196</v>
      </c>
      <c r="JR57" s="115" t="s">
        <v>4196</v>
      </c>
      <c r="JS57" s="159" t="s">
        <v>4124</v>
      </c>
      <c r="JT57" s="159" t="s">
        <v>4124</v>
      </c>
      <c r="JU57" s="159" t="s">
        <v>4124</v>
      </c>
      <c r="JV57" s="159" t="s">
        <v>4124</v>
      </c>
      <c r="JW57" s="159" t="s">
        <v>4124</v>
      </c>
      <c r="JX57" s="159" t="s">
        <v>4294</v>
      </c>
      <c r="JY57" s="159" t="s">
        <v>4294</v>
      </c>
      <c r="JZ57" s="159" t="s">
        <v>4294</v>
      </c>
      <c r="KA57" s="159" t="s">
        <v>4294</v>
      </c>
      <c r="KB57" s="159" t="s">
        <v>4294</v>
      </c>
      <c r="KC57" s="159" t="s">
        <v>4294</v>
      </c>
      <c r="KD57" s="159" t="s">
        <v>4124</v>
      </c>
      <c r="KE57" s="159" t="s">
        <v>4124</v>
      </c>
      <c r="KF57" s="159" t="s">
        <v>4124</v>
      </c>
      <c r="KG57" s="159" t="s">
        <v>4359</v>
      </c>
      <c r="KH57" s="159" t="s">
        <v>4377</v>
      </c>
      <c r="KI57" s="159" t="s">
        <v>4393</v>
      </c>
      <c r="KJ57" s="115" t="s">
        <v>4409</v>
      </c>
      <c r="KK57" s="115" t="s">
        <v>4409</v>
      </c>
      <c r="KL57" s="115" t="s">
        <v>1609</v>
      </c>
      <c r="KM57" s="115" t="s">
        <v>3528</v>
      </c>
      <c r="KN57" s="155" t="s">
        <v>4478</v>
      </c>
      <c r="KO57" s="115" t="s">
        <v>4496</v>
      </c>
      <c r="KP57" s="115" t="s">
        <v>4496</v>
      </c>
      <c r="KQ57" s="115" t="s">
        <v>4496</v>
      </c>
      <c r="KR57" s="115" t="s">
        <v>1155</v>
      </c>
      <c r="KS57" s="115" t="s">
        <v>1155</v>
      </c>
      <c r="KT57" s="115" t="s">
        <v>1155</v>
      </c>
      <c r="KU57" s="115" t="s">
        <v>1155</v>
      </c>
      <c r="KV57" s="115" t="s">
        <v>1155</v>
      </c>
      <c r="KW57" s="115" t="s">
        <v>4124</v>
      </c>
      <c r="KX57" s="115" t="s">
        <v>4124</v>
      </c>
      <c r="KY57" s="245" t="s">
        <v>1609</v>
      </c>
      <c r="KZ57" s="245" t="s">
        <v>1609</v>
      </c>
      <c r="LA57" s="187" t="s">
        <v>1609</v>
      </c>
      <c r="LB57" s="115" t="s">
        <v>4124</v>
      </c>
      <c r="LC57" s="115" t="s">
        <v>4710</v>
      </c>
      <c r="LD57" s="115" t="s">
        <v>4710</v>
      </c>
      <c r="LE57" s="115" t="s">
        <v>4710</v>
      </c>
      <c r="LF57" s="115" t="s">
        <v>4710</v>
      </c>
      <c r="LG57" s="115" t="s">
        <v>4828</v>
      </c>
      <c r="LH57" s="115" t="s">
        <v>1609</v>
      </c>
      <c r="LI57" s="115" t="s">
        <v>4770</v>
      </c>
      <c r="LJ57" s="115" t="s">
        <v>1609</v>
      </c>
      <c r="LK57" s="115" t="s">
        <v>1609</v>
      </c>
      <c r="LL57" s="187" t="s">
        <v>1609</v>
      </c>
      <c r="LM57" s="265" t="s">
        <v>1609</v>
      </c>
      <c r="LN57" s="265" t="s">
        <v>1609</v>
      </c>
      <c r="LO57" s="115" t="s">
        <v>3528</v>
      </c>
      <c r="LP57" s="115" t="s">
        <v>4861</v>
      </c>
      <c r="LQ57" s="263" t="s">
        <v>4868</v>
      </c>
      <c r="LR57" s="115" t="s">
        <v>4828</v>
      </c>
      <c r="LS57" s="115" t="s">
        <v>4881</v>
      </c>
      <c r="LT57" s="115" t="s">
        <v>4894</v>
      </c>
      <c r="LU57" s="115" t="s">
        <v>4905</v>
      </c>
      <c r="LV57" s="286" t="s">
        <v>1609</v>
      </c>
      <c r="LW57" s="115" t="s">
        <v>1609</v>
      </c>
      <c r="LX57" s="115" t="s">
        <v>1609</v>
      </c>
      <c r="LY57" s="115" t="s">
        <v>3666</v>
      </c>
      <c r="LZ57" s="115" t="s">
        <v>1155</v>
      </c>
      <c r="MA57" s="115" t="s">
        <v>1155</v>
      </c>
      <c r="MB57" s="115" t="s">
        <v>3897</v>
      </c>
      <c r="MC57" s="115" t="s">
        <v>5004</v>
      </c>
      <c r="MD57" s="115" t="s">
        <v>5027</v>
      </c>
    </row>
    <row r="58" spans="1:342" ht="14.4" x14ac:dyDescent="0.3">
      <c r="A58" s="92">
        <v>55</v>
      </c>
      <c r="B58" s="312"/>
      <c r="C58" s="13" t="s">
        <v>444</v>
      </c>
      <c r="D58" s="29"/>
      <c r="E58" s="7" t="s">
        <v>28</v>
      </c>
      <c r="F58" s="7" t="s">
        <v>42</v>
      </c>
      <c r="G58" s="3" t="s">
        <v>11</v>
      </c>
      <c r="H58" s="2" t="s">
        <v>11</v>
      </c>
      <c r="I58" s="11" t="s">
        <v>111</v>
      </c>
      <c r="J58" s="2" t="s">
        <v>268</v>
      </c>
      <c r="K58" s="4" t="s">
        <v>44</v>
      </c>
      <c r="L58" s="5" t="s">
        <v>82</v>
      </c>
      <c r="M58" s="5" t="s">
        <v>91</v>
      </c>
      <c r="N58" s="5" t="s">
        <v>110</v>
      </c>
      <c r="O58" s="5" t="s">
        <v>126</v>
      </c>
      <c r="P58" s="5" t="s">
        <v>137</v>
      </c>
      <c r="Q58" s="5" t="s">
        <v>126</v>
      </c>
      <c r="R58" s="5" t="s">
        <v>164</v>
      </c>
      <c r="S58" s="2" t="s">
        <v>11</v>
      </c>
      <c r="T58" s="2" t="s">
        <v>11</v>
      </c>
      <c r="U58" s="7" t="s">
        <v>28</v>
      </c>
      <c r="V58" s="46" t="s">
        <v>289</v>
      </c>
      <c r="W58" s="7" t="s">
        <v>288</v>
      </c>
      <c r="X58" s="5" t="s">
        <v>82</v>
      </c>
      <c r="Y58" s="5" t="s">
        <v>82</v>
      </c>
      <c r="Z58" s="5" t="s">
        <v>82</v>
      </c>
      <c r="AA58" s="38" t="s">
        <v>332</v>
      </c>
      <c r="AB58" s="1" t="s">
        <v>353</v>
      </c>
      <c r="AC58" s="1" t="s">
        <v>353</v>
      </c>
      <c r="AD58" s="1" t="s">
        <v>11</v>
      </c>
      <c r="AE58" s="1" t="s">
        <v>384</v>
      </c>
      <c r="AF58" s="1" t="s">
        <v>409</v>
      </c>
      <c r="AG58" s="1" t="s">
        <v>408</v>
      </c>
      <c r="AH58" s="1" t="s">
        <v>408</v>
      </c>
      <c r="AI58" s="2" t="s">
        <v>516</v>
      </c>
      <c r="AJ58" s="2" t="s">
        <v>548</v>
      </c>
      <c r="AK58" s="2" t="s">
        <v>552</v>
      </c>
      <c r="AL58" s="2" t="s">
        <v>553</v>
      </c>
      <c r="AM58" s="2" t="s">
        <v>547</v>
      </c>
      <c r="AN58" s="60" t="s">
        <v>572</v>
      </c>
      <c r="AO58" s="60" t="s">
        <v>572</v>
      </c>
      <c r="AP58" s="12" t="s">
        <v>595</v>
      </c>
      <c r="AQ58" s="63" t="s">
        <v>610</v>
      </c>
      <c r="AR58" s="1" t="s">
        <v>11</v>
      </c>
      <c r="AS58" s="1" t="s">
        <v>11</v>
      </c>
      <c r="AT58" s="2" t="s">
        <v>640</v>
      </c>
      <c r="AU58" s="2" t="s">
        <v>662</v>
      </c>
      <c r="AV58" s="2" t="s">
        <v>664</v>
      </c>
      <c r="AW58" s="2" t="s">
        <v>666</v>
      </c>
      <c r="AX58" s="70" t="s">
        <v>681</v>
      </c>
      <c r="AY58" s="12" t="s">
        <v>731</v>
      </c>
      <c r="AZ58" s="12" t="s">
        <v>731</v>
      </c>
      <c r="BA58" s="2" t="s">
        <v>752</v>
      </c>
      <c r="BB58" s="2" t="s">
        <v>764</v>
      </c>
      <c r="BC58" s="5" t="s">
        <v>11</v>
      </c>
      <c r="BD58" s="5" t="s">
        <v>11</v>
      </c>
      <c r="BE58" s="5" t="s">
        <v>11</v>
      </c>
      <c r="BF58" s="5" t="s">
        <v>11</v>
      </c>
      <c r="BG58" s="5" t="s">
        <v>11</v>
      </c>
      <c r="BH58" s="5" t="s">
        <v>11</v>
      </c>
      <c r="BI58" s="72" t="s">
        <v>829</v>
      </c>
      <c r="BJ58" s="91" t="s">
        <v>838</v>
      </c>
      <c r="BK58" s="90" t="s">
        <v>42</v>
      </c>
      <c r="BL58" s="26" t="s">
        <v>1100</v>
      </c>
      <c r="BM58" s="105" t="s">
        <v>1039</v>
      </c>
      <c r="BN58" s="105" t="s">
        <v>1057</v>
      </c>
      <c r="BO58" s="114" t="s">
        <v>1069</v>
      </c>
      <c r="BP58" s="114" t="s">
        <v>1077</v>
      </c>
      <c r="BQ58" s="105" t="s">
        <v>1086</v>
      </c>
      <c r="BR58" s="117" t="s">
        <v>1381</v>
      </c>
      <c r="BS58" s="105" t="s">
        <v>1419</v>
      </c>
      <c r="BT58" s="105" t="s">
        <v>1381</v>
      </c>
      <c r="BU58" s="156" t="s">
        <v>1381</v>
      </c>
      <c r="BV58" s="156" t="s">
        <v>1381</v>
      </c>
      <c r="BW58" s="115" t="s">
        <v>1472</v>
      </c>
      <c r="BX58" s="156" t="s">
        <v>1381</v>
      </c>
      <c r="BY58" s="156" t="s">
        <v>1381</v>
      </c>
      <c r="BZ58" s="156" t="s">
        <v>1381</v>
      </c>
      <c r="CA58" s="41" t="s">
        <v>1573</v>
      </c>
      <c r="CB58" s="41" t="s">
        <v>1594</v>
      </c>
      <c r="CC58" s="41" t="s">
        <v>1608</v>
      </c>
      <c r="CD58" s="41" t="s">
        <v>1627</v>
      </c>
      <c r="CE58" s="41" t="s">
        <v>1645</v>
      </c>
      <c r="CF58" s="41" t="s">
        <v>1573</v>
      </c>
      <c r="CG58" s="41" t="s">
        <v>1594</v>
      </c>
      <c r="CH58" s="41" t="s">
        <v>1672</v>
      </c>
      <c r="CI58" s="41" t="s">
        <v>1690</v>
      </c>
      <c r="CJ58" s="41" t="s">
        <v>1547</v>
      </c>
      <c r="CK58" s="41" t="s">
        <v>1547</v>
      </c>
      <c r="CL58" s="41" t="s">
        <v>1547</v>
      </c>
      <c r="CM58" s="41" t="s">
        <v>1725</v>
      </c>
      <c r="CN58" s="41" t="s">
        <v>1627</v>
      </c>
      <c r="CO58" s="41" t="s">
        <v>1747</v>
      </c>
      <c r="CP58" s="41" t="s">
        <v>1761</v>
      </c>
      <c r="CQ58" s="41" t="s">
        <v>1777</v>
      </c>
      <c r="CR58" s="41" t="s">
        <v>1627</v>
      </c>
      <c r="CS58" s="41" t="s">
        <v>11</v>
      </c>
      <c r="CT58" s="41" t="s">
        <v>1573</v>
      </c>
      <c r="CU58" s="41" t="s">
        <v>1608</v>
      </c>
      <c r="CV58" s="41" t="s">
        <v>1627</v>
      </c>
      <c r="CW58" s="41" t="s">
        <v>11</v>
      </c>
      <c r="DC58" s="41" t="s">
        <v>1887</v>
      </c>
      <c r="DD58" s="41" t="s">
        <v>1897</v>
      </c>
      <c r="DG58" s="41" t="s">
        <v>1920</v>
      </c>
      <c r="DJ58" s="41" t="s">
        <v>1948</v>
      </c>
      <c r="DK58" s="41" t="s">
        <v>1963</v>
      </c>
      <c r="DL58" s="170" t="s">
        <v>1981</v>
      </c>
      <c r="DM58" s="41" t="s">
        <v>2059</v>
      </c>
      <c r="DN58" s="41" t="s">
        <v>2059</v>
      </c>
      <c r="DO58" s="178" t="s">
        <v>2084</v>
      </c>
      <c r="DP58" s="68" t="s">
        <v>2003</v>
      </c>
      <c r="DQ58" s="68" t="s">
        <v>2003</v>
      </c>
      <c r="DR58" s="68" t="s">
        <v>2003</v>
      </c>
      <c r="DS58" s="68" t="s">
        <v>2003</v>
      </c>
      <c r="DT58" s="68" t="s">
        <v>2003</v>
      </c>
      <c r="DU58" s="41" t="s">
        <v>2102</v>
      </c>
      <c r="DV58" s="170" t="s">
        <v>2110</v>
      </c>
      <c r="DW58" s="115" t="s">
        <v>2183</v>
      </c>
      <c r="DX58" s="115" t="s">
        <v>2198</v>
      </c>
      <c r="DY58" s="159" t="s">
        <v>2216</v>
      </c>
      <c r="DZ58" s="159" t="s">
        <v>2229</v>
      </c>
      <c r="EA58" s="159" t="s">
        <v>2242</v>
      </c>
      <c r="EB58" s="186" t="s">
        <v>2252</v>
      </c>
      <c r="EC58" s="159" t="s">
        <v>2269</v>
      </c>
      <c r="ED58" s="159" t="s">
        <v>2283</v>
      </c>
      <c r="EE58" s="159" t="s">
        <v>2283</v>
      </c>
      <c r="EF58" s="115" t="s">
        <v>2297</v>
      </c>
      <c r="EG58" s="115" t="s">
        <v>2297</v>
      </c>
      <c r="EH58" s="115" t="s">
        <v>2003</v>
      </c>
      <c r="EI58" s="155" t="s">
        <v>2327</v>
      </c>
      <c r="EJ58" s="185" t="s">
        <v>2327</v>
      </c>
      <c r="EK58" s="155" t="s">
        <v>2355</v>
      </c>
      <c r="EL58" s="185" t="s">
        <v>2327</v>
      </c>
      <c r="EM58" s="155" t="s">
        <v>2327</v>
      </c>
      <c r="EN58" s="194" t="s">
        <v>2398</v>
      </c>
      <c r="EO58" s="115" t="s">
        <v>2414</v>
      </c>
      <c r="EP58" s="115" t="s">
        <v>2428</v>
      </c>
      <c r="EQ58" s="115" t="s">
        <v>2443</v>
      </c>
      <c r="ER58" s="169" t="s">
        <v>2457</v>
      </c>
      <c r="ES58" s="115" t="s">
        <v>2198</v>
      </c>
      <c r="ET58" s="115" t="s">
        <v>2485</v>
      </c>
      <c r="EU58" s="195" t="s">
        <v>2501</v>
      </c>
      <c r="EV58" s="195" t="s">
        <v>2518</v>
      </c>
      <c r="EW58" s="197" t="s">
        <v>2533</v>
      </c>
      <c r="EX58" s="115" t="s">
        <v>2546</v>
      </c>
      <c r="EY58" s="115" t="s">
        <v>2557</v>
      </c>
      <c r="EZ58" s="115" t="s">
        <v>2557</v>
      </c>
      <c r="FA58" s="41" t="s">
        <v>2591</v>
      </c>
      <c r="FB58" s="41" t="s">
        <v>2591</v>
      </c>
      <c r="FC58" s="41" t="s">
        <v>2591</v>
      </c>
      <c r="FD58" s="41" t="s">
        <v>2591</v>
      </c>
      <c r="FE58" s="41" t="s">
        <v>2649</v>
      </c>
      <c r="FF58" s="41" t="s">
        <v>2664</v>
      </c>
      <c r="FG58" s="41" t="s">
        <v>2664</v>
      </c>
      <c r="FH58" s="41" t="s">
        <v>2664</v>
      </c>
      <c r="FI58" s="41" t="s">
        <v>2694</v>
      </c>
      <c r="FJ58" s="41" t="s">
        <v>2327</v>
      </c>
      <c r="FK58" s="41" t="s">
        <v>2716</v>
      </c>
      <c r="FL58" s="41" t="s">
        <v>2725</v>
      </c>
      <c r="FM58" s="201" t="s">
        <v>2327</v>
      </c>
      <c r="FN58" s="155" t="s">
        <v>2753</v>
      </c>
      <c r="FO58" s="155" t="s">
        <v>2327</v>
      </c>
      <c r="FP58" s="155" t="s">
        <v>2327</v>
      </c>
      <c r="FQ58" s="155" t="s">
        <v>2792</v>
      </c>
      <c r="FR58" s="185" t="s">
        <v>2327</v>
      </c>
      <c r="FS58" s="155" t="s">
        <v>2327</v>
      </c>
      <c r="FT58" s="155" t="s">
        <v>2327</v>
      </c>
      <c r="FU58" s="69" t="s">
        <v>2840</v>
      </c>
      <c r="FV58" s="195" t="s">
        <v>2856</v>
      </c>
      <c r="FW58" s="195" t="s">
        <v>2856</v>
      </c>
      <c r="FX58" s="195" t="s">
        <v>2856</v>
      </c>
      <c r="FY58" s="115" t="s">
        <v>2890</v>
      </c>
      <c r="FZ58" s="115" t="s">
        <v>2003</v>
      </c>
      <c r="GA58" s="185" t="s">
        <v>2327</v>
      </c>
      <c r="GB58" s="185" t="s">
        <v>2327</v>
      </c>
      <c r="GC58" s="185" t="s">
        <v>2327</v>
      </c>
      <c r="GD58" s="155" t="s">
        <v>2327</v>
      </c>
      <c r="GE58" s="115" t="s">
        <v>2954</v>
      </c>
      <c r="GF58" s="185" t="s">
        <v>2327</v>
      </c>
      <c r="GG58" s="69" t="s">
        <v>2327</v>
      </c>
      <c r="GH58" s="185" t="s">
        <v>2327</v>
      </c>
      <c r="GI58" s="185" t="s">
        <v>2327</v>
      </c>
      <c r="GJ58" s="185" t="s">
        <v>2327</v>
      </c>
      <c r="GK58" s="185" t="s">
        <v>2327</v>
      </c>
      <c r="GL58" s="185" t="s">
        <v>2327</v>
      </c>
      <c r="GM58" s="206" t="s">
        <v>3062</v>
      </c>
      <c r="GN58" s="185" t="s">
        <v>2327</v>
      </c>
      <c r="GO58" s="186" t="s">
        <v>3092</v>
      </c>
      <c r="GP58" s="185" t="s">
        <v>3110</v>
      </c>
      <c r="GQ58" s="186" t="s">
        <v>3131</v>
      </c>
      <c r="GR58" s="185" t="s">
        <v>3145</v>
      </c>
      <c r="GS58" s="159" t="s">
        <v>3161</v>
      </c>
      <c r="GT58" s="194" t="s">
        <v>3176</v>
      </c>
      <c r="GU58" s="159" t="s">
        <v>3191</v>
      </c>
      <c r="GV58" s="115" t="s">
        <v>3210</v>
      </c>
      <c r="GW58" s="115" t="s">
        <v>3226</v>
      </c>
      <c r="GX58" s="169" t="s">
        <v>3241</v>
      </c>
      <c r="GY58" s="115" t="s">
        <v>3210</v>
      </c>
      <c r="GZ58" s="69" t="s">
        <v>3265</v>
      </c>
      <c r="HA58" s="159" t="s">
        <v>3277</v>
      </c>
      <c r="HB58" s="185" t="s">
        <v>2327</v>
      </c>
      <c r="HC58" s="159" t="s">
        <v>3277</v>
      </c>
      <c r="HD58" s="69" t="s">
        <v>3311</v>
      </c>
      <c r="HE58" s="185" t="s">
        <v>3328</v>
      </c>
      <c r="HF58" s="185" t="s">
        <v>3340</v>
      </c>
      <c r="HG58" s="155" t="s">
        <v>2327</v>
      </c>
      <c r="HH58" s="185" t="s">
        <v>3360</v>
      </c>
      <c r="HI58" s="201" t="s">
        <v>2327</v>
      </c>
      <c r="HJ58" s="194" t="s">
        <v>3385</v>
      </c>
      <c r="HK58" s="185" t="s">
        <v>3403</v>
      </c>
      <c r="HL58" s="185" t="s">
        <v>3418</v>
      </c>
      <c r="HM58" s="194" t="s">
        <v>3436</v>
      </c>
      <c r="HN58" s="194" t="s">
        <v>3516</v>
      </c>
      <c r="HO58" s="195" t="s">
        <v>3462</v>
      </c>
      <c r="HP58" s="195" t="s">
        <v>3465</v>
      </c>
      <c r="HQ58" s="195" t="s">
        <v>3465</v>
      </c>
      <c r="HR58" s="169" t="s">
        <v>3561</v>
      </c>
      <c r="HS58" s="215" t="s">
        <v>1672</v>
      </c>
      <c r="HT58" s="234" t="s">
        <v>3592</v>
      </c>
      <c r="HU58" s="195" t="s">
        <v>3465</v>
      </c>
      <c r="HV58" s="195" t="s">
        <v>3449</v>
      </c>
      <c r="HW58" s="215" t="s">
        <v>1672</v>
      </c>
      <c r="HX58" s="195" t="s">
        <v>3462</v>
      </c>
      <c r="HY58" s="183" t="s">
        <v>3634</v>
      </c>
      <c r="HZ58" s="215" t="s">
        <v>3646</v>
      </c>
      <c r="IA58" s="195" t="s">
        <v>3462</v>
      </c>
      <c r="IB58" s="185" t="s">
        <v>3492</v>
      </c>
      <c r="IC58" s="185" t="s">
        <v>3678</v>
      </c>
      <c r="ID58" s="234" t="s">
        <v>3693</v>
      </c>
      <c r="IE58" s="115" t="s">
        <v>3708</v>
      </c>
      <c r="IF58" s="169" t="s">
        <v>3485</v>
      </c>
      <c r="IG58" s="185" t="s">
        <v>2327</v>
      </c>
      <c r="IH58" s="185" t="s">
        <v>2327</v>
      </c>
      <c r="II58" s="185" t="s">
        <v>2327</v>
      </c>
      <c r="IJ58" s="194" t="s">
        <v>3766</v>
      </c>
      <c r="IK58" s="185" t="s">
        <v>3492</v>
      </c>
      <c r="IL58" s="169" t="s">
        <v>3485</v>
      </c>
      <c r="IM58" s="169" t="s">
        <v>3561</v>
      </c>
      <c r="IN58" s="169" t="s">
        <v>3485</v>
      </c>
      <c r="IO58" s="159" t="s">
        <v>3811</v>
      </c>
      <c r="IP58" s="159" t="s">
        <v>3822</v>
      </c>
      <c r="IQ58" s="185" t="s">
        <v>3492</v>
      </c>
      <c r="IR58" s="169" t="s">
        <v>3485</v>
      </c>
      <c r="IS58" s="159" t="s">
        <v>3854</v>
      </c>
      <c r="IT58" s="183" t="s">
        <v>3867</v>
      </c>
      <c r="IU58" s="185" t="s">
        <v>3881</v>
      </c>
      <c r="IV58" s="185" t="s">
        <v>3898</v>
      </c>
      <c r="IW58" s="185" t="s">
        <v>4001</v>
      </c>
      <c r="IX58" s="215"/>
      <c r="IY58" s="185" t="s">
        <v>3971</v>
      </c>
      <c r="IZ58" s="185" t="s">
        <v>3971</v>
      </c>
      <c r="JA58" s="215" t="s">
        <v>4022</v>
      </c>
      <c r="JB58" s="215" t="s">
        <v>4035</v>
      </c>
      <c r="JC58" s="215" t="s">
        <v>4035</v>
      </c>
      <c r="JD58" s="215" t="s">
        <v>4056</v>
      </c>
      <c r="JE58" s="215" t="s">
        <v>4056</v>
      </c>
      <c r="JF58" s="215" t="s">
        <v>4080</v>
      </c>
      <c r="JG58" s="215" t="s">
        <v>4095</v>
      </c>
      <c r="JH58" s="169" t="s">
        <v>4111</v>
      </c>
      <c r="JI58" s="215" t="s">
        <v>4123</v>
      </c>
      <c r="JJ58" s="250" t="s">
        <v>2327</v>
      </c>
      <c r="JK58" s="250" t="s">
        <v>2327</v>
      </c>
      <c r="JL58" s="250" t="s">
        <v>2327</v>
      </c>
      <c r="JM58" s="250" t="s">
        <v>2327</v>
      </c>
      <c r="JN58" s="115" t="s">
        <v>4181</v>
      </c>
      <c r="JO58" s="185" t="s">
        <v>4195</v>
      </c>
      <c r="JP58" s="215" t="s">
        <v>4228</v>
      </c>
      <c r="JQ58" s="185" t="s">
        <v>4195</v>
      </c>
      <c r="JR58" s="185" t="s">
        <v>4195</v>
      </c>
      <c r="JS58" s="215" t="s">
        <v>4261</v>
      </c>
      <c r="JT58" s="215" t="s">
        <v>4261</v>
      </c>
      <c r="JU58" s="215" t="s">
        <v>4261</v>
      </c>
      <c r="JV58" s="215" t="s">
        <v>4261</v>
      </c>
      <c r="JW58" s="215" t="s">
        <v>4261</v>
      </c>
      <c r="JX58" s="215" t="s">
        <v>4294</v>
      </c>
      <c r="JY58" s="215" t="s">
        <v>4294</v>
      </c>
      <c r="JZ58" s="215" t="s">
        <v>4294</v>
      </c>
      <c r="KA58" s="215" t="s">
        <v>4294</v>
      </c>
      <c r="KB58" s="215" t="s">
        <v>4294</v>
      </c>
      <c r="KC58" s="215" t="s">
        <v>4294</v>
      </c>
      <c r="KD58" s="215" t="s">
        <v>4329</v>
      </c>
      <c r="KE58" s="215" t="s">
        <v>4329</v>
      </c>
      <c r="KF58" s="215" t="s">
        <v>4329</v>
      </c>
      <c r="KG58" s="159" t="s">
        <v>4360</v>
      </c>
      <c r="KH58" s="159" t="s">
        <v>4376</v>
      </c>
      <c r="KI58" s="159" t="s">
        <v>4392</v>
      </c>
      <c r="KJ58" s="115" t="s">
        <v>4410</v>
      </c>
      <c r="KK58" s="115" t="s">
        <v>4410</v>
      </c>
      <c r="KL58" s="185" t="s">
        <v>4435</v>
      </c>
      <c r="KM58" s="195" t="s">
        <v>3462</v>
      </c>
      <c r="KN58" s="155" t="s">
        <v>4477</v>
      </c>
      <c r="KO58" s="115" t="s">
        <v>3940</v>
      </c>
      <c r="KP58" s="115" t="s">
        <v>3940</v>
      </c>
      <c r="KQ58" s="115" t="s">
        <v>3940</v>
      </c>
      <c r="KR58" s="169" t="s">
        <v>3954</v>
      </c>
      <c r="KS58" s="169" t="s">
        <v>3954</v>
      </c>
      <c r="KT58" s="169" t="s">
        <v>3954</v>
      </c>
      <c r="KU58" s="169" t="s">
        <v>3954</v>
      </c>
      <c r="KV58" s="169" t="s">
        <v>3954</v>
      </c>
      <c r="KW58" s="195" t="s">
        <v>4572</v>
      </c>
      <c r="KX58" s="195" t="s">
        <v>4572</v>
      </c>
      <c r="KY58" s="250" t="s">
        <v>4624</v>
      </c>
      <c r="KZ58" s="250" t="s">
        <v>4624</v>
      </c>
      <c r="LA58" s="187" t="s">
        <v>4672</v>
      </c>
      <c r="LB58" s="195" t="s">
        <v>4697</v>
      </c>
      <c r="LC58" s="115" t="s">
        <v>4709</v>
      </c>
      <c r="LD58" s="115" t="s">
        <v>4709</v>
      </c>
      <c r="LE58" s="115" t="s">
        <v>4709</v>
      </c>
      <c r="LF58" s="115" t="s">
        <v>4709</v>
      </c>
      <c r="LG58" s="115" t="s">
        <v>4827</v>
      </c>
      <c r="LH58" s="185" t="s">
        <v>4759</v>
      </c>
      <c r="LI58" s="185" t="s">
        <v>4769</v>
      </c>
      <c r="LJ58" s="185" t="s">
        <v>4779</v>
      </c>
      <c r="LK58" s="115" t="s">
        <v>4759</v>
      </c>
      <c r="LL58" s="187" t="s">
        <v>4759</v>
      </c>
      <c r="LM58" s="269" t="s">
        <v>4759</v>
      </c>
      <c r="LN58" s="269" t="s">
        <v>4759</v>
      </c>
      <c r="LO58" s="195" t="s">
        <v>3462</v>
      </c>
      <c r="LP58" s="185" t="s">
        <v>4655</v>
      </c>
      <c r="LQ58" s="282" t="s">
        <v>4683</v>
      </c>
      <c r="LR58" s="115" t="s">
        <v>4827</v>
      </c>
      <c r="LS58" s="185" t="s">
        <v>4880</v>
      </c>
      <c r="LT58" s="115" t="s">
        <v>11</v>
      </c>
      <c r="LU58" s="115" t="s">
        <v>11</v>
      </c>
      <c r="LV58" s="286" t="s">
        <v>11</v>
      </c>
      <c r="LW58" s="115" t="s">
        <v>11</v>
      </c>
      <c r="LX58" s="115" t="s">
        <v>11</v>
      </c>
      <c r="LY58" s="185" t="s">
        <v>4950</v>
      </c>
      <c r="LZ58" s="185" t="s">
        <v>4963</v>
      </c>
      <c r="MA58" s="185" t="s">
        <v>4963</v>
      </c>
      <c r="MB58" s="115" t="s">
        <v>4990</v>
      </c>
      <c r="MC58" s="115" t="s">
        <v>5003</v>
      </c>
      <c r="MD58" s="206" t="s">
        <v>5020</v>
      </c>
    </row>
    <row r="59" spans="1:342" ht="14.4" x14ac:dyDescent="0.3">
      <c r="A59" s="92">
        <v>56</v>
      </c>
      <c r="B59" s="312"/>
      <c r="C59" s="13" t="s">
        <v>445</v>
      </c>
      <c r="D59" s="40" t="s">
        <v>442</v>
      </c>
      <c r="E59" s="2" t="s">
        <v>29</v>
      </c>
      <c r="F59" s="5" t="s">
        <v>43</v>
      </c>
      <c r="G59" s="11" t="s">
        <v>73</v>
      </c>
      <c r="H59" s="5" t="s">
        <v>71</v>
      </c>
      <c r="I59" s="5" t="s">
        <v>114</v>
      </c>
      <c r="J59" s="2" t="s">
        <v>71</v>
      </c>
      <c r="K59" s="4" t="s">
        <v>718</v>
      </c>
      <c r="L59" s="5" t="s">
        <v>82</v>
      </c>
      <c r="M59" s="5" t="s">
        <v>91</v>
      </c>
      <c r="N59" s="5" t="s">
        <v>110</v>
      </c>
      <c r="O59" s="5" t="s">
        <v>126</v>
      </c>
      <c r="P59" s="5" t="s">
        <v>137</v>
      </c>
      <c r="Q59" s="5" t="s">
        <v>126</v>
      </c>
      <c r="R59" s="5" t="s">
        <v>164</v>
      </c>
      <c r="S59" s="5" t="s">
        <v>172</v>
      </c>
      <c r="T59" s="5" t="s">
        <v>178</v>
      </c>
      <c r="U59" s="2" t="s">
        <v>29</v>
      </c>
      <c r="V59" s="2" t="s">
        <v>285</v>
      </c>
      <c r="W59" s="12" t="s">
        <v>291</v>
      </c>
      <c r="X59" s="5" t="s">
        <v>82</v>
      </c>
      <c r="Y59" s="5" t="s">
        <v>82</v>
      </c>
      <c r="Z59" s="5" t="s">
        <v>82</v>
      </c>
      <c r="AA59" s="38" t="s">
        <v>332</v>
      </c>
      <c r="AB59" s="2" t="s">
        <v>354</v>
      </c>
      <c r="AC59" s="2" t="s">
        <v>354</v>
      </c>
      <c r="AD59" s="48" t="s">
        <v>386</v>
      </c>
      <c r="AE59" s="2" t="s">
        <v>385</v>
      </c>
      <c r="AF59" s="1" t="s">
        <v>409</v>
      </c>
      <c r="AG59" s="1" t="s">
        <v>408</v>
      </c>
      <c r="AH59" s="1" t="s">
        <v>408</v>
      </c>
      <c r="AI59" s="2" t="s">
        <v>516</v>
      </c>
      <c r="AJ59" s="2" t="s">
        <v>548</v>
      </c>
      <c r="AK59" s="2" t="s">
        <v>552</v>
      </c>
      <c r="AL59" s="2" t="s">
        <v>553</v>
      </c>
      <c r="AM59" s="2" t="s">
        <v>547</v>
      </c>
      <c r="AN59" s="12" t="s">
        <v>573</v>
      </c>
      <c r="AO59" s="12" t="s">
        <v>573</v>
      </c>
      <c r="AP59" s="12" t="s">
        <v>595</v>
      </c>
      <c r="AQ59" s="12" t="s">
        <v>612</v>
      </c>
      <c r="AR59" s="12" t="s">
        <v>619</v>
      </c>
      <c r="AS59" s="12" t="s">
        <v>619</v>
      </c>
      <c r="AT59" s="2" t="s">
        <v>640</v>
      </c>
      <c r="AU59" s="2" t="s">
        <v>662</v>
      </c>
      <c r="AV59" s="2" t="s">
        <v>664</v>
      </c>
      <c r="AW59" s="2" t="s">
        <v>666</v>
      </c>
      <c r="AX59" s="41" t="s">
        <v>681</v>
      </c>
      <c r="AY59" s="2" t="s">
        <v>730</v>
      </c>
      <c r="AZ59" s="2" t="s">
        <v>730</v>
      </c>
      <c r="BA59" s="2" t="s">
        <v>753</v>
      </c>
      <c r="BB59" s="2" t="s">
        <v>764</v>
      </c>
      <c r="BC59" s="2" t="s">
        <v>795</v>
      </c>
      <c r="BD59" s="2" t="s">
        <v>795</v>
      </c>
      <c r="BE59" s="2" t="s">
        <v>795</v>
      </c>
      <c r="BF59" s="2" t="s">
        <v>795</v>
      </c>
      <c r="BG59" s="2" t="s">
        <v>795</v>
      </c>
      <c r="BH59" s="2" t="s">
        <v>795</v>
      </c>
      <c r="BI59" s="72" t="s">
        <v>829</v>
      </c>
      <c r="BJ59" s="91" t="s">
        <v>838</v>
      </c>
      <c r="BK59" s="5" t="s">
        <v>43</v>
      </c>
      <c r="BL59" s="26" t="s">
        <v>1100</v>
      </c>
      <c r="BM59" s="105" t="s">
        <v>1035</v>
      </c>
      <c r="BN59" s="105" t="s">
        <v>1035</v>
      </c>
      <c r="BO59" s="105" t="s">
        <v>1035</v>
      </c>
      <c r="BP59" s="105" t="s">
        <v>1035</v>
      </c>
      <c r="BQ59" s="105" t="s">
        <v>1035</v>
      </c>
      <c r="BR59" s="117" t="s">
        <v>1401</v>
      </c>
      <c r="BS59" s="105" t="s">
        <v>1419</v>
      </c>
      <c r="BT59" s="105" t="s">
        <v>1401</v>
      </c>
      <c r="BU59" s="156" t="s">
        <v>1381</v>
      </c>
      <c r="BV59" s="156" t="s">
        <v>1381</v>
      </c>
      <c r="BW59" s="115" t="s">
        <v>1472</v>
      </c>
      <c r="BX59" s="156" t="s">
        <v>1381</v>
      </c>
      <c r="BY59" s="156" t="s">
        <v>1381</v>
      </c>
      <c r="BZ59" s="156" t="s">
        <v>1381</v>
      </c>
      <c r="CA59" s="41" t="s">
        <v>1573</v>
      </c>
      <c r="CB59" s="41" t="s">
        <v>1595</v>
      </c>
      <c r="CC59" s="41" t="s">
        <v>1608</v>
      </c>
      <c r="CD59" s="41" t="s">
        <v>1528</v>
      </c>
      <c r="CE59" s="41" t="s">
        <v>1645</v>
      </c>
      <c r="CF59" s="41" t="s">
        <v>1573</v>
      </c>
      <c r="CG59" s="41" t="s">
        <v>1595</v>
      </c>
      <c r="CH59" s="41" t="s">
        <v>1672</v>
      </c>
      <c r="CI59" s="41" t="s">
        <v>1540</v>
      </c>
      <c r="CJ59" s="41" t="s">
        <v>1547</v>
      </c>
      <c r="CK59" s="41" t="s">
        <v>1547</v>
      </c>
      <c r="CL59" s="41" t="s">
        <v>1547</v>
      </c>
      <c r="CM59" s="41" t="s">
        <v>1540</v>
      </c>
      <c r="CN59" s="41" t="s">
        <v>1528</v>
      </c>
      <c r="CO59" s="41" t="s">
        <v>1540</v>
      </c>
      <c r="CP59" s="41" t="s">
        <v>1540</v>
      </c>
      <c r="CQ59" s="41" t="s">
        <v>1540</v>
      </c>
      <c r="CR59" s="41" t="s">
        <v>1528</v>
      </c>
      <c r="CS59" s="41" t="s">
        <v>1797</v>
      </c>
      <c r="CT59" s="41" t="s">
        <v>1573</v>
      </c>
      <c r="CU59" s="41" t="s">
        <v>1608</v>
      </c>
      <c r="CV59" s="41" t="s">
        <v>1528</v>
      </c>
      <c r="CW59" s="41" t="s">
        <v>1832</v>
      </c>
      <c r="CX59" s="41" t="s">
        <v>1842</v>
      </c>
      <c r="CY59" s="41" t="s">
        <v>1850</v>
      </c>
      <c r="CZ59" s="41" t="s">
        <v>1859</v>
      </c>
      <c r="DA59" s="41" t="s">
        <v>1865</v>
      </c>
      <c r="DB59" s="41" t="s">
        <v>1876</v>
      </c>
      <c r="DC59" s="41" t="s">
        <v>1886</v>
      </c>
      <c r="DD59" s="41" t="s">
        <v>1896</v>
      </c>
      <c r="DE59" s="41" t="s">
        <v>1903</v>
      </c>
      <c r="DF59" s="41" t="s">
        <v>1909</v>
      </c>
      <c r="DG59" s="41" t="s">
        <v>1921</v>
      </c>
      <c r="DH59" s="41" t="s">
        <v>1927</v>
      </c>
      <c r="DI59" s="41" t="s">
        <v>1935</v>
      </c>
      <c r="DJ59" s="41" t="s">
        <v>1948</v>
      </c>
      <c r="DK59" s="41" t="s">
        <v>1964</v>
      </c>
      <c r="DL59" s="171" t="s">
        <v>1982</v>
      </c>
      <c r="DM59" s="41" t="s">
        <v>2059</v>
      </c>
      <c r="DN59" s="41" t="s">
        <v>2059</v>
      </c>
      <c r="DO59" s="178" t="s">
        <v>2084</v>
      </c>
      <c r="DP59" s="68" t="s">
        <v>2003</v>
      </c>
      <c r="DQ59" s="68" t="s">
        <v>2003</v>
      </c>
      <c r="DR59" s="68" t="s">
        <v>2003</v>
      </c>
      <c r="DS59" s="68" t="s">
        <v>2003</v>
      </c>
      <c r="DT59" s="68" t="s">
        <v>2003</v>
      </c>
      <c r="DU59" s="41" t="s">
        <v>2103</v>
      </c>
      <c r="DV59" t="s">
        <v>2109</v>
      </c>
      <c r="DW59" s="115" t="s">
        <v>2183</v>
      </c>
      <c r="DX59" s="115" t="s">
        <v>2198</v>
      </c>
      <c r="DY59" s="186" t="s">
        <v>2216</v>
      </c>
      <c r="DZ59" s="159" t="s">
        <v>2229</v>
      </c>
      <c r="EA59" s="159" t="s">
        <v>2242</v>
      </c>
      <c r="EB59" s="186" t="s">
        <v>2252</v>
      </c>
      <c r="EC59" s="159" t="s">
        <v>2269</v>
      </c>
      <c r="ED59" s="159" t="s">
        <v>2283</v>
      </c>
      <c r="EE59" s="159" t="s">
        <v>2283</v>
      </c>
      <c r="EF59" s="115" t="s">
        <v>2297</v>
      </c>
      <c r="EG59" s="115" t="s">
        <v>2297</v>
      </c>
      <c r="EH59" s="115" t="s">
        <v>2003</v>
      </c>
      <c r="EI59" s="155" t="s">
        <v>2327</v>
      </c>
      <c r="EJ59" s="185" t="s">
        <v>2327</v>
      </c>
      <c r="EK59" s="155" t="s">
        <v>2327</v>
      </c>
      <c r="EL59" s="185" t="s">
        <v>2327</v>
      </c>
      <c r="EM59" s="155" t="s">
        <v>2327</v>
      </c>
      <c r="EN59" s="194" t="s">
        <v>2398</v>
      </c>
      <c r="EO59" s="115" t="s">
        <v>2414</v>
      </c>
      <c r="EP59" s="115" t="s">
        <v>2428</v>
      </c>
      <c r="EQ59" s="115" t="s">
        <v>2443</v>
      </c>
      <c r="ER59" s="169" t="s">
        <v>2457</v>
      </c>
      <c r="ES59" s="115" t="s">
        <v>2198</v>
      </c>
      <c r="ET59" s="115" t="s">
        <v>2485</v>
      </c>
      <c r="EU59" s="195" t="s">
        <v>2501</v>
      </c>
      <c r="EV59" s="195" t="s">
        <v>2518</v>
      </c>
      <c r="EW59" s="169" t="s">
        <v>2533</v>
      </c>
      <c r="EX59" s="115" t="s">
        <v>2546</v>
      </c>
      <c r="EY59" s="115" t="s">
        <v>2557</v>
      </c>
      <c r="EZ59" s="115" t="s">
        <v>2557</v>
      </c>
      <c r="FA59" s="41" t="s">
        <v>2617</v>
      </c>
      <c r="FB59" s="41" t="s">
        <v>2617</v>
      </c>
      <c r="FC59" s="41" t="s">
        <v>2617</v>
      </c>
      <c r="FD59" s="41" t="s">
        <v>2617</v>
      </c>
      <c r="FE59" s="41" t="s">
        <v>2649</v>
      </c>
      <c r="FF59" s="41" t="s">
        <v>2664</v>
      </c>
      <c r="FG59" s="41" t="s">
        <v>2664</v>
      </c>
      <c r="FH59" s="41" t="s">
        <v>2664</v>
      </c>
      <c r="FI59" s="41" t="s">
        <v>2692</v>
      </c>
      <c r="FJ59" s="41" t="s">
        <v>2327</v>
      </c>
      <c r="FK59" s="41" t="s">
        <v>2716</v>
      </c>
      <c r="FL59" s="41" t="s">
        <v>2725</v>
      </c>
      <c r="FM59" s="201" t="s">
        <v>2327</v>
      </c>
      <c r="FN59" s="155" t="s">
        <v>2753</v>
      </c>
      <c r="FO59" s="155" t="s">
        <v>2327</v>
      </c>
      <c r="FP59" s="155" t="s">
        <v>2327</v>
      </c>
      <c r="FQ59" s="155" t="s">
        <v>2792</v>
      </c>
      <c r="FR59" s="185" t="s">
        <v>2327</v>
      </c>
      <c r="FS59" s="155" t="s">
        <v>2327</v>
      </c>
      <c r="FT59" s="155" t="s">
        <v>2327</v>
      </c>
      <c r="FU59" s="156" t="s">
        <v>2842</v>
      </c>
      <c r="FV59" s="195" t="s">
        <v>2856</v>
      </c>
      <c r="FW59" s="195" t="s">
        <v>2856</v>
      </c>
      <c r="FX59" s="195" t="s">
        <v>2856</v>
      </c>
      <c r="FY59" s="115" t="s">
        <v>2890</v>
      </c>
      <c r="FZ59" s="115" t="s">
        <v>2003</v>
      </c>
      <c r="GA59" s="185" t="s">
        <v>2327</v>
      </c>
      <c r="GB59" s="185" t="s">
        <v>2327</v>
      </c>
      <c r="GC59" s="185" t="s">
        <v>2327</v>
      </c>
      <c r="GD59" s="155" t="s">
        <v>2327</v>
      </c>
      <c r="GE59" s="115" t="s">
        <v>2954</v>
      </c>
      <c r="GF59" s="185" t="s">
        <v>2327</v>
      </c>
      <c r="GG59" s="69" t="s">
        <v>2327</v>
      </c>
      <c r="GH59" s="185" t="s">
        <v>2327</v>
      </c>
      <c r="GI59" s="185" t="s">
        <v>2327</v>
      </c>
      <c r="GJ59" s="185" t="s">
        <v>2327</v>
      </c>
      <c r="GK59" s="185" t="s">
        <v>2327</v>
      </c>
      <c r="GL59" s="185" t="s">
        <v>2327</v>
      </c>
      <c r="GM59" s="206" t="s">
        <v>3063</v>
      </c>
      <c r="GN59" s="185" t="s">
        <v>2327</v>
      </c>
      <c r="GO59" s="186" t="s">
        <v>3092</v>
      </c>
      <c r="GP59" s="185" t="s">
        <v>3110</v>
      </c>
      <c r="GQ59" s="69" t="s">
        <v>3132</v>
      </c>
      <c r="GR59" s="185" t="s">
        <v>3145</v>
      </c>
      <c r="GS59" s="159" t="s">
        <v>3161</v>
      </c>
      <c r="GT59" s="194" t="s">
        <v>3176</v>
      </c>
      <c r="GU59" s="159" t="s">
        <v>3191</v>
      </c>
      <c r="GV59" s="115" t="s">
        <v>3210</v>
      </c>
      <c r="GW59" s="115" t="s">
        <v>3226</v>
      </c>
      <c r="GX59" s="169" t="s">
        <v>3241</v>
      </c>
      <c r="GY59" s="115" t="s">
        <v>3210</v>
      </c>
      <c r="GZ59" s="69" t="s">
        <v>3265</v>
      </c>
      <c r="HA59" s="159" t="s">
        <v>3278</v>
      </c>
      <c r="HB59" s="185" t="s">
        <v>2327</v>
      </c>
      <c r="HC59" s="159" t="s">
        <v>3278</v>
      </c>
      <c r="HD59" s="69" t="s">
        <v>3311</v>
      </c>
      <c r="HE59" s="185" t="s">
        <v>3328</v>
      </c>
      <c r="HF59" s="185" t="s">
        <v>3340</v>
      </c>
      <c r="HG59" s="155" t="s">
        <v>2327</v>
      </c>
      <c r="HH59" s="185" t="s">
        <v>3360</v>
      </c>
      <c r="HI59" s="201" t="s">
        <v>2327</v>
      </c>
      <c r="HJ59" s="194" t="s">
        <v>3385</v>
      </c>
      <c r="HK59" s="185" t="s">
        <v>3403</v>
      </c>
      <c r="HL59" s="185" t="s">
        <v>3418</v>
      </c>
      <c r="HM59" s="194" t="s">
        <v>3436</v>
      </c>
      <c r="HN59" s="194" t="s">
        <v>3516</v>
      </c>
      <c r="HO59" s="195" t="s">
        <v>3462</v>
      </c>
      <c r="HP59" s="115" t="s">
        <v>3465</v>
      </c>
      <c r="HQ59" s="115" t="s">
        <v>3465</v>
      </c>
      <c r="HR59" s="169" t="s">
        <v>3561</v>
      </c>
      <c r="HS59" s="215" t="s">
        <v>1672</v>
      </c>
      <c r="HT59" s="234" t="s">
        <v>3592</v>
      </c>
      <c r="HU59" s="115" t="s">
        <v>3465</v>
      </c>
      <c r="HV59" s="195" t="s">
        <v>3449</v>
      </c>
      <c r="HW59" s="215" t="s">
        <v>1672</v>
      </c>
      <c r="HX59" s="195" t="s">
        <v>3462</v>
      </c>
      <c r="HY59" s="183" t="s">
        <v>3634</v>
      </c>
      <c r="HZ59" s="215" t="s">
        <v>3646</v>
      </c>
      <c r="IA59" s="195" t="s">
        <v>3462</v>
      </c>
      <c r="IB59" s="185" t="s">
        <v>3492</v>
      </c>
      <c r="IC59" s="185" t="s">
        <v>3678</v>
      </c>
      <c r="ID59" s="234" t="s">
        <v>3693</v>
      </c>
      <c r="IE59" s="115" t="s">
        <v>3708</v>
      </c>
      <c r="IF59" s="169" t="s">
        <v>3485</v>
      </c>
      <c r="IG59" s="185" t="s">
        <v>2327</v>
      </c>
      <c r="IH59" s="185" t="s">
        <v>2327</v>
      </c>
      <c r="II59" s="185" t="s">
        <v>2327</v>
      </c>
      <c r="IJ59" s="194" t="s">
        <v>3766</v>
      </c>
      <c r="IK59" s="185" t="s">
        <v>3492</v>
      </c>
      <c r="IL59" s="169" t="s">
        <v>3485</v>
      </c>
      <c r="IM59" s="169" t="s">
        <v>3561</v>
      </c>
      <c r="IN59" s="169" t="s">
        <v>3485</v>
      </c>
      <c r="IO59" s="159" t="s">
        <v>3812</v>
      </c>
      <c r="IP59" s="159" t="s">
        <v>3823</v>
      </c>
      <c r="IQ59" s="185" t="s">
        <v>3492</v>
      </c>
      <c r="IR59" s="169" t="s">
        <v>3485</v>
      </c>
      <c r="IS59" s="159" t="s">
        <v>3854</v>
      </c>
      <c r="IT59" s="183" t="s">
        <v>3867</v>
      </c>
      <c r="IU59" s="185" t="s">
        <v>3881</v>
      </c>
      <c r="IV59" s="185" t="s">
        <v>3898</v>
      </c>
      <c r="IW59" s="185" t="s">
        <v>4001</v>
      </c>
      <c r="IX59" s="215"/>
      <c r="IY59" s="185" t="s">
        <v>3971</v>
      </c>
      <c r="IZ59" s="185" t="s">
        <v>3971</v>
      </c>
      <c r="JA59" s="215" t="s">
        <v>4022</v>
      </c>
      <c r="JB59" s="215" t="s">
        <v>4035</v>
      </c>
      <c r="JC59" s="215" t="s">
        <v>4035</v>
      </c>
      <c r="JD59" s="215" t="s">
        <v>4056</v>
      </c>
      <c r="JE59" s="215" t="s">
        <v>4056</v>
      </c>
      <c r="JF59" s="215" t="s">
        <v>4080</v>
      </c>
      <c r="JG59" s="215" t="s">
        <v>4095</v>
      </c>
      <c r="JH59" s="215" t="s">
        <v>4112</v>
      </c>
      <c r="JI59" s="215" t="s">
        <v>4123</v>
      </c>
      <c r="JJ59" s="250" t="s">
        <v>2327</v>
      </c>
      <c r="JK59" s="250" t="s">
        <v>2327</v>
      </c>
      <c r="JL59" s="250" t="s">
        <v>2327</v>
      </c>
      <c r="JM59" s="250" t="s">
        <v>2327</v>
      </c>
      <c r="JN59" s="115" t="s">
        <v>4181</v>
      </c>
      <c r="JO59" s="185" t="s">
        <v>4195</v>
      </c>
      <c r="JP59" s="215" t="s">
        <v>4228</v>
      </c>
      <c r="JQ59" s="185" t="s">
        <v>4195</v>
      </c>
      <c r="JR59" s="185" t="s">
        <v>4195</v>
      </c>
      <c r="JS59" s="215" t="s">
        <v>4261</v>
      </c>
      <c r="JT59" s="215" t="s">
        <v>4261</v>
      </c>
      <c r="JU59" s="215" t="s">
        <v>4261</v>
      </c>
      <c r="JV59" s="215" t="s">
        <v>4261</v>
      </c>
      <c r="JW59" s="215" t="s">
        <v>4261</v>
      </c>
      <c r="JX59" s="215" t="s">
        <v>4294</v>
      </c>
      <c r="JY59" s="215" t="s">
        <v>4294</v>
      </c>
      <c r="JZ59" s="215" t="s">
        <v>4294</v>
      </c>
      <c r="KA59" s="215" t="s">
        <v>4294</v>
      </c>
      <c r="KB59" s="215" t="s">
        <v>4294</v>
      </c>
      <c r="KC59" s="215" t="s">
        <v>4294</v>
      </c>
      <c r="KD59" s="215" t="s">
        <v>4329</v>
      </c>
      <c r="KE59" s="215" t="s">
        <v>4329</v>
      </c>
      <c r="KF59" s="215" t="s">
        <v>4329</v>
      </c>
      <c r="KG59" s="159" t="s">
        <v>4360</v>
      </c>
      <c r="KH59" s="159" t="s">
        <v>4376</v>
      </c>
      <c r="KI59" s="159" t="s">
        <v>4394</v>
      </c>
      <c r="KJ59" s="115" t="s">
        <v>4410</v>
      </c>
      <c r="KK59" s="115" t="s">
        <v>4410</v>
      </c>
      <c r="KL59" s="185" t="s">
        <v>4436</v>
      </c>
      <c r="KM59" s="195" t="s">
        <v>3462</v>
      </c>
      <c r="KN59" s="155" t="s">
        <v>4479</v>
      </c>
      <c r="KO59" s="115" t="s">
        <v>4497</v>
      </c>
      <c r="KP59" s="115" t="s">
        <v>4497</v>
      </c>
      <c r="KQ59" s="115" t="s">
        <v>4497</v>
      </c>
      <c r="KR59" s="169" t="s">
        <v>4526</v>
      </c>
      <c r="KS59" s="169" t="s">
        <v>4526</v>
      </c>
      <c r="KT59" s="169" t="s">
        <v>4526</v>
      </c>
      <c r="KU59" s="169" t="s">
        <v>4526</v>
      </c>
      <c r="KV59" s="169" t="s">
        <v>4526</v>
      </c>
      <c r="KW59" s="195" t="s">
        <v>4572</v>
      </c>
      <c r="KX59" s="195" t="s">
        <v>4572</v>
      </c>
      <c r="KY59" s="250" t="s">
        <v>4624</v>
      </c>
      <c r="KZ59" s="250" t="s">
        <v>4624</v>
      </c>
      <c r="LA59" s="187" t="s">
        <v>4672</v>
      </c>
      <c r="LB59" s="195" t="s">
        <v>4697</v>
      </c>
      <c r="LC59" s="115" t="s">
        <v>4709</v>
      </c>
      <c r="LD59" s="115" t="s">
        <v>4709</v>
      </c>
      <c r="LE59" s="115" t="s">
        <v>4709</v>
      </c>
      <c r="LF59" s="115" t="s">
        <v>4709</v>
      </c>
      <c r="LG59" s="115" t="s">
        <v>4827</v>
      </c>
      <c r="LH59" s="185" t="s">
        <v>4759</v>
      </c>
      <c r="LI59" s="185" t="s">
        <v>4769</v>
      </c>
      <c r="LJ59" s="185" t="s">
        <v>4779</v>
      </c>
      <c r="LK59" s="169" t="s">
        <v>4759</v>
      </c>
      <c r="LL59" s="187" t="s">
        <v>4759</v>
      </c>
      <c r="LM59" s="269" t="s">
        <v>4759</v>
      </c>
      <c r="LN59" s="269" t="s">
        <v>4759</v>
      </c>
      <c r="LO59" s="195" t="s">
        <v>3462</v>
      </c>
      <c r="LP59" s="185" t="s">
        <v>4655</v>
      </c>
      <c r="LQ59" s="282" t="s">
        <v>4683</v>
      </c>
      <c r="LR59" s="115" t="s">
        <v>4827</v>
      </c>
      <c r="LS59" s="185" t="s">
        <v>4882</v>
      </c>
      <c r="LT59" s="169" t="s">
        <v>4895</v>
      </c>
      <c r="LU59" s="169" t="s">
        <v>4904</v>
      </c>
      <c r="LV59" s="286" t="s">
        <v>4916</v>
      </c>
      <c r="LW59" s="115" t="s">
        <v>4916</v>
      </c>
      <c r="LX59" s="169" t="s">
        <v>4935</v>
      </c>
      <c r="LY59" s="185" t="s">
        <v>4950</v>
      </c>
      <c r="LZ59" s="185" t="s">
        <v>4964</v>
      </c>
      <c r="MA59" s="185" t="s">
        <v>4964</v>
      </c>
      <c r="MB59" s="115" t="s">
        <v>4990</v>
      </c>
      <c r="MC59" s="115" t="s">
        <v>5005</v>
      </c>
      <c r="MD59" s="206" t="s">
        <v>5020</v>
      </c>
    </row>
    <row r="60" spans="1:342" ht="14.4" x14ac:dyDescent="0.3">
      <c r="A60" s="92">
        <v>57</v>
      </c>
      <c r="B60" s="312"/>
      <c r="C60" s="54" t="s">
        <v>492</v>
      </c>
      <c r="D60" s="14" t="s">
        <v>442</v>
      </c>
      <c r="E60" s="12">
        <v>1</v>
      </c>
      <c r="F60" s="12">
        <v>1</v>
      </c>
      <c r="G60" s="12">
        <v>1</v>
      </c>
      <c r="H60" s="12">
        <v>1</v>
      </c>
      <c r="I60" s="12">
        <v>1</v>
      </c>
      <c r="J60" s="12">
        <v>1</v>
      </c>
      <c r="K60" s="12">
        <v>1</v>
      </c>
      <c r="L60" s="12">
        <v>1</v>
      </c>
      <c r="M60" s="12">
        <v>1</v>
      </c>
      <c r="N60" s="12">
        <v>1</v>
      </c>
      <c r="O60" s="12">
        <v>1</v>
      </c>
      <c r="P60" s="12">
        <v>1</v>
      </c>
      <c r="Q60" s="12">
        <v>1</v>
      </c>
      <c r="R60" s="12">
        <v>1</v>
      </c>
      <c r="S60" s="12">
        <v>1</v>
      </c>
      <c r="T60" s="12">
        <v>1</v>
      </c>
      <c r="U60" s="12">
        <v>1</v>
      </c>
      <c r="V60" s="12">
        <v>1</v>
      </c>
      <c r="W60" s="12">
        <v>1</v>
      </c>
      <c r="X60" s="12">
        <v>1</v>
      </c>
      <c r="Y60" s="12">
        <v>1</v>
      </c>
      <c r="Z60" s="12">
        <v>1</v>
      </c>
      <c r="AA60" s="12">
        <v>1</v>
      </c>
      <c r="AB60" s="12">
        <v>1</v>
      </c>
      <c r="AC60" s="12">
        <v>1</v>
      </c>
      <c r="AD60" s="12">
        <v>1</v>
      </c>
      <c r="AE60" s="12">
        <v>1</v>
      </c>
      <c r="AF60" s="12">
        <v>1</v>
      </c>
      <c r="AG60" s="12">
        <v>1</v>
      </c>
      <c r="AH60" s="12">
        <v>1</v>
      </c>
      <c r="AI60" s="12">
        <v>1</v>
      </c>
      <c r="AJ60" s="12">
        <v>1</v>
      </c>
      <c r="AK60" s="12">
        <v>1</v>
      </c>
      <c r="AL60" s="12">
        <v>1</v>
      </c>
      <c r="AM60" s="12">
        <v>1</v>
      </c>
      <c r="AN60" s="12">
        <v>1</v>
      </c>
      <c r="AO60" s="12">
        <v>1</v>
      </c>
      <c r="AP60" s="12">
        <v>1</v>
      </c>
      <c r="AQ60" s="12">
        <v>1</v>
      </c>
      <c r="AR60" s="12">
        <v>1</v>
      </c>
      <c r="AS60" s="12">
        <v>1</v>
      </c>
      <c r="AT60" s="12">
        <v>1</v>
      </c>
      <c r="AU60" s="12">
        <v>1</v>
      </c>
      <c r="AV60" s="12">
        <v>1</v>
      </c>
      <c r="AW60" s="12">
        <v>1</v>
      </c>
      <c r="AX60" s="12">
        <v>1</v>
      </c>
      <c r="AY60" s="12">
        <v>1</v>
      </c>
      <c r="AZ60" s="12">
        <v>1</v>
      </c>
      <c r="BA60" s="12">
        <v>1</v>
      </c>
      <c r="BB60" s="12">
        <v>1</v>
      </c>
      <c r="BC60" s="12">
        <v>1</v>
      </c>
      <c r="BD60" s="12">
        <v>1</v>
      </c>
      <c r="BE60" s="12">
        <v>1</v>
      </c>
      <c r="BF60" s="12">
        <v>1</v>
      </c>
      <c r="BG60" s="12">
        <v>1</v>
      </c>
      <c r="BH60" s="12">
        <v>1</v>
      </c>
      <c r="BI60" s="12">
        <v>1</v>
      </c>
      <c r="BJ60" s="12">
        <v>1</v>
      </c>
      <c r="BK60" s="12">
        <v>1</v>
      </c>
      <c r="BL60" s="105">
        <v>1</v>
      </c>
      <c r="BM60" s="37">
        <v>1</v>
      </c>
      <c r="BN60" s="37">
        <v>1</v>
      </c>
      <c r="BO60" s="37">
        <v>1</v>
      </c>
      <c r="BP60" s="37">
        <v>1</v>
      </c>
      <c r="BQ60" s="37">
        <v>1</v>
      </c>
      <c r="BR60" s="117">
        <v>1</v>
      </c>
      <c r="BS60" s="105">
        <v>1</v>
      </c>
      <c r="BT60" s="105">
        <v>1</v>
      </c>
      <c r="BU60" s="65">
        <v>1</v>
      </c>
      <c r="BV60" s="65">
        <v>1</v>
      </c>
      <c r="BW60" s="65">
        <v>1</v>
      </c>
      <c r="BX60" s="65">
        <v>1</v>
      </c>
      <c r="BY60" s="65">
        <v>1</v>
      </c>
      <c r="BZ60" s="65">
        <v>1</v>
      </c>
      <c r="CA60" s="41">
        <v>1</v>
      </c>
      <c r="CB60" s="41">
        <v>1</v>
      </c>
      <c r="CC60" s="41">
        <v>1</v>
      </c>
      <c r="CD60" s="41">
        <v>1</v>
      </c>
      <c r="CE60" s="41">
        <v>1</v>
      </c>
      <c r="CF60" s="41">
        <v>1</v>
      </c>
      <c r="CG60" s="41">
        <v>1</v>
      </c>
      <c r="CH60" s="41">
        <v>1</v>
      </c>
      <c r="CI60" s="41">
        <v>1</v>
      </c>
      <c r="CJ60" s="41">
        <v>1</v>
      </c>
      <c r="CK60" s="41">
        <v>1</v>
      </c>
      <c r="CL60" s="41">
        <v>1</v>
      </c>
      <c r="CM60" s="41">
        <v>1</v>
      </c>
      <c r="CN60" s="41">
        <v>1</v>
      </c>
      <c r="CO60" s="41">
        <v>1</v>
      </c>
      <c r="CP60" s="41">
        <v>1</v>
      </c>
      <c r="CQ60" s="41">
        <v>1</v>
      </c>
      <c r="CR60" s="41">
        <v>1</v>
      </c>
      <c r="CS60" s="41">
        <v>1</v>
      </c>
      <c r="CT60" s="41">
        <v>1</v>
      </c>
      <c r="CU60" s="41">
        <v>1</v>
      </c>
      <c r="CV60" s="41">
        <v>1</v>
      </c>
      <c r="CW60" s="41">
        <v>1</v>
      </c>
      <c r="CX60" s="41">
        <v>1</v>
      </c>
      <c r="CY60" s="41">
        <v>1</v>
      </c>
      <c r="CZ60" s="41">
        <v>1</v>
      </c>
      <c r="DA60" s="41">
        <v>1</v>
      </c>
      <c r="DB60" s="41">
        <v>1</v>
      </c>
      <c r="DC60" s="41">
        <v>1</v>
      </c>
      <c r="DD60" s="41">
        <v>1</v>
      </c>
      <c r="DE60" s="41">
        <v>1</v>
      </c>
      <c r="DF60" s="41">
        <v>1</v>
      </c>
      <c r="DG60" s="41">
        <v>1</v>
      </c>
      <c r="DH60" s="41">
        <v>1</v>
      </c>
      <c r="DI60" s="41">
        <v>1</v>
      </c>
      <c r="DJ60" s="41">
        <v>1</v>
      </c>
      <c r="DK60" s="41">
        <v>1</v>
      </c>
      <c r="DL60" s="41">
        <v>1</v>
      </c>
      <c r="DM60" s="41">
        <v>1</v>
      </c>
      <c r="DN60" s="41">
        <v>1</v>
      </c>
      <c r="DO60" s="93">
        <v>1</v>
      </c>
      <c r="DP60" s="41">
        <v>1</v>
      </c>
      <c r="DQ60" s="105">
        <v>1</v>
      </c>
      <c r="DR60" s="105">
        <v>1</v>
      </c>
      <c r="DS60" s="105">
        <v>1</v>
      </c>
      <c r="DT60" s="105">
        <v>1</v>
      </c>
      <c r="DU60" s="41">
        <v>1</v>
      </c>
      <c r="DV60" s="105">
        <v>1</v>
      </c>
      <c r="DW60" s="184">
        <v>1</v>
      </c>
      <c r="DX60" s="184">
        <v>1</v>
      </c>
      <c r="DY60" s="184">
        <v>1</v>
      </c>
      <c r="DZ60" s="184">
        <v>1</v>
      </c>
      <c r="EA60" s="184">
        <v>1</v>
      </c>
      <c r="EB60" s="184">
        <v>1</v>
      </c>
      <c r="EC60" s="184">
        <v>1</v>
      </c>
      <c r="ED60" s="184">
        <v>1</v>
      </c>
      <c r="EE60" s="184">
        <v>1</v>
      </c>
      <c r="EF60" s="184">
        <v>1</v>
      </c>
      <c r="EG60" s="184">
        <v>1</v>
      </c>
      <c r="EH60" s="65">
        <v>1</v>
      </c>
      <c r="EI60" s="188">
        <v>1</v>
      </c>
      <c r="EJ60" s="184">
        <v>1</v>
      </c>
      <c r="EK60" s="188">
        <v>1</v>
      </c>
      <c r="EL60" s="184">
        <v>1</v>
      </c>
      <c r="EM60" s="188">
        <v>1</v>
      </c>
      <c r="EN60" s="184">
        <v>1</v>
      </c>
      <c r="EO60" s="184">
        <v>1</v>
      </c>
      <c r="EP60" s="184">
        <v>1</v>
      </c>
      <c r="EQ60" s="184">
        <v>1</v>
      </c>
      <c r="ER60" s="65">
        <v>1</v>
      </c>
      <c r="ES60" s="184">
        <v>1</v>
      </c>
      <c r="ET60" s="184">
        <v>1</v>
      </c>
      <c r="EU60" s="184">
        <v>1</v>
      </c>
      <c r="EV60" s="184">
        <v>1</v>
      </c>
      <c r="EW60" s="65">
        <v>1</v>
      </c>
      <c r="EX60" s="184">
        <v>1</v>
      </c>
      <c r="EY60" s="184">
        <v>1</v>
      </c>
      <c r="EZ60" s="184">
        <v>1</v>
      </c>
      <c r="FA60" s="41">
        <v>1</v>
      </c>
      <c r="FB60" s="41">
        <v>1</v>
      </c>
      <c r="FC60" s="41">
        <v>1</v>
      </c>
      <c r="FD60" s="41">
        <v>1</v>
      </c>
      <c r="FE60" s="41">
        <v>1</v>
      </c>
      <c r="FF60" s="41">
        <v>1</v>
      </c>
      <c r="FG60" s="41">
        <v>1</v>
      </c>
      <c r="FH60" s="41">
        <v>1</v>
      </c>
      <c r="FI60" s="41">
        <v>1</v>
      </c>
      <c r="FJ60" s="41">
        <v>1</v>
      </c>
      <c r="FK60" s="41">
        <v>1</v>
      </c>
      <c r="FL60" s="41">
        <v>1</v>
      </c>
      <c r="FM60" s="202">
        <v>1</v>
      </c>
      <c r="FN60" s="188">
        <v>1</v>
      </c>
      <c r="FO60" s="188">
        <v>1</v>
      </c>
      <c r="FP60" s="188">
        <v>1</v>
      </c>
      <c r="FQ60" s="188">
        <v>1</v>
      </c>
      <c r="FR60" s="184">
        <v>1</v>
      </c>
      <c r="FS60" s="188">
        <v>1</v>
      </c>
      <c r="FT60" s="188">
        <v>1</v>
      </c>
      <c r="FU60" s="188">
        <v>1</v>
      </c>
      <c r="FV60" s="184">
        <v>1</v>
      </c>
      <c r="FW60" s="184">
        <v>1</v>
      </c>
      <c r="FX60" s="184">
        <v>1</v>
      </c>
      <c r="FY60" s="207">
        <v>1</v>
      </c>
      <c r="FZ60" s="65">
        <v>1</v>
      </c>
      <c r="GA60" s="184">
        <v>1</v>
      </c>
      <c r="GB60" s="65">
        <v>1</v>
      </c>
      <c r="GC60" s="65">
        <v>1</v>
      </c>
      <c r="GD60" s="188">
        <v>1</v>
      </c>
      <c r="GE60" s="65">
        <v>1</v>
      </c>
      <c r="GF60" s="184">
        <v>1</v>
      </c>
      <c r="GG60" s="188">
        <v>1</v>
      </c>
      <c r="GH60" s="184">
        <v>1</v>
      </c>
      <c r="GI60" s="184">
        <v>1</v>
      </c>
      <c r="GJ60" s="184">
        <v>1</v>
      </c>
      <c r="GK60" s="184">
        <v>1</v>
      </c>
      <c r="GL60" s="184">
        <v>1</v>
      </c>
      <c r="GM60" s="207">
        <v>1</v>
      </c>
      <c r="GN60" s="184">
        <v>1</v>
      </c>
      <c r="GO60" s="184">
        <v>1</v>
      </c>
      <c r="GP60" s="184">
        <v>1</v>
      </c>
      <c r="GQ60" s="188">
        <v>1</v>
      </c>
      <c r="GR60" s="184">
        <v>1</v>
      </c>
      <c r="GS60" s="182">
        <v>1</v>
      </c>
      <c r="GT60" s="184">
        <v>1</v>
      </c>
      <c r="GU60" s="182">
        <v>1</v>
      </c>
      <c r="GV60" s="184">
        <v>1</v>
      </c>
      <c r="GW60" s="184">
        <v>1</v>
      </c>
      <c r="GX60" s="65">
        <v>1</v>
      </c>
      <c r="GY60" s="184">
        <v>1</v>
      </c>
      <c r="GZ60" s="188">
        <v>1</v>
      </c>
      <c r="HA60" s="182">
        <v>1</v>
      </c>
      <c r="HB60" s="184">
        <v>1</v>
      </c>
      <c r="HC60" s="182">
        <v>1</v>
      </c>
      <c r="HD60" s="188">
        <v>1</v>
      </c>
      <c r="HE60" s="184">
        <v>1</v>
      </c>
      <c r="HF60" s="184">
        <v>1</v>
      </c>
      <c r="HG60" s="188">
        <v>1</v>
      </c>
      <c r="HH60" s="184">
        <v>1</v>
      </c>
      <c r="HI60" s="202">
        <v>1</v>
      </c>
      <c r="HJ60" s="184">
        <v>1</v>
      </c>
      <c r="HK60" s="184">
        <v>1</v>
      </c>
      <c r="HL60" s="65">
        <v>1</v>
      </c>
      <c r="HM60" s="184">
        <v>1</v>
      </c>
      <c r="HN60" s="184">
        <v>1</v>
      </c>
      <c r="HO60" s="184">
        <v>1</v>
      </c>
      <c r="HP60" s="184">
        <v>1</v>
      </c>
      <c r="HQ60" s="184">
        <v>1</v>
      </c>
      <c r="HR60" s="184">
        <v>1</v>
      </c>
      <c r="HS60" s="232">
        <v>1</v>
      </c>
      <c r="HT60" s="184">
        <v>1</v>
      </c>
      <c r="HU60" s="184">
        <v>1</v>
      </c>
      <c r="HV60" s="184">
        <v>1</v>
      </c>
      <c r="HW60" s="65">
        <v>1</v>
      </c>
      <c r="HX60" s="184">
        <v>1</v>
      </c>
      <c r="HY60" s="232">
        <v>1</v>
      </c>
      <c r="HZ60" s="65">
        <v>1</v>
      </c>
      <c r="IA60" s="184">
        <v>1</v>
      </c>
      <c r="IB60" s="184">
        <v>1</v>
      </c>
      <c r="IC60" s="65">
        <v>1</v>
      </c>
      <c r="ID60" s="184">
        <v>1</v>
      </c>
      <c r="IE60" s="184">
        <v>1</v>
      </c>
      <c r="IF60" s="185">
        <v>1</v>
      </c>
      <c r="IG60" s="185">
        <v>1</v>
      </c>
      <c r="IH60" s="185">
        <v>1</v>
      </c>
      <c r="II60" s="185">
        <v>1</v>
      </c>
      <c r="IJ60" s="185">
        <v>1</v>
      </c>
      <c r="IK60" s="185">
        <v>1</v>
      </c>
      <c r="IL60" s="185">
        <v>1</v>
      </c>
      <c r="IM60" s="65">
        <v>1</v>
      </c>
      <c r="IN60" s="65">
        <v>1</v>
      </c>
      <c r="IO60" s="182">
        <v>1</v>
      </c>
      <c r="IP60" s="182">
        <v>1</v>
      </c>
      <c r="IQ60" s="184">
        <v>1</v>
      </c>
      <c r="IR60" s="65">
        <v>1</v>
      </c>
      <c r="IS60" s="182">
        <v>1</v>
      </c>
      <c r="IT60" s="182">
        <v>1</v>
      </c>
      <c r="IU60" s="184">
        <v>1</v>
      </c>
      <c r="IV60" s="184">
        <v>1</v>
      </c>
      <c r="IW60" s="184">
        <v>1</v>
      </c>
      <c r="IX60" s="232"/>
      <c r="IY60" s="184">
        <v>1</v>
      </c>
      <c r="IZ60" s="184">
        <v>1</v>
      </c>
      <c r="JA60" s="65">
        <v>1</v>
      </c>
      <c r="JB60" s="65">
        <v>1</v>
      </c>
      <c r="JC60" s="65">
        <v>1</v>
      </c>
      <c r="JD60" s="65">
        <v>1</v>
      </c>
      <c r="JE60" s="65">
        <v>1</v>
      </c>
      <c r="JF60" s="65">
        <v>1</v>
      </c>
      <c r="JG60" s="65">
        <v>1</v>
      </c>
      <c r="JH60" s="184">
        <v>1</v>
      </c>
      <c r="JI60" s="65">
        <v>1</v>
      </c>
      <c r="JJ60" s="251">
        <v>1</v>
      </c>
      <c r="JK60" s="251">
        <v>1</v>
      </c>
      <c r="JL60" s="251">
        <v>1</v>
      </c>
      <c r="JM60" s="251">
        <v>1</v>
      </c>
      <c r="JN60" s="184">
        <v>1</v>
      </c>
      <c r="JO60" s="184">
        <v>1</v>
      </c>
      <c r="JP60" s="65">
        <v>1</v>
      </c>
      <c r="JQ60" s="184">
        <v>1</v>
      </c>
      <c r="JR60" s="184">
        <v>1</v>
      </c>
      <c r="JS60" s="65">
        <v>1</v>
      </c>
      <c r="JT60" s="65">
        <v>1</v>
      </c>
      <c r="JU60" s="65">
        <v>1</v>
      </c>
      <c r="JV60" s="65">
        <v>1</v>
      </c>
      <c r="JW60" s="65">
        <v>1</v>
      </c>
      <c r="JX60" s="65">
        <v>1</v>
      </c>
      <c r="JY60" s="65">
        <v>1</v>
      </c>
      <c r="JZ60" s="65">
        <v>1</v>
      </c>
      <c r="KA60" s="65">
        <v>1</v>
      </c>
      <c r="KB60" s="65">
        <v>1</v>
      </c>
      <c r="KC60" s="65">
        <v>1</v>
      </c>
      <c r="KD60" s="65">
        <v>1</v>
      </c>
      <c r="KE60" s="65">
        <v>1</v>
      </c>
      <c r="KF60" s="65">
        <v>1</v>
      </c>
      <c r="KG60" s="182">
        <v>1</v>
      </c>
      <c r="KH60" s="182">
        <v>1</v>
      </c>
      <c r="KI60" s="182">
        <v>1</v>
      </c>
      <c r="KJ60" s="184">
        <v>1</v>
      </c>
      <c r="KK60" s="184">
        <v>1</v>
      </c>
      <c r="KL60" s="184">
        <v>1</v>
      </c>
      <c r="KM60" s="184">
        <v>1</v>
      </c>
      <c r="KN60" s="188">
        <v>1</v>
      </c>
      <c r="KO60" s="184">
        <v>1</v>
      </c>
      <c r="KP60" s="184">
        <v>1</v>
      </c>
      <c r="KQ60" s="184">
        <v>1</v>
      </c>
      <c r="KR60" s="65">
        <v>1</v>
      </c>
      <c r="KS60" s="65">
        <v>1</v>
      </c>
      <c r="KT60" s="65">
        <v>1</v>
      </c>
      <c r="KU60" s="65">
        <v>1</v>
      </c>
      <c r="KV60" s="65">
        <v>1</v>
      </c>
      <c r="KW60" s="65">
        <v>1</v>
      </c>
      <c r="KX60" s="65">
        <v>1</v>
      </c>
      <c r="KY60" s="251">
        <v>1</v>
      </c>
      <c r="KZ60" s="251">
        <v>1</v>
      </c>
      <c r="LA60" s="272">
        <v>1</v>
      </c>
      <c r="LB60" s="65">
        <v>1</v>
      </c>
      <c r="LC60" s="184">
        <v>1</v>
      </c>
      <c r="LD60" s="184">
        <v>1</v>
      </c>
      <c r="LE60" s="184">
        <v>1</v>
      </c>
      <c r="LF60" s="184">
        <v>1</v>
      </c>
      <c r="LG60" s="184">
        <v>1</v>
      </c>
      <c r="LH60" s="184">
        <v>1</v>
      </c>
      <c r="LI60" s="184">
        <v>1</v>
      </c>
      <c r="LJ60" s="184">
        <v>1</v>
      </c>
      <c r="LK60" s="184">
        <v>1</v>
      </c>
      <c r="LL60" s="272">
        <v>1</v>
      </c>
      <c r="LM60" s="270">
        <v>1</v>
      </c>
      <c r="LN60" s="270">
        <v>1</v>
      </c>
      <c r="LO60" s="184">
        <v>1</v>
      </c>
      <c r="LP60" s="184">
        <v>1</v>
      </c>
      <c r="LQ60" s="283">
        <v>1</v>
      </c>
      <c r="LR60" s="184">
        <v>1</v>
      </c>
      <c r="LS60" s="184">
        <v>1</v>
      </c>
      <c r="LT60" s="184">
        <v>1</v>
      </c>
      <c r="LU60" s="184">
        <v>1</v>
      </c>
      <c r="LV60" s="287">
        <v>1</v>
      </c>
      <c r="LW60" s="184">
        <v>1</v>
      </c>
      <c r="LX60" s="184">
        <v>1</v>
      </c>
      <c r="LY60" s="184">
        <v>1</v>
      </c>
      <c r="LZ60" s="184">
        <v>1</v>
      </c>
      <c r="MA60" s="184">
        <v>1</v>
      </c>
      <c r="MB60" s="184">
        <v>1</v>
      </c>
      <c r="MC60" s="115">
        <v>1</v>
      </c>
      <c r="MD60" s="115">
        <v>1</v>
      </c>
    </row>
    <row r="61" spans="1:342" ht="14.1" customHeight="1" x14ac:dyDescent="0.3">
      <c r="A61" s="92">
        <v>58</v>
      </c>
      <c r="B61" s="313" t="s">
        <v>342</v>
      </c>
      <c r="C61" s="13" t="s">
        <v>493</v>
      </c>
      <c r="D61" s="29"/>
      <c r="E61" s="8">
        <v>43221</v>
      </c>
      <c r="F61" s="9">
        <v>43266</v>
      </c>
      <c r="G61" s="9">
        <v>43215</v>
      </c>
      <c r="H61" s="2" t="s">
        <v>845</v>
      </c>
      <c r="I61" s="9">
        <v>43214</v>
      </c>
      <c r="J61" s="2" t="s">
        <v>845</v>
      </c>
      <c r="K61" s="8">
        <v>43292</v>
      </c>
      <c r="L61" s="9">
        <v>41344</v>
      </c>
      <c r="M61" s="9">
        <v>41435</v>
      </c>
      <c r="N61" s="9">
        <v>41344</v>
      </c>
      <c r="O61" s="9">
        <v>43215</v>
      </c>
      <c r="P61" s="9">
        <v>43223</v>
      </c>
      <c r="Q61" s="9">
        <v>43215</v>
      </c>
      <c r="R61" s="9">
        <v>43233</v>
      </c>
      <c r="S61" s="9">
        <v>43233</v>
      </c>
      <c r="T61" s="9">
        <v>43233</v>
      </c>
      <c r="U61" s="8">
        <v>43266</v>
      </c>
      <c r="V61" s="8">
        <v>43266</v>
      </c>
      <c r="W61" s="8">
        <v>43266</v>
      </c>
      <c r="X61" s="8">
        <v>43268</v>
      </c>
      <c r="Y61" s="8">
        <v>43268</v>
      </c>
      <c r="Z61" s="8">
        <v>43268</v>
      </c>
      <c r="AA61" s="8">
        <v>43269</v>
      </c>
      <c r="AB61" s="8">
        <v>43273</v>
      </c>
      <c r="AC61" s="8">
        <v>43273</v>
      </c>
      <c r="AD61" s="8">
        <v>43273</v>
      </c>
      <c r="AE61" s="8">
        <v>43273</v>
      </c>
      <c r="AF61" s="8">
        <v>43273</v>
      </c>
      <c r="AG61" s="8">
        <v>43273</v>
      </c>
      <c r="AH61" s="8">
        <v>43273</v>
      </c>
      <c r="AI61" s="8">
        <v>43273</v>
      </c>
      <c r="AJ61" s="8">
        <v>43273</v>
      </c>
      <c r="AK61" s="8">
        <v>43273</v>
      </c>
      <c r="AL61" s="8">
        <v>43273</v>
      </c>
      <c r="AM61" s="8">
        <v>43273</v>
      </c>
      <c r="AN61" s="8">
        <v>43279</v>
      </c>
      <c r="AO61" s="8">
        <v>43279</v>
      </c>
      <c r="AP61" s="8">
        <v>43279</v>
      </c>
      <c r="AQ61" s="8">
        <v>43279</v>
      </c>
      <c r="AR61" s="8">
        <v>43279</v>
      </c>
      <c r="AS61" s="8">
        <v>43279</v>
      </c>
      <c r="AT61" s="8">
        <v>43284</v>
      </c>
      <c r="AU61" s="8">
        <v>43284</v>
      </c>
      <c r="AV61" s="8">
        <v>43284</v>
      </c>
      <c r="AW61" s="8">
        <v>43284</v>
      </c>
      <c r="AX61" s="103">
        <v>43284</v>
      </c>
      <c r="AY61" s="9">
        <v>43266</v>
      </c>
      <c r="AZ61" s="9">
        <v>43266</v>
      </c>
      <c r="BA61" s="9">
        <v>43270</v>
      </c>
      <c r="BB61" s="9">
        <v>43277</v>
      </c>
      <c r="BC61" s="8">
        <v>43293</v>
      </c>
      <c r="BD61" s="8">
        <v>43293</v>
      </c>
      <c r="BE61" s="8">
        <v>43293</v>
      </c>
      <c r="BF61" s="8">
        <v>43293</v>
      </c>
      <c r="BG61" s="8">
        <v>43293</v>
      </c>
      <c r="BH61" s="8">
        <v>43293</v>
      </c>
      <c r="BI61" s="8">
        <v>42281</v>
      </c>
      <c r="BJ61" s="8">
        <v>43255</v>
      </c>
      <c r="BK61" s="9">
        <v>43348</v>
      </c>
      <c r="BL61" s="9">
        <v>43348</v>
      </c>
      <c r="BM61" s="9">
        <v>43348</v>
      </c>
      <c r="BN61" s="9">
        <v>43348</v>
      </c>
      <c r="BO61" s="9">
        <v>43348</v>
      </c>
      <c r="BP61" s="9">
        <v>43348</v>
      </c>
      <c r="BQ61" s="9">
        <v>43348</v>
      </c>
      <c r="BR61" s="9">
        <v>44871</v>
      </c>
      <c r="BS61" s="9">
        <v>44870</v>
      </c>
      <c r="BT61" s="9">
        <v>44871</v>
      </c>
      <c r="BU61" s="157" t="s">
        <v>1446</v>
      </c>
      <c r="BV61" s="157" t="s">
        <v>1458</v>
      </c>
      <c r="BW61" s="157">
        <v>44871</v>
      </c>
      <c r="BX61" s="157" t="s">
        <v>1458</v>
      </c>
      <c r="BY61" s="157" t="s">
        <v>1446</v>
      </c>
      <c r="BZ61" s="157" t="s">
        <v>1446</v>
      </c>
      <c r="CA61" s="157">
        <v>45140</v>
      </c>
      <c r="CB61" s="157">
        <v>44779</v>
      </c>
      <c r="CC61" s="157">
        <v>45137</v>
      </c>
      <c r="CD61" s="157">
        <v>44779</v>
      </c>
      <c r="CE61" s="157">
        <v>45140</v>
      </c>
      <c r="CF61" s="157">
        <v>45140</v>
      </c>
      <c r="CG61" s="157">
        <v>44779</v>
      </c>
      <c r="CH61" s="157">
        <v>45137</v>
      </c>
      <c r="CI61" s="157">
        <v>45165</v>
      </c>
      <c r="CJ61" s="157">
        <v>45182</v>
      </c>
      <c r="CK61" s="157">
        <v>45182</v>
      </c>
      <c r="CL61" s="157">
        <v>45182</v>
      </c>
      <c r="CM61" s="157">
        <v>45165</v>
      </c>
      <c r="CN61" s="157">
        <v>44779</v>
      </c>
      <c r="CO61" s="157">
        <v>45164</v>
      </c>
      <c r="CP61" s="157">
        <v>45164</v>
      </c>
      <c r="CQ61" s="157">
        <v>45164</v>
      </c>
      <c r="CR61" s="157">
        <v>44779</v>
      </c>
      <c r="CS61" s="157">
        <v>45137</v>
      </c>
      <c r="CT61" s="157">
        <v>45140</v>
      </c>
      <c r="CU61" s="157">
        <v>45137</v>
      </c>
      <c r="CV61" s="157">
        <v>44779</v>
      </c>
      <c r="CW61" s="157">
        <v>45137</v>
      </c>
      <c r="CX61" s="157">
        <v>45399</v>
      </c>
      <c r="CY61" s="157">
        <v>45400</v>
      </c>
      <c r="CZ61" s="157">
        <v>45389</v>
      </c>
      <c r="DA61" s="157">
        <v>45389</v>
      </c>
      <c r="DB61" s="157">
        <v>45395</v>
      </c>
      <c r="DC61" s="157">
        <v>45369</v>
      </c>
      <c r="DD61" s="157">
        <v>45356</v>
      </c>
      <c r="DE61" s="157">
        <v>45399</v>
      </c>
      <c r="DF61" s="157">
        <v>45390</v>
      </c>
      <c r="DG61" s="157">
        <v>45368</v>
      </c>
      <c r="DH61" s="157">
        <v>45399</v>
      </c>
      <c r="DI61" s="157">
        <v>45400</v>
      </c>
      <c r="DJ61" s="157">
        <v>37373</v>
      </c>
      <c r="DK61" s="157">
        <v>45364</v>
      </c>
      <c r="DL61" s="157">
        <v>45580</v>
      </c>
      <c r="DM61" s="157">
        <v>43684</v>
      </c>
      <c r="DN61" s="176">
        <v>43684</v>
      </c>
      <c r="DO61" s="176">
        <v>45359</v>
      </c>
      <c r="DP61" s="172">
        <v>45611</v>
      </c>
      <c r="DQ61" s="172">
        <v>45611</v>
      </c>
      <c r="DR61" s="172">
        <v>45611</v>
      </c>
      <c r="DS61" s="172">
        <v>45611</v>
      </c>
      <c r="DT61" s="172">
        <v>45611</v>
      </c>
      <c r="DU61" s="172">
        <v>45611</v>
      </c>
      <c r="DV61" s="172">
        <v>45628</v>
      </c>
      <c r="DW61" s="157">
        <v>45690</v>
      </c>
      <c r="DX61" s="157">
        <v>45690</v>
      </c>
      <c r="DY61" s="157">
        <v>45730</v>
      </c>
      <c r="DZ61" s="157">
        <v>45336</v>
      </c>
      <c r="EA61" s="157">
        <v>45730</v>
      </c>
      <c r="EB61" s="157">
        <v>45730</v>
      </c>
      <c r="EC61" s="157">
        <v>45720</v>
      </c>
      <c r="ED61" s="157">
        <v>45696</v>
      </c>
      <c r="EE61" s="157">
        <v>45696</v>
      </c>
      <c r="EF61" s="157">
        <v>45695</v>
      </c>
      <c r="EG61" s="157">
        <v>45695</v>
      </c>
      <c r="EH61" s="157">
        <v>45718</v>
      </c>
      <c r="EI61" s="189">
        <v>45413</v>
      </c>
      <c r="EJ61" s="192">
        <v>45413</v>
      </c>
      <c r="EK61" s="192">
        <v>45413</v>
      </c>
      <c r="EL61" s="192">
        <v>45413</v>
      </c>
      <c r="EM61" s="189">
        <v>45413</v>
      </c>
      <c r="EN61" s="157">
        <v>45730</v>
      </c>
      <c r="EO61" s="157">
        <v>45701</v>
      </c>
      <c r="EP61" s="157">
        <v>45701</v>
      </c>
      <c r="EQ61" s="157">
        <v>45717</v>
      </c>
      <c r="ER61" s="157">
        <v>45633</v>
      </c>
      <c r="ES61" s="157">
        <v>45633</v>
      </c>
      <c r="ET61" s="157">
        <v>45720</v>
      </c>
      <c r="EU61" s="157">
        <v>45616</v>
      </c>
      <c r="EV61" s="157">
        <v>45728</v>
      </c>
      <c r="EW61" s="157">
        <v>45727</v>
      </c>
      <c r="EX61" s="157">
        <v>45631</v>
      </c>
      <c r="EY61" s="157">
        <v>45696</v>
      </c>
      <c r="EZ61" s="157">
        <v>45696</v>
      </c>
      <c r="FA61" s="157">
        <v>43189</v>
      </c>
      <c r="FB61" s="157">
        <v>43189</v>
      </c>
      <c r="FC61" s="157">
        <v>43189</v>
      </c>
      <c r="FD61" s="157">
        <v>43101</v>
      </c>
      <c r="FE61" s="192">
        <v>45413</v>
      </c>
      <c r="FF61" s="193">
        <v>45736</v>
      </c>
      <c r="FG61" s="193">
        <v>45736</v>
      </c>
      <c r="FH61" s="193">
        <v>45736</v>
      </c>
      <c r="FI61" s="157">
        <v>45766</v>
      </c>
      <c r="FJ61" s="192">
        <v>45413</v>
      </c>
      <c r="FK61" s="157">
        <v>45727</v>
      </c>
      <c r="FL61" s="157">
        <v>45727</v>
      </c>
      <c r="FM61" s="203">
        <v>45413</v>
      </c>
      <c r="FN61" s="189">
        <v>45413</v>
      </c>
      <c r="FO61" s="189">
        <v>45413</v>
      </c>
      <c r="FP61" s="189">
        <v>45413</v>
      </c>
      <c r="FQ61" s="189">
        <v>45413</v>
      </c>
      <c r="FR61" s="192">
        <v>45413</v>
      </c>
      <c r="FS61" s="189">
        <v>45413</v>
      </c>
      <c r="FT61" s="189">
        <v>45413</v>
      </c>
      <c r="FU61" s="205">
        <v>45413</v>
      </c>
      <c r="FV61" s="157">
        <v>45728</v>
      </c>
      <c r="FW61" s="157">
        <v>45728</v>
      </c>
      <c r="FX61" s="157">
        <v>45728</v>
      </c>
      <c r="FY61" s="157">
        <v>45788</v>
      </c>
      <c r="FZ61" s="157">
        <v>45718</v>
      </c>
      <c r="GA61" s="193">
        <v>45736</v>
      </c>
      <c r="GB61" s="193">
        <v>45736</v>
      </c>
      <c r="GC61" s="193">
        <v>45736</v>
      </c>
      <c r="GD61" s="189">
        <v>45413</v>
      </c>
      <c r="GE61" s="157">
        <v>45797</v>
      </c>
      <c r="GF61" s="192">
        <v>45413</v>
      </c>
      <c r="GG61" s="205">
        <v>45413</v>
      </c>
      <c r="GH61" s="192">
        <v>45413</v>
      </c>
      <c r="GI61" s="192">
        <v>45413</v>
      </c>
      <c r="GJ61" s="192">
        <v>45413</v>
      </c>
      <c r="GK61" s="192">
        <v>45413</v>
      </c>
      <c r="GL61" s="192">
        <v>45413</v>
      </c>
      <c r="GM61" s="157">
        <v>45796</v>
      </c>
      <c r="GN61" s="157">
        <v>45796</v>
      </c>
      <c r="GO61" s="157">
        <v>45805</v>
      </c>
      <c r="GP61" s="192">
        <v>45813</v>
      </c>
      <c r="GQ61" s="205">
        <v>45840</v>
      </c>
      <c r="GR61" s="192">
        <v>45841</v>
      </c>
      <c r="GS61" s="157">
        <v>45835</v>
      </c>
      <c r="GT61" s="192">
        <v>45840</v>
      </c>
      <c r="GU61" s="157">
        <v>45841</v>
      </c>
      <c r="GV61" s="157">
        <v>45870</v>
      </c>
      <c r="GW61" s="157">
        <v>45870</v>
      </c>
      <c r="GX61" s="193">
        <v>45839</v>
      </c>
      <c r="GY61" s="157">
        <v>45870</v>
      </c>
      <c r="GZ61" s="205">
        <v>45392</v>
      </c>
      <c r="HA61" s="192">
        <v>45413</v>
      </c>
      <c r="HB61" s="192">
        <v>45413</v>
      </c>
      <c r="HC61" s="192">
        <v>45413</v>
      </c>
      <c r="HD61" s="205">
        <v>45392</v>
      </c>
      <c r="HE61" s="192">
        <v>45893</v>
      </c>
      <c r="HF61" s="192">
        <v>45893</v>
      </c>
      <c r="HG61" s="189">
        <v>45413</v>
      </c>
      <c r="HH61" s="192">
        <v>45893</v>
      </c>
      <c r="HI61" s="203">
        <v>45413</v>
      </c>
      <c r="HJ61" s="192">
        <v>45894</v>
      </c>
      <c r="HK61" s="192">
        <v>45894</v>
      </c>
      <c r="HL61" s="193">
        <v>45820</v>
      </c>
      <c r="HM61" s="193" t="s">
        <v>3437</v>
      </c>
      <c r="HN61" s="157">
        <v>45522</v>
      </c>
      <c r="HO61" s="157">
        <v>46020</v>
      </c>
      <c r="HP61" s="157">
        <v>46020</v>
      </c>
      <c r="HQ61" s="157">
        <v>46020</v>
      </c>
      <c r="HR61" s="193">
        <v>46021</v>
      </c>
      <c r="HS61" s="221">
        <v>46026</v>
      </c>
      <c r="HT61" s="192">
        <v>46011</v>
      </c>
      <c r="HU61" s="157">
        <v>46020</v>
      </c>
      <c r="HV61" s="157">
        <v>45966</v>
      </c>
      <c r="HW61" s="157">
        <v>46026</v>
      </c>
      <c r="HX61" s="157">
        <v>46020</v>
      </c>
      <c r="HY61" s="157">
        <v>46026</v>
      </c>
      <c r="HZ61" s="157">
        <v>46013</v>
      </c>
      <c r="IA61" s="157">
        <v>46020</v>
      </c>
      <c r="IB61" s="157">
        <v>46024</v>
      </c>
      <c r="IC61" s="157">
        <v>46013</v>
      </c>
      <c r="ID61" s="192">
        <v>45945</v>
      </c>
      <c r="IE61" s="157">
        <v>46022</v>
      </c>
      <c r="IF61" s="192">
        <v>46021</v>
      </c>
      <c r="IG61" s="192">
        <v>45413</v>
      </c>
      <c r="IH61" s="192">
        <v>45413</v>
      </c>
      <c r="II61" s="192">
        <v>45901</v>
      </c>
      <c r="IJ61" s="192">
        <v>45920</v>
      </c>
      <c r="IK61" s="237">
        <v>46024</v>
      </c>
      <c r="IL61" s="192">
        <v>46021</v>
      </c>
      <c r="IM61" s="193">
        <v>46021</v>
      </c>
      <c r="IN61" s="193">
        <v>46021</v>
      </c>
      <c r="IO61" s="221">
        <v>45376</v>
      </c>
      <c r="IP61" s="221">
        <v>45376</v>
      </c>
      <c r="IQ61" s="157">
        <v>46024</v>
      </c>
      <c r="IR61" s="193">
        <v>46021</v>
      </c>
      <c r="IS61" s="157">
        <v>46028</v>
      </c>
      <c r="IT61" s="221">
        <v>46029</v>
      </c>
      <c r="IU61" s="157">
        <v>46028</v>
      </c>
      <c r="IV61" s="157">
        <v>45823</v>
      </c>
      <c r="IW61" s="157">
        <v>46035</v>
      </c>
      <c r="IX61" s="221"/>
      <c r="IY61" s="157">
        <v>46031</v>
      </c>
      <c r="IZ61" s="157">
        <v>46031</v>
      </c>
      <c r="JA61" s="157">
        <v>46044</v>
      </c>
      <c r="JB61" s="157">
        <v>46036</v>
      </c>
      <c r="JC61" s="157">
        <v>46036</v>
      </c>
      <c r="JD61" s="157">
        <v>46037</v>
      </c>
      <c r="JE61" s="157">
        <v>46037</v>
      </c>
      <c r="JF61" s="157">
        <v>46038</v>
      </c>
      <c r="JG61" s="157">
        <v>46041</v>
      </c>
      <c r="JH61" s="157">
        <v>46040</v>
      </c>
      <c r="JI61" s="157">
        <v>46039</v>
      </c>
      <c r="JJ61" s="252">
        <v>45867</v>
      </c>
      <c r="JK61" s="252">
        <v>45867</v>
      </c>
      <c r="JL61" s="252">
        <v>45867</v>
      </c>
      <c r="JM61" s="252">
        <v>45867</v>
      </c>
      <c r="JN61" s="157">
        <v>46049</v>
      </c>
      <c r="JO61" s="157">
        <v>46048</v>
      </c>
      <c r="JP61" s="157">
        <v>46055</v>
      </c>
      <c r="JQ61" s="157">
        <v>46048</v>
      </c>
      <c r="JR61" s="157">
        <v>46048</v>
      </c>
      <c r="JS61" s="157">
        <v>46052</v>
      </c>
      <c r="JT61" s="157">
        <v>46052</v>
      </c>
      <c r="JU61" s="157">
        <v>46052</v>
      </c>
      <c r="JV61" s="157">
        <v>46052</v>
      </c>
      <c r="JW61" s="157">
        <v>46052</v>
      </c>
      <c r="JX61" s="157">
        <v>46042</v>
      </c>
      <c r="JY61" s="157">
        <v>46042</v>
      </c>
      <c r="JZ61" s="157">
        <v>46042</v>
      </c>
      <c r="KA61" s="157">
        <v>46042</v>
      </c>
      <c r="KB61" s="157">
        <v>46042</v>
      </c>
      <c r="KC61" s="157">
        <v>46042</v>
      </c>
      <c r="KD61" s="157">
        <v>46056</v>
      </c>
      <c r="KE61" s="157">
        <v>46056</v>
      </c>
      <c r="KF61" s="157">
        <v>46056</v>
      </c>
      <c r="KG61" s="157">
        <v>46057</v>
      </c>
      <c r="KH61" s="157">
        <v>46055</v>
      </c>
      <c r="KI61" s="157">
        <v>46064</v>
      </c>
      <c r="KJ61" s="157">
        <v>46061</v>
      </c>
      <c r="KK61" s="157">
        <v>46061</v>
      </c>
      <c r="KL61" s="157">
        <v>46064</v>
      </c>
      <c r="KM61" s="157">
        <v>46059</v>
      </c>
      <c r="KN61" s="189">
        <v>45704</v>
      </c>
      <c r="KO61" s="157">
        <v>46065</v>
      </c>
      <c r="KP61" s="157">
        <v>46065</v>
      </c>
      <c r="KQ61" s="157">
        <v>46065</v>
      </c>
      <c r="KR61" s="193">
        <v>46069</v>
      </c>
      <c r="KS61" s="193">
        <v>46069</v>
      </c>
      <c r="KT61" s="193">
        <v>46069</v>
      </c>
      <c r="KU61" s="193">
        <v>46069</v>
      </c>
      <c r="KV61" s="193">
        <v>46069</v>
      </c>
      <c r="KW61" s="157">
        <v>46039</v>
      </c>
      <c r="KX61" s="157">
        <v>46039</v>
      </c>
      <c r="KY61" s="252">
        <v>46010</v>
      </c>
      <c r="KZ61" s="252">
        <v>46010</v>
      </c>
      <c r="LA61" s="273">
        <v>46241</v>
      </c>
      <c r="LB61" s="157">
        <v>46241</v>
      </c>
      <c r="LC61" s="157">
        <v>46239</v>
      </c>
      <c r="LD61" s="157">
        <v>46239</v>
      </c>
      <c r="LE61" s="157">
        <v>46239</v>
      </c>
      <c r="LF61" s="157">
        <v>46240</v>
      </c>
      <c r="LG61" s="157">
        <v>45877</v>
      </c>
      <c r="LH61" s="157">
        <v>46240</v>
      </c>
      <c r="LI61" s="157">
        <v>46241</v>
      </c>
      <c r="LJ61" s="157">
        <v>46240</v>
      </c>
      <c r="LK61" s="157">
        <v>46240</v>
      </c>
      <c r="LL61" s="273">
        <v>46240</v>
      </c>
      <c r="LM61" s="271">
        <v>46240</v>
      </c>
      <c r="LN61" s="271">
        <v>46240</v>
      </c>
      <c r="LO61" s="157">
        <v>46242</v>
      </c>
      <c r="LP61" s="157">
        <v>46240</v>
      </c>
      <c r="LQ61" s="284">
        <v>46241</v>
      </c>
      <c r="LR61" s="157">
        <v>45880</v>
      </c>
      <c r="LS61" s="157">
        <v>46258</v>
      </c>
      <c r="LT61" s="157">
        <v>46257</v>
      </c>
      <c r="LU61" s="157">
        <v>46257</v>
      </c>
      <c r="LV61" s="289">
        <v>46257</v>
      </c>
      <c r="LW61" s="157">
        <v>46248</v>
      </c>
      <c r="LX61" s="157">
        <v>46248</v>
      </c>
      <c r="LY61" s="157">
        <v>46261</v>
      </c>
      <c r="LZ61" s="157">
        <v>46262</v>
      </c>
      <c r="MA61" s="157">
        <v>46262</v>
      </c>
      <c r="MB61" s="157">
        <v>46269</v>
      </c>
      <c r="MC61" s="157">
        <v>46254</v>
      </c>
      <c r="MD61" s="157">
        <v>46269</v>
      </c>
    </row>
    <row r="62" spans="1:342" ht="14.4" x14ac:dyDescent="0.3">
      <c r="A62" s="92">
        <v>59</v>
      </c>
      <c r="B62" s="313"/>
      <c r="C62" s="13" t="s">
        <v>446</v>
      </c>
      <c r="D62" s="14" t="s">
        <v>442</v>
      </c>
      <c r="E62" s="8">
        <v>43221</v>
      </c>
      <c r="F62" s="9">
        <v>43266</v>
      </c>
      <c r="G62" s="9">
        <v>43191</v>
      </c>
      <c r="H62" s="9">
        <v>43215</v>
      </c>
      <c r="I62" s="9">
        <v>43214</v>
      </c>
      <c r="J62" s="8">
        <v>43214</v>
      </c>
      <c r="K62" s="8">
        <v>43292</v>
      </c>
      <c r="L62" s="9">
        <v>43215</v>
      </c>
      <c r="M62" s="9">
        <v>43215</v>
      </c>
      <c r="N62" s="9">
        <v>43215</v>
      </c>
      <c r="O62" s="9">
        <v>43215</v>
      </c>
      <c r="P62" s="9">
        <v>43223</v>
      </c>
      <c r="Q62" s="9">
        <v>43224</v>
      </c>
      <c r="R62" s="9">
        <v>43233</v>
      </c>
      <c r="S62" s="9">
        <v>43233</v>
      </c>
      <c r="T62" s="9">
        <v>43233</v>
      </c>
      <c r="U62" s="8">
        <v>43266</v>
      </c>
      <c r="V62" s="8">
        <v>43266</v>
      </c>
      <c r="W62" s="8">
        <v>43266</v>
      </c>
      <c r="X62" s="9">
        <v>43215</v>
      </c>
      <c r="Y62" s="9">
        <v>43215</v>
      </c>
      <c r="Z62" s="9">
        <v>43215</v>
      </c>
      <c r="AA62" s="9">
        <v>43215</v>
      </c>
      <c r="AB62" s="8">
        <v>43273</v>
      </c>
      <c r="AC62" s="8">
        <v>43273</v>
      </c>
      <c r="AD62" s="8">
        <v>43273</v>
      </c>
      <c r="AE62" s="8">
        <v>43273</v>
      </c>
      <c r="AF62" s="8">
        <v>43273</v>
      </c>
      <c r="AG62" s="8">
        <v>43273</v>
      </c>
      <c r="AH62" s="8">
        <v>43273</v>
      </c>
      <c r="AI62" s="8">
        <v>43273</v>
      </c>
      <c r="AJ62" s="8">
        <v>43273</v>
      </c>
      <c r="AK62" s="8">
        <v>43273</v>
      </c>
      <c r="AL62" s="8">
        <v>43273</v>
      </c>
      <c r="AM62" s="8">
        <v>43273</v>
      </c>
      <c r="AN62" s="8">
        <v>43279</v>
      </c>
      <c r="AO62" s="8">
        <v>43279</v>
      </c>
      <c r="AP62" s="8">
        <v>43279</v>
      </c>
      <c r="AQ62" s="8">
        <v>43279</v>
      </c>
      <c r="AR62" s="8">
        <v>43279</v>
      </c>
      <c r="AS62" s="8">
        <v>43279</v>
      </c>
      <c r="AT62" s="8">
        <v>43284</v>
      </c>
      <c r="AU62" s="8">
        <v>43284</v>
      </c>
      <c r="AV62" s="8">
        <v>43284</v>
      </c>
      <c r="AW62" s="8">
        <v>43284</v>
      </c>
      <c r="AX62" s="8">
        <v>43284</v>
      </c>
      <c r="AY62" s="9">
        <v>43266</v>
      </c>
      <c r="AZ62" s="9">
        <v>43266</v>
      </c>
      <c r="BA62" s="9">
        <v>43270</v>
      </c>
      <c r="BB62" s="9">
        <v>43277</v>
      </c>
      <c r="BC62" s="8">
        <v>43293</v>
      </c>
      <c r="BD62" s="8">
        <v>43293</v>
      </c>
      <c r="BE62" s="8">
        <v>43293</v>
      </c>
      <c r="BF62" s="8">
        <v>43293</v>
      </c>
      <c r="BG62" s="8">
        <v>43293</v>
      </c>
      <c r="BH62" s="8">
        <v>43293</v>
      </c>
      <c r="BI62" s="8">
        <v>43255</v>
      </c>
      <c r="BJ62" s="8">
        <v>43255</v>
      </c>
      <c r="BK62" s="9">
        <v>43348</v>
      </c>
      <c r="BL62" s="9">
        <v>43348</v>
      </c>
      <c r="BM62" s="9">
        <v>43348</v>
      </c>
      <c r="BN62" s="9">
        <v>43348</v>
      </c>
      <c r="BO62" s="9">
        <v>43348</v>
      </c>
      <c r="BP62" s="9">
        <v>43348</v>
      </c>
      <c r="BQ62" s="9">
        <v>43348</v>
      </c>
      <c r="BR62" s="9">
        <v>44871</v>
      </c>
      <c r="BS62" s="9">
        <v>44870</v>
      </c>
      <c r="BT62" s="9">
        <v>44871</v>
      </c>
      <c r="BU62" s="157" t="s">
        <v>1446</v>
      </c>
      <c r="BV62" s="157" t="s">
        <v>1458</v>
      </c>
      <c r="BW62" s="157">
        <v>44871</v>
      </c>
      <c r="BX62" s="157" t="s">
        <v>1458</v>
      </c>
      <c r="BY62" s="157" t="s">
        <v>1446</v>
      </c>
      <c r="BZ62" s="157" t="s">
        <v>1446</v>
      </c>
      <c r="CA62" s="157">
        <v>45140</v>
      </c>
      <c r="CB62" s="157">
        <v>44779</v>
      </c>
      <c r="CC62" s="157">
        <v>45137</v>
      </c>
      <c r="CD62" s="157">
        <v>44779</v>
      </c>
      <c r="CE62" s="157">
        <v>45140</v>
      </c>
      <c r="CF62" s="157">
        <v>45140</v>
      </c>
      <c r="CG62" s="157">
        <v>44779</v>
      </c>
      <c r="CH62" s="157">
        <v>45137</v>
      </c>
      <c r="CI62" s="157">
        <v>45165</v>
      </c>
      <c r="CJ62" s="157">
        <v>45182</v>
      </c>
      <c r="CK62" s="157">
        <v>45182</v>
      </c>
      <c r="CL62" s="157">
        <v>45182</v>
      </c>
      <c r="CM62" s="157">
        <v>45165</v>
      </c>
      <c r="CN62" s="157">
        <v>44779</v>
      </c>
      <c r="CO62" s="157">
        <v>45164</v>
      </c>
      <c r="CP62" s="157">
        <v>45164</v>
      </c>
      <c r="CQ62" s="157">
        <v>45164</v>
      </c>
      <c r="CR62" s="157">
        <v>44779</v>
      </c>
      <c r="CS62" s="157">
        <v>45137</v>
      </c>
      <c r="CT62" s="157">
        <v>45140</v>
      </c>
      <c r="CU62" s="157">
        <v>45137</v>
      </c>
      <c r="CV62" s="157">
        <v>44779</v>
      </c>
      <c r="CW62" s="157">
        <v>45137</v>
      </c>
      <c r="CX62" s="157">
        <v>45399</v>
      </c>
      <c r="CY62" s="157">
        <v>45400</v>
      </c>
      <c r="CZ62" s="157">
        <v>45389</v>
      </c>
      <c r="DA62" s="157">
        <v>45389</v>
      </c>
      <c r="DB62" s="157">
        <v>45395</v>
      </c>
      <c r="DC62" s="157">
        <v>45369</v>
      </c>
      <c r="DD62" s="157">
        <v>45356</v>
      </c>
      <c r="DE62" s="157">
        <v>45399</v>
      </c>
      <c r="DF62" s="157">
        <v>45390</v>
      </c>
      <c r="DG62" s="157">
        <v>45368</v>
      </c>
      <c r="DH62" s="157">
        <v>45399</v>
      </c>
      <c r="DI62" s="157">
        <v>45400</v>
      </c>
      <c r="DJ62" s="157">
        <v>37373</v>
      </c>
      <c r="DK62" s="157">
        <v>45364</v>
      </c>
      <c r="DL62" s="157">
        <v>45580</v>
      </c>
      <c r="DM62" s="157">
        <v>45605</v>
      </c>
      <c r="DN62" s="176">
        <v>45602</v>
      </c>
      <c r="DO62" s="176">
        <v>45618</v>
      </c>
      <c r="DP62" s="172">
        <v>45611</v>
      </c>
      <c r="DQ62" s="172">
        <v>45611</v>
      </c>
      <c r="DR62" s="172">
        <v>45611</v>
      </c>
      <c r="DS62" s="172">
        <v>45611</v>
      </c>
      <c r="DT62" s="172">
        <v>45611</v>
      </c>
      <c r="DU62" s="172">
        <v>45611</v>
      </c>
      <c r="DV62" s="172">
        <v>45628</v>
      </c>
      <c r="DW62" s="157">
        <v>45690</v>
      </c>
      <c r="DX62" s="157">
        <v>45690</v>
      </c>
      <c r="DY62" s="157">
        <v>45730</v>
      </c>
      <c r="DZ62" s="157">
        <v>45336</v>
      </c>
      <c r="EA62" s="157">
        <v>45730</v>
      </c>
      <c r="EB62" s="157">
        <v>45730</v>
      </c>
      <c r="EC62" s="157">
        <v>45720</v>
      </c>
      <c r="ED62" s="157">
        <v>45696</v>
      </c>
      <c r="EE62" s="157">
        <v>45696</v>
      </c>
      <c r="EF62" s="157">
        <v>45695</v>
      </c>
      <c r="EG62" s="157">
        <v>45695</v>
      </c>
      <c r="EH62" s="157">
        <v>45718</v>
      </c>
      <c r="EI62" s="190">
        <v>45709</v>
      </c>
      <c r="EJ62" s="193">
        <v>45709</v>
      </c>
      <c r="EK62" s="190">
        <v>45709</v>
      </c>
      <c r="EL62" s="193">
        <v>45709</v>
      </c>
      <c r="EM62" s="190">
        <v>45709</v>
      </c>
      <c r="EN62" s="157">
        <v>45730</v>
      </c>
      <c r="EO62" s="157">
        <v>45701</v>
      </c>
      <c r="EP62" s="157">
        <v>45701</v>
      </c>
      <c r="EQ62" s="157">
        <v>45717</v>
      </c>
      <c r="ER62" s="157">
        <v>45633</v>
      </c>
      <c r="ES62" s="157">
        <v>45633</v>
      </c>
      <c r="ET62" s="157">
        <v>45720</v>
      </c>
      <c r="EU62" s="157">
        <v>45631</v>
      </c>
      <c r="EV62" s="157">
        <v>45728</v>
      </c>
      <c r="EW62" s="157">
        <v>45727</v>
      </c>
      <c r="EX62" s="157">
        <v>45690</v>
      </c>
      <c r="EY62" s="157">
        <v>45696</v>
      </c>
      <c r="EZ62" s="157">
        <v>45696</v>
      </c>
      <c r="FA62" s="157">
        <v>45766</v>
      </c>
      <c r="FB62" s="157">
        <v>45766</v>
      </c>
      <c r="FC62" s="157">
        <v>45766</v>
      </c>
      <c r="FD62" s="157">
        <v>45766</v>
      </c>
      <c r="FE62" s="192">
        <v>45709</v>
      </c>
      <c r="FF62" s="193">
        <v>45775</v>
      </c>
      <c r="FG62" s="193">
        <v>45775</v>
      </c>
      <c r="FH62" s="193">
        <v>45775</v>
      </c>
      <c r="FI62" s="157">
        <v>45766</v>
      </c>
      <c r="FJ62" s="192">
        <v>45736</v>
      </c>
      <c r="FK62" s="157">
        <v>45769</v>
      </c>
      <c r="FL62" s="157">
        <v>45769</v>
      </c>
      <c r="FM62" s="204">
        <v>45709</v>
      </c>
      <c r="FN62" s="190">
        <v>45709</v>
      </c>
      <c r="FO62" s="190">
        <v>45709</v>
      </c>
      <c r="FP62" s="190">
        <v>45709</v>
      </c>
      <c r="FQ62" s="190">
        <v>45709</v>
      </c>
      <c r="FR62" s="192">
        <v>45736</v>
      </c>
      <c r="FS62" s="190">
        <v>45709</v>
      </c>
      <c r="FT62" s="190">
        <v>45709</v>
      </c>
      <c r="FU62" s="190">
        <v>45709</v>
      </c>
      <c r="FV62" s="157">
        <v>45789</v>
      </c>
      <c r="FW62" s="157">
        <v>45789</v>
      </c>
      <c r="FX62" s="157">
        <v>45789</v>
      </c>
      <c r="FY62" s="157">
        <v>45797</v>
      </c>
      <c r="FZ62" s="157">
        <v>45798</v>
      </c>
      <c r="GA62" s="193">
        <v>45798</v>
      </c>
      <c r="GB62" s="193">
        <v>45798</v>
      </c>
      <c r="GC62" s="193">
        <v>45798</v>
      </c>
      <c r="GD62" s="190">
        <v>45709</v>
      </c>
      <c r="GE62" s="157">
        <v>45797</v>
      </c>
      <c r="GF62" s="192">
        <v>45736</v>
      </c>
      <c r="GG62" s="190">
        <v>45709</v>
      </c>
      <c r="GH62" s="192">
        <v>45736</v>
      </c>
      <c r="GI62" s="192">
        <v>45736</v>
      </c>
      <c r="GJ62" s="193">
        <v>45709</v>
      </c>
      <c r="GK62" s="193">
        <v>45709</v>
      </c>
      <c r="GL62" s="193">
        <v>45709</v>
      </c>
      <c r="GM62" s="157">
        <v>45799</v>
      </c>
      <c r="GN62" s="157">
        <v>45799</v>
      </c>
      <c r="GO62" s="157">
        <v>45805</v>
      </c>
      <c r="GP62" s="192">
        <v>45813</v>
      </c>
      <c r="GQ62" s="205">
        <v>45840</v>
      </c>
      <c r="GR62" s="192">
        <v>45841</v>
      </c>
      <c r="GS62" s="157">
        <v>45835</v>
      </c>
      <c r="GT62" s="192">
        <v>45840</v>
      </c>
      <c r="GU62" s="157">
        <v>45866</v>
      </c>
      <c r="GV62" s="157">
        <v>45872</v>
      </c>
      <c r="GW62" s="157">
        <v>45871</v>
      </c>
      <c r="GX62" s="193">
        <v>45867</v>
      </c>
      <c r="GY62" s="157">
        <v>45871</v>
      </c>
      <c r="GZ62" s="219">
        <v>45709</v>
      </c>
      <c r="HA62" s="221">
        <v>45765</v>
      </c>
      <c r="HB62" s="221">
        <v>45771</v>
      </c>
      <c r="HC62" s="221">
        <v>45765</v>
      </c>
      <c r="HD62" s="223">
        <v>45709</v>
      </c>
      <c r="HE62" s="192">
        <v>45893</v>
      </c>
      <c r="HF62" s="192">
        <v>45893</v>
      </c>
      <c r="HG62" s="223">
        <v>45709</v>
      </c>
      <c r="HH62" s="192">
        <v>45893</v>
      </c>
      <c r="HI62" s="227">
        <v>45709</v>
      </c>
      <c r="HJ62" s="192">
        <v>45894</v>
      </c>
      <c r="HK62" s="192">
        <v>45894</v>
      </c>
      <c r="HL62" s="193">
        <v>45897</v>
      </c>
      <c r="HM62" s="230">
        <v>45894</v>
      </c>
      <c r="HN62" s="157">
        <v>46013</v>
      </c>
      <c r="HO62" s="157">
        <v>46020</v>
      </c>
      <c r="HP62" s="157">
        <v>46020</v>
      </c>
      <c r="HQ62" s="157">
        <v>46020</v>
      </c>
      <c r="HR62" s="193">
        <v>46021</v>
      </c>
      <c r="HS62" s="221">
        <v>46026</v>
      </c>
      <c r="HT62" s="192">
        <v>46025</v>
      </c>
      <c r="HU62" s="157">
        <v>46020</v>
      </c>
      <c r="HV62" s="157">
        <v>45966</v>
      </c>
      <c r="HW62" s="157">
        <v>46026</v>
      </c>
      <c r="HX62" s="157">
        <v>46020</v>
      </c>
      <c r="HY62" s="157">
        <v>46026</v>
      </c>
      <c r="HZ62" s="157">
        <v>46013</v>
      </c>
      <c r="IA62" s="157">
        <v>46020</v>
      </c>
      <c r="IB62" s="157">
        <v>46024</v>
      </c>
      <c r="IC62" s="157">
        <v>46013</v>
      </c>
      <c r="ID62" s="192">
        <v>45950</v>
      </c>
      <c r="IE62" s="157">
        <v>46022</v>
      </c>
      <c r="IF62" s="192">
        <v>46024</v>
      </c>
      <c r="IG62" s="192">
        <v>45709</v>
      </c>
      <c r="IH62" s="192">
        <v>45709</v>
      </c>
      <c r="II62" s="192">
        <v>45922</v>
      </c>
      <c r="IJ62" s="192">
        <v>45957</v>
      </c>
      <c r="IK62" s="237">
        <v>46024</v>
      </c>
      <c r="IL62" s="192">
        <v>46024</v>
      </c>
      <c r="IM62" s="193">
        <v>46021</v>
      </c>
      <c r="IN62" s="193">
        <v>46021</v>
      </c>
      <c r="IO62" s="221">
        <v>45777</v>
      </c>
      <c r="IP62" s="221">
        <v>45777</v>
      </c>
      <c r="IQ62" s="157">
        <v>46024</v>
      </c>
      <c r="IR62" s="193">
        <v>46021</v>
      </c>
      <c r="IS62" s="157">
        <v>46028</v>
      </c>
      <c r="IT62" s="221">
        <v>46029</v>
      </c>
      <c r="IU62" s="157">
        <v>46028</v>
      </c>
      <c r="IV62" s="157">
        <v>45825</v>
      </c>
      <c r="IW62" s="157">
        <v>46035</v>
      </c>
      <c r="IX62" s="221"/>
      <c r="IY62" s="157">
        <v>46031</v>
      </c>
      <c r="IZ62" s="157">
        <v>46031</v>
      </c>
      <c r="JA62" s="157">
        <v>46044</v>
      </c>
      <c r="JB62" s="157">
        <v>46036</v>
      </c>
      <c r="JC62" s="157">
        <v>46036</v>
      </c>
      <c r="JD62" s="157">
        <v>46037</v>
      </c>
      <c r="JE62" s="157">
        <v>46037</v>
      </c>
      <c r="JF62" s="157">
        <v>46038</v>
      </c>
      <c r="JG62" s="157">
        <v>46041</v>
      </c>
      <c r="JH62" s="157">
        <v>46040</v>
      </c>
      <c r="JI62" s="157">
        <v>46039</v>
      </c>
      <c r="JJ62" s="253">
        <v>46046</v>
      </c>
      <c r="JK62" s="253">
        <v>46046</v>
      </c>
      <c r="JL62" s="253">
        <v>46046</v>
      </c>
      <c r="JM62" s="253">
        <v>46046</v>
      </c>
      <c r="JN62" s="157">
        <v>46049</v>
      </c>
      <c r="JO62" s="157">
        <v>46048</v>
      </c>
      <c r="JP62" s="157">
        <v>46055</v>
      </c>
      <c r="JQ62" s="157">
        <v>46048</v>
      </c>
      <c r="JR62" s="157">
        <v>46048</v>
      </c>
      <c r="JS62" s="157">
        <v>46052</v>
      </c>
      <c r="JT62" s="157">
        <v>46052</v>
      </c>
      <c r="JU62" s="157">
        <v>46052</v>
      </c>
      <c r="JV62" s="157">
        <v>46052</v>
      </c>
      <c r="JW62" s="157">
        <v>46052</v>
      </c>
      <c r="JX62" s="157">
        <v>46045</v>
      </c>
      <c r="JY62" s="157">
        <v>46045</v>
      </c>
      <c r="JZ62" s="157">
        <v>46045</v>
      </c>
      <c r="KA62" s="157">
        <v>46045</v>
      </c>
      <c r="KB62" s="157">
        <v>46045</v>
      </c>
      <c r="KC62" s="157">
        <v>46045</v>
      </c>
      <c r="KD62" s="157">
        <v>46056</v>
      </c>
      <c r="KE62" s="157">
        <v>46056</v>
      </c>
      <c r="KF62" s="157">
        <v>46056</v>
      </c>
      <c r="KG62" s="157">
        <v>46057</v>
      </c>
      <c r="KH62" s="157">
        <v>46055</v>
      </c>
      <c r="KI62" s="157">
        <v>46064</v>
      </c>
      <c r="KJ62" s="157">
        <v>46061</v>
      </c>
      <c r="KK62" s="157">
        <v>46061</v>
      </c>
      <c r="KL62" s="157">
        <v>46064</v>
      </c>
      <c r="KM62" s="157">
        <v>46059</v>
      </c>
      <c r="KN62" s="189">
        <v>45704</v>
      </c>
      <c r="KO62" s="157">
        <v>46065</v>
      </c>
      <c r="KP62" s="157">
        <v>46065</v>
      </c>
      <c r="KQ62" s="157">
        <v>46065</v>
      </c>
      <c r="KR62" s="193">
        <v>46069</v>
      </c>
      <c r="KS62" s="193">
        <v>46069</v>
      </c>
      <c r="KT62" s="193">
        <v>46069</v>
      </c>
      <c r="KU62" s="193">
        <v>46069</v>
      </c>
      <c r="KV62" s="193">
        <v>46069</v>
      </c>
      <c r="KW62" s="157">
        <v>46073</v>
      </c>
      <c r="KX62" s="157">
        <v>46073</v>
      </c>
      <c r="KY62" s="252">
        <v>46129</v>
      </c>
      <c r="KZ62" s="252">
        <v>46129</v>
      </c>
      <c r="LA62" s="273">
        <v>46241</v>
      </c>
      <c r="LB62" s="157">
        <v>46241</v>
      </c>
      <c r="LC62" s="157">
        <v>46239</v>
      </c>
      <c r="LD62" s="157">
        <v>46239</v>
      </c>
      <c r="LE62" s="157">
        <v>46239</v>
      </c>
      <c r="LF62" s="157">
        <v>46240</v>
      </c>
      <c r="LG62" s="157">
        <v>45877</v>
      </c>
      <c r="LH62" s="157">
        <v>46240</v>
      </c>
      <c r="LI62" s="157">
        <v>46241</v>
      </c>
      <c r="LJ62" s="157">
        <v>46240</v>
      </c>
      <c r="LK62" s="157">
        <v>46240</v>
      </c>
      <c r="LL62" s="273">
        <v>46240</v>
      </c>
      <c r="LM62" s="277">
        <v>46240</v>
      </c>
      <c r="LN62" s="277">
        <v>46240</v>
      </c>
      <c r="LO62" s="157">
        <v>46242</v>
      </c>
      <c r="LP62" s="157">
        <v>46240</v>
      </c>
      <c r="LQ62" s="284">
        <v>46258</v>
      </c>
      <c r="LR62" s="157">
        <v>45880</v>
      </c>
      <c r="LS62" s="157">
        <v>46258</v>
      </c>
      <c r="LT62" s="157">
        <v>46257</v>
      </c>
      <c r="LU62" s="157">
        <v>46257</v>
      </c>
      <c r="LV62" s="289">
        <v>46257</v>
      </c>
      <c r="LW62" s="157">
        <v>46248</v>
      </c>
      <c r="LX62" s="157">
        <v>46248</v>
      </c>
      <c r="LY62" s="157">
        <v>46261</v>
      </c>
      <c r="LZ62" s="157">
        <v>46262</v>
      </c>
      <c r="MA62" s="157">
        <v>46262</v>
      </c>
      <c r="MB62" s="157">
        <v>46269</v>
      </c>
      <c r="MC62" s="157">
        <v>46266</v>
      </c>
      <c r="MD62" s="157">
        <v>46269</v>
      </c>
    </row>
    <row r="63" spans="1:342" ht="14.4" x14ac:dyDescent="0.3">
      <c r="A63" s="92">
        <v>60</v>
      </c>
      <c r="B63" s="313"/>
      <c r="C63" s="13" t="s">
        <v>447</v>
      </c>
      <c r="D63" s="14" t="s">
        <v>442</v>
      </c>
      <c r="E63" s="5" t="s">
        <v>30</v>
      </c>
      <c r="F63" s="5" t="s">
        <v>30</v>
      </c>
      <c r="G63" s="5" t="s">
        <v>30</v>
      </c>
      <c r="H63" s="5" t="s">
        <v>30</v>
      </c>
      <c r="I63" s="5" t="s">
        <v>30</v>
      </c>
      <c r="J63" s="2" t="s">
        <v>30</v>
      </c>
      <c r="K63" s="2" t="s">
        <v>30</v>
      </c>
      <c r="L63" s="5" t="s">
        <v>30</v>
      </c>
      <c r="M63" s="5" t="s">
        <v>30</v>
      </c>
      <c r="N63" s="5" t="s">
        <v>30</v>
      </c>
      <c r="O63" s="5" t="s">
        <v>30</v>
      </c>
      <c r="P63" s="5" t="s">
        <v>30</v>
      </c>
      <c r="Q63" s="5" t="s">
        <v>30</v>
      </c>
      <c r="R63" s="5" t="s">
        <v>30</v>
      </c>
      <c r="S63" s="5" t="s">
        <v>30</v>
      </c>
      <c r="T63" s="5" t="s">
        <v>30</v>
      </c>
      <c r="U63" s="5" t="s">
        <v>30</v>
      </c>
      <c r="V63" s="5" t="s">
        <v>30</v>
      </c>
      <c r="W63" s="5" t="s">
        <v>30</v>
      </c>
      <c r="X63" s="5" t="s">
        <v>30</v>
      </c>
      <c r="Y63" s="5" t="s">
        <v>30</v>
      </c>
      <c r="Z63" s="5" t="s">
        <v>30</v>
      </c>
      <c r="AA63" s="5" t="s">
        <v>30</v>
      </c>
      <c r="AB63" s="2" t="s">
        <v>352</v>
      </c>
      <c r="AC63" s="2" t="s">
        <v>352</v>
      </c>
      <c r="AD63" s="2" t="s">
        <v>352</v>
      </c>
      <c r="AE63" s="2" t="s">
        <v>352</v>
      </c>
      <c r="AF63" s="2" t="s">
        <v>30</v>
      </c>
      <c r="AG63" s="2" t="s">
        <v>30</v>
      </c>
      <c r="AH63" s="2" t="s">
        <v>30</v>
      </c>
      <c r="AI63" s="2" t="s">
        <v>515</v>
      </c>
      <c r="AJ63" s="2" t="s">
        <v>515</v>
      </c>
      <c r="AK63" s="2" t="s">
        <v>515</v>
      </c>
      <c r="AL63" s="2" t="s">
        <v>515</v>
      </c>
      <c r="AM63" s="2" t="s">
        <v>515</v>
      </c>
      <c r="AN63" s="2" t="s">
        <v>515</v>
      </c>
      <c r="AO63" s="2" t="s">
        <v>515</v>
      </c>
      <c r="AP63" s="2" t="s">
        <v>30</v>
      </c>
      <c r="AQ63" s="2" t="s">
        <v>30</v>
      </c>
      <c r="AR63" s="2" t="s">
        <v>30</v>
      </c>
      <c r="AS63" s="2" t="s">
        <v>30</v>
      </c>
      <c r="AT63" s="5" t="s">
        <v>30</v>
      </c>
      <c r="AU63" s="2" t="s">
        <v>515</v>
      </c>
      <c r="AV63" s="2" t="s">
        <v>515</v>
      </c>
      <c r="AW63" s="2" t="s">
        <v>515</v>
      </c>
      <c r="AX63" s="5" t="s">
        <v>30</v>
      </c>
      <c r="AY63" s="5" t="s">
        <v>30</v>
      </c>
      <c r="AZ63" s="5" t="s">
        <v>30</v>
      </c>
      <c r="BA63" s="2" t="s">
        <v>751</v>
      </c>
      <c r="BB63" s="2" t="s">
        <v>751</v>
      </c>
      <c r="BC63" s="5" t="s">
        <v>30</v>
      </c>
      <c r="BD63" s="5" t="s">
        <v>30</v>
      </c>
      <c r="BE63" s="5" t="s">
        <v>30</v>
      </c>
      <c r="BF63" s="5" t="s">
        <v>30</v>
      </c>
      <c r="BG63" s="5" t="s">
        <v>30</v>
      </c>
      <c r="BH63" s="5" t="s">
        <v>30</v>
      </c>
      <c r="BI63" s="5" t="s">
        <v>30</v>
      </c>
      <c r="BJ63" s="5" t="s">
        <v>30</v>
      </c>
      <c r="BK63" s="5" t="s">
        <v>30</v>
      </c>
      <c r="BL63" s="2" t="s">
        <v>1090</v>
      </c>
      <c r="BM63" s="2" t="s">
        <v>1090</v>
      </c>
      <c r="BN63" s="2" t="s">
        <v>1090</v>
      </c>
      <c r="BO63" s="2" t="s">
        <v>1090</v>
      </c>
      <c r="BP63" s="2" t="s">
        <v>1090</v>
      </c>
      <c r="BQ63" s="2" t="s">
        <v>1090</v>
      </c>
      <c r="BR63" s="117" t="s">
        <v>30</v>
      </c>
      <c r="BS63" s="105" t="s">
        <v>30</v>
      </c>
      <c r="BT63" s="105" t="s">
        <v>30</v>
      </c>
      <c r="BU63" s="115" t="s">
        <v>30</v>
      </c>
      <c r="BV63" s="115" t="s">
        <v>30</v>
      </c>
      <c r="BW63" s="115" t="s">
        <v>30</v>
      </c>
      <c r="BX63" s="115" t="s">
        <v>30</v>
      </c>
      <c r="BY63" s="115" t="s">
        <v>30</v>
      </c>
      <c r="BZ63" s="115" t="s">
        <v>30</v>
      </c>
      <c r="CA63" s="41" t="s">
        <v>30</v>
      </c>
      <c r="CB63" s="41" t="s">
        <v>30</v>
      </c>
      <c r="CC63" s="41" t="s">
        <v>30</v>
      </c>
      <c r="CD63" s="41" t="s">
        <v>30</v>
      </c>
      <c r="CE63" s="41" t="s">
        <v>30</v>
      </c>
      <c r="CF63" s="41" t="s">
        <v>30</v>
      </c>
      <c r="CG63" s="41" t="s">
        <v>30</v>
      </c>
      <c r="CH63" s="41" t="s">
        <v>30</v>
      </c>
      <c r="CI63" s="41" t="s">
        <v>30</v>
      </c>
      <c r="CJ63" s="41" t="s">
        <v>30</v>
      </c>
      <c r="CK63" s="41" t="s">
        <v>30</v>
      </c>
      <c r="CL63" s="41" t="s">
        <v>30</v>
      </c>
      <c r="CM63" s="41" t="s">
        <v>30</v>
      </c>
      <c r="CN63" s="41" t="s">
        <v>30</v>
      </c>
      <c r="CO63" s="41" t="s">
        <v>30</v>
      </c>
      <c r="CP63" s="41" t="s">
        <v>30</v>
      </c>
      <c r="CQ63" s="41" t="s">
        <v>30</v>
      </c>
      <c r="CR63" s="41" t="s">
        <v>30</v>
      </c>
      <c r="CS63" s="41" t="s">
        <v>30</v>
      </c>
      <c r="CT63" s="41" t="s">
        <v>30</v>
      </c>
      <c r="CU63" s="41" t="s">
        <v>30</v>
      </c>
      <c r="CV63" s="41" t="s">
        <v>30</v>
      </c>
      <c r="CW63" s="41" t="s">
        <v>30</v>
      </c>
      <c r="CX63" s="115" t="s">
        <v>1843</v>
      </c>
      <c r="CY63" s="115" t="s">
        <v>1843</v>
      </c>
      <c r="CZ63" s="115" t="s">
        <v>1843</v>
      </c>
      <c r="DA63" s="115" t="s">
        <v>1843</v>
      </c>
      <c r="DB63" s="115" t="s">
        <v>1843</v>
      </c>
      <c r="DC63" s="115" t="s">
        <v>1843</v>
      </c>
      <c r="DD63" s="115" t="s">
        <v>1843</v>
      </c>
      <c r="DE63" s="115" t="s">
        <v>1843</v>
      </c>
      <c r="DF63" s="115" t="s">
        <v>1843</v>
      </c>
      <c r="DG63" s="115" t="s">
        <v>1843</v>
      </c>
      <c r="DH63" s="115" t="s">
        <v>1843</v>
      </c>
      <c r="DI63" s="115" t="s">
        <v>1843</v>
      </c>
      <c r="DJ63" s="115" t="s">
        <v>30</v>
      </c>
      <c r="DK63" s="115" t="s">
        <v>30</v>
      </c>
      <c r="DL63" s="41" t="s">
        <v>30</v>
      </c>
      <c r="DM63" s="41" t="s">
        <v>30</v>
      </c>
      <c r="DN63" s="41" t="s">
        <v>30</v>
      </c>
      <c r="DO63" s="112" t="s">
        <v>2085</v>
      </c>
      <c r="DP63" s="105" t="s">
        <v>30</v>
      </c>
      <c r="DQ63" s="105" t="s">
        <v>30</v>
      </c>
      <c r="DR63" s="105" t="s">
        <v>30</v>
      </c>
      <c r="DS63" s="105" t="s">
        <v>30</v>
      </c>
      <c r="DT63" s="105" t="s">
        <v>30</v>
      </c>
      <c r="DU63" s="41" t="s">
        <v>30</v>
      </c>
      <c r="DV63" s="105" t="s">
        <v>30</v>
      </c>
      <c r="DW63" s="115" t="s">
        <v>30</v>
      </c>
      <c r="DX63" s="115" t="s">
        <v>30</v>
      </c>
      <c r="DY63" s="115" t="s">
        <v>2217</v>
      </c>
      <c r="DZ63" s="115" t="s">
        <v>30</v>
      </c>
      <c r="EA63" s="115" t="s">
        <v>2217</v>
      </c>
      <c r="EB63" s="115" t="s">
        <v>2217</v>
      </c>
      <c r="EC63" s="115" t="s">
        <v>30</v>
      </c>
      <c r="ED63" s="169" t="s">
        <v>30</v>
      </c>
      <c r="EE63" s="169" t="s">
        <v>30</v>
      </c>
      <c r="EF63" s="169" t="s">
        <v>30</v>
      </c>
      <c r="EG63" s="169" t="s">
        <v>30</v>
      </c>
      <c r="EH63" s="115" t="s">
        <v>30</v>
      </c>
      <c r="EI63" s="187" t="s">
        <v>2328</v>
      </c>
      <c r="EJ63" s="115" t="s">
        <v>2328</v>
      </c>
      <c r="EK63" s="155" t="s">
        <v>2356</v>
      </c>
      <c r="EL63" s="115" t="s">
        <v>2328</v>
      </c>
      <c r="EM63" s="155" t="s">
        <v>2383</v>
      </c>
      <c r="EN63" s="115" t="s">
        <v>2217</v>
      </c>
      <c r="EO63" s="115" t="s">
        <v>30</v>
      </c>
      <c r="EP63" s="115" t="s">
        <v>30</v>
      </c>
      <c r="EQ63" s="115" t="s">
        <v>30</v>
      </c>
      <c r="ER63" s="115" t="s">
        <v>2459</v>
      </c>
      <c r="ES63" s="115" t="s">
        <v>2459</v>
      </c>
      <c r="ET63" s="115" t="s">
        <v>30</v>
      </c>
      <c r="EU63" s="115" t="s">
        <v>2085</v>
      </c>
      <c r="EV63" s="115" t="s">
        <v>30</v>
      </c>
      <c r="EW63" s="115" t="s">
        <v>30</v>
      </c>
      <c r="EX63" s="115" t="s">
        <v>30</v>
      </c>
      <c r="EY63" s="115" t="s">
        <v>30</v>
      </c>
      <c r="EZ63" s="115" t="s">
        <v>30</v>
      </c>
      <c r="FA63" s="115" t="s">
        <v>30</v>
      </c>
      <c r="FB63" s="115" t="s">
        <v>30</v>
      </c>
      <c r="FC63" s="115" t="s">
        <v>30</v>
      </c>
      <c r="FD63" s="115" t="s">
        <v>30</v>
      </c>
      <c r="FE63" s="115" t="s">
        <v>2383</v>
      </c>
      <c r="FF63" s="115" t="s">
        <v>2085</v>
      </c>
      <c r="FG63" s="115" t="s">
        <v>2085</v>
      </c>
      <c r="FH63" s="115" t="s">
        <v>2085</v>
      </c>
      <c r="FI63" s="115" t="s">
        <v>30</v>
      </c>
      <c r="FJ63" s="115" t="s">
        <v>2328</v>
      </c>
      <c r="FK63" s="157" t="s">
        <v>2727</v>
      </c>
      <c r="FL63" s="157" t="s">
        <v>2727</v>
      </c>
      <c r="FM63" s="120" t="s">
        <v>2328</v>
      </c>
      <c r="FN63" s="155" t="s">
        <v>2383</v>
      </c>
      <c r="FO63" s="155" t="s">
        <v>2383</v>
      </c>
      <c r="FP63" s="155" t="s">
        <v>2383</v>
      </c>
      <c r="FQ63" s="155" t="s">
        <v>2383</v>
      </c>
      <c r="FR63" s="115" t="s">
        <v>2328</v>
      </c>
      <c r="FS63" s="155" t="s">
        <v>2328</v>
      </c>
      <c r="FT63" s="155" t="s">
        <v>2650</v>
      </c>
      <c r="FU63" s="69" t="s">
        <v>2328</v>
      </c>
      <c r="FV63" s="115" t="s">
        <v>2085</v>
      </c>
      <c r="FW63" s="115" t="s">
        <v>2727</v>
      </c>
      <c r="FX63" s="195" t="s">
        <v>30</v>
      </c>
      <c r="FY63" s="157" t="s">
        <v>2085</v>
      </c>
      <c r="FZ63" s="115" t="s">
        <v>30</v>
      </c>
      <c r="GA63" s="115" t="s">
        <v>2085</v>
      </c>
      <c r="GB63" s="115" t="s">
        <v>2085</v>
      </c>
      <c r="GC63" s="115" t="s">
        <v>2085</v>
      </c>
      <c r="GD63" s="155" t="s">
        <v>2383</v>
      </c>
      <c r="GE63" s="115" t="s">
        <v>2955</v>
      </c>
      <c r="GF63" s="115" t="s">
        <v>2328</v>
      </c>
      <c r="GG63" s="187" t="s">
        <v>2383</v>
      </c>
      <c r="GH63" s="115" t="s">
        <v>2383</v>
      </c>
      <c r="GI63" s="115" t="s">
        <v>2383</v>
      </c>
      <c r="GJ63" s="159" t="s">
        <v>2085</v>
      </c>
      <c r="GK63" s="115" t="s">
        <v>2328</v>
      </c>
      <c r="GL63" s="115" t="s">
        <v>2328</v>
      </c>
      <c r="GM63" s="115" t="s">
        <v>3075</v>
      </c>
      <c r="GN63" s="115" t="s">
        <v>3075</v>
      </c>
      <c r="GO63" s="115" t="s">
        <v>2459</v>
      </c>
      <c r="GP63" s="115" t="s">
        <v>30</v>
      </c>
      <c r="GQ63" s="191" t="s">
        <v>30</v>
      </c>
      <c r="GR63" s="115" t="s">
        <v>30</v>
      </c>
      <c r="GS63" s="115" t="s">
        <v>30</v>
      </c>
      <c r="GT63" s="169" t="s">
        <v>30</v>
      </c>
      <c r="GU63" s="115" t="s">
        <v>30</v>
      </c>
      <c r="GV63" s="115" t="s">
        <v>30</v>
      </c>
      <c r="GW63" s="115" t="s">
        <v>30</v>
      </c>
      <c r="GX63" s="115" t="s">
        <v>30</v>
      </c>
      <c r="GY63" s="115" t="s">
        <v>30</v>
      </c>
      <c r="GZ63" s="69" t="s">
        <v>2383</v>
      </c>
      <c r="HA63" s="159" t="s">
        <v>3279</v>
      </c>
      <c r="HB63" s="159" t="s">
        <v>2383</v>
      </c>
      <c r="HC63" s="159" t="s">
        <v>3279</v>
      </c>
      <c r="HD63" s="155" t="s">
        <v>2383</v>
      </c>
      <c r="HE63" s="185" t="s">
        <v>30</v>
      </c>
      <c r="HF63" s="185" t="s">
        <v>30</v>
      </c>
      <c r="HG63" s="187" t="s">
        <v>2383</v>
      </c>
      <c r="HH63" s="185" t="s">
        <v>30</v>
      </c>
      <c r="HI63" s="228" t="s">
        <v>2383</v>
      </c>
      <c r="HJ63" s="115" t="s">
        <v>2650</v>
      </c>
      <c r="HK63" s="115" t="s">
        <v>2650</v>
      </c>
      <c r="HL63" s="115" t="s">
        <v>2085</v>
      </c>
      <c r="HM63" s="115" t="s">
        <v>2085</v>
      </c>
      <c r="HN63" s="169" t="s">
        <v>30</v>
      </c>
      <c r="HO63" s="115" t="s">
        <v>30</v>
      </c>
      <c r="HP63" s="115" t="s">
        <v>30</v>
      </c>
      <c r="HQ63" s="115" t="s">
        <v>30</v>
      </c>
      <c r="HR63" s="115" t="s">
        <v>30</v>
      </c>
      <c r="HS63" s="194" t="s">
        <v>30</v>
      </c>
      <c r="HT63" s="233" t="s">
        <v>30</v>
      </c>
      <c r="HU63" s="115" t="s">
        <v>30</v>
      </c>
      <c r="HV63" s="115" t="s">
        <v>30</v>
      </c>
      <c r="HW63" s="169" t="s">
        <v>30</v>
      </c>
      <c r="HX63" s="115" t="s">
        <v>30</v>
      </c>
      <c r="HY63" s="169" t="s">
        <v>30</v>
      </c>
      <c r="HZ63" s="169" t="s">
        <v>30</v>
      </c>
      <c r="IA63" s="115" t="s">
        <v>30</v>
      </c>
      <c r="IB63" s="115" t="s">
        <v>30</v>
      </c>
      <c r="IC63" s="169" t="s">
        <v>30</v>
      </c>
      <c r="ID63" s="185" t="s">
        <v>3694</v>
      </c>
      <c r="IE63" s="115" t="s">
        <v>30</v>
      </c>
      <c r="IF63" s="185" t="s">
        <v>30</v>
      </c>
      <c r="IG63" s="185" t="s">
        <v>2328</v>
      </c>
      <c r="IH63" s="185" t="s">
        <v>2328</v>
      </c>
      <c r="II63" s="185" t="s">
        <v>2085</v>
      </c>
      <c r="IJ63" s="185" t="s">
        <v>2085</v>
      </c>
      <c r="IK63" s="185" t="s">
        <v>30</v>
      </c>
      <c r="IL63" s="185" t="s">
        <v>30</v>
      </c>
      <c r="IM63" s="115" t="s">
        <v>30</v>
      </c>
      <c r="IN63" s="115" t="s">
        <v>30</v>
      </c>
      <c r="IO63" s="159" t="s">
        <v>3813</v>
      </c>
      <c r="IP63" s="159" t="s">
        <v>3813</v>
      </c>
      <c r="IQ63" s="115" t="s">
        <v>30</v>
      </c>
      <c r="IR63" s="115" t="s">
        <v>30</v>
      </c>
      <c r="IS63" s="115" t="s">
        <v>30</v>
      </c>
      <c r="IT63" s="159" t="s">
        <v>30</v>
      </c>
      <c r="IU63" s="115" t="s">
        <v>30</v>
      </c>
      <c r="IV63" s="115" t="s">
        <v>30</v>
      </c>
      <c r="IW63" s="115" t="s">
        <v>30</v>
      </c>
      <c r="IX63" s="194"/>
      <c r="IY63" s="115" t="s">
        <v>30</v>
      </c>
      <c r="IZ63" s="115" t="s">
        <v>30</v>
      </c>
      <c r="JA63" s="169" t="s">
        <v>30</v>
      </c>
      <c r="JB63" s="169" t="s">
        <v>30</v>
      </c>
      <c r="JC63" s="169" t="s">
        <v>30</v>
      </c>
      <c r="JD63" s="169" t="s">
        <v>30</v>
      </c>
      <c r="JE63" s="169" t="s">
        <v>30</v>
      </c>
      <c r="JF63" s="169" t="s">
        <v>30</v>
      </c>
      <c r="JG63" s="169" t="s">
        <v>30</v>
      </c>
      <c r="JH63" s="169" t="s">
        <v>30</v>
      </c>
      <c r="JI63" s="169" t="s">
        <v>30</v>
      </c>
      <c r="JJ63" s="245" t="s">
        <v>2650</v>
      </c>
      <c r="JK63" s="245" t="s">
        <v>2650</v>
      </c>
      <c r="JL63" s="245" t="s">
        <v>2650</v>
      </c>
      <c r="JM63" s="245" t="s">
        <v>2650</v>
      </c>
      <c r="JN63" s="115" t="s">
        <v>30</v>
      </c>
      <c r="JO63" s="115" t="s">
        <v>30</v>
      </c>
      <c r="JP63" s="169" t="s">
        <v>30</v>
      </c>
      <c r="JQ63" s="115" t="s">
        <v>30</v>
      </c>
      <c r="JR63" s="115" t="s">
        <v>30</v>
      </c>
      <c r="JS63" s="169" t="s">
        <v>30</v>
      </c>
      <c r="JT63" s="169" t="s">
        <v>30</v>
      </c>
      <c r="JU63" s="169" t="s">
        <v>30</v>
      </c>
      <c r="JV63" s="169" t="s">
        <v>30</v>
      </c>
      <c r="JW63" s="169" t="s">
        <v>30</v>
      </c>
      <c r="JX63" s="169" t="s">
        <v>30</v>
      </c>
      <c r="JY63" s="169" t="s">
        <v>30</v>
      </c>
      <c r="JZ63" s="169" t="s">
        <v>30</v>
      </c>
      <c r="KA63" s="169" t="s">
        <v>30</v>
      </c>
      <c r="KB63" s="169" t="s">
        <v>30</v>
      </c>
      <c r="KC63" s="169" t="s">
        <v>30</v>
      </c>
      <c r="KD63" s="169" t="s">
        <v>30</v>
      </c>
      <c r="KE63" s="169" t="s">
        <v>30</v>
      </c>
      <c r="KF63" s="169" t="s">
        <v>30</v>
      </c>
      <c r="KG63" s="115" t="s">
        <v>30</v>
      </c>
      <c r="KH63" s="115" t="s">
        <v>30</v>
      </c>
      <c r="KI63" s="115" t="s">
        <v>30</v>
      </c>
      <c r="KJ63" s="115" t="s">
        <v>30</v>
      </c>
      <c r="KK63" s="115" t="s">
        <v>30</v>
      </c>
      <c r="KL63" s="115" t="s">
        <v>30</v>
      </c>
      <c r="KM63" s="115" t="s">
        <v>30</v>
      </c>
      <c r="KN63" s="156" t="s">
        <v>30</v>
      </c>
      <c r="KO63" s="115" t="s">
        <v>30</v>
      </c>
      <c r="KP63" s="115" t="s">
        <v>30</v>
      </c>
      <c r="KQ63" s="115" t="s">
        <v>30</v>
      </c>
      <c r="KR63" s="115" t="s">
        <v>30</v>
      </c>
      <c r="KS63" s="115" t="s">
        <v>30</v>
      </c>
      <c r="KT63" s="115" t="s">
        <v>30</v>
      </c>
      <c r="KU63" s="115" t="s">
        <v>30</v>
      </c>
      <c r="KV63" s="115" t="s">
        <v>30</v>
      </c>
      <c r="KW63" s="169" t="s">
        <v>4573</v>
      </c>
      <c r="KX63" s="169" t="s">
        <v>4573</v>
      </c>
      <c r="KY63" s="169" t="s">
        <v>4573</v>
      </c>
      <c r="KZ63" s="169" t="s">
        <v>4573</v>
      </c>
      <c r="LA63" s="187" t="s">
        <v>30</v>
      </c>
      <c r="LB63" s="169" t="s">
        <v>30</v>
      </c>
      <c r="LC63" s="115" t="s">
        <v>30</v>
      </c>
      <c r="LD63" s="115" t="s">
        <v>30</v>
      </c>
      <c r="LE63" s="115" t="s">
        <v>30</v>
      </c>
      <c r="LF63" s="115" t="s">
        <v>30</v>
      </c>
      <c r="LG63" s="115" t="s">
        <v>30</v>
      </c>
      <c r="LH63" s="115" t="s">
        <v>30</v>
      </c>
      <c r="LI63" s="115" t="s">
        <v>30</v>
      </c>
      <c r="LJ63" s="115" t="s">
        <v>30</v>
      </c>
      <c r="LK63" s="115" t="s">
        <v>30</v>
      </c>
      <c r="LL63" s="187" t="s">
        <v>30</v>
      </c>
      <c r="LM63" s="265" t="s">
        <v>30</v>
      </c>
      <c r="LN63" s="265" t="s">
        <v>30</v>
      </c>
      <c r="LO63" s="115" t="s">
        <v>30</v>
      </c>
      <c r="LP63" s="115" t="s">
        <v>30</v>
      </c>
      <c r="LQ63" s="263" t="s">
        <v>30</v>
      </c>
      <c r="LR63" s="115" t="s">
        <v>30</v>
      </c>
      <c r="LS63" s="115" t="s">
        <v>30</v>
      </c>
      <c r="LT63" s="115" t="s">
        <v>30</v>
      </c>
      <c r="LU63" s="115" t="s">
        <v>30</v>
      </c>
      <c r="LV63" s="286" t="s">
        <v>30</v>
      </c>
      <c r="LW63" s="115" t="s">
        <v>30</v>
      </c>
      <c r="LX63" s="115" t="s">
        <v>30</v>
      </c>
      <c r="LY63" s="115" t="s">
        <v>30</v>
      </c>
      <c r="LZ63" s="115" t="s">
        <v>30</v>
      </c>
      <c r="MA63" s="115" t="s">
        <v>30</v>
      </c>
      <c r="MB63" s="115" t="s">
        <v>30</v>
      </c>
      <c r="MC63" s="115" t="s">
        <v>5006</v>
      </c>
      <c r="MD63" s="115" t="s">
        <v>30</v>
      </c>
    </row>
    <row r="64" spans="1:342" ht="14.4" x14ac:dyDescent="0.3">
      <c r="A64" s="92">
        <v>61</v>
      </c>
      <c r="B64" s="313"/>
      <c r="C64" s="13" t="s">
        <v>494</v>
      </c>
      <c r="D64" s="40" t="s">
        <v>442</v>
      </c>
      <c r="E64" s="1" t="s">
        <v>72</v>
      </c>
      <c r="F64" s="3" t="s">
        <v>267</v>
      </c>
      <c r="G64" s="3" t="s">
        <v>267</v>
      </c>
      <c r="H64" s="1" t="s">
        <v>72</v>
      </c>
      <c r="I64" s="1" t="s">
        <v>72</v>
      </c>
      <c r="J64" s="3" t="s">
        <v>705</v>
      </c>
      <c r="K64" s="3" t="s">
        <v>267</v>
      </c>
      <c r="L64" s="1" t="s">
        <v>72</v>
      </c>
      <c r="M64" s="1" t="s">
        <v>72</v>
      </c>
      <c r="N64" s="1" t="s">
        <v>112</v>
      </c>
      <c r="O64" s="1" t="s">
        <v>72</v>
      </c>
      <c r="P64" s="1" t="s">
        <v>856</v>
      </c>
      <c r="Q64" s="1" t="s">
        <v>72</v>
      </c>
      <c r="R64" s="1" t="s">
        <v>72</v>
      </c>
      <c r="S64" s="1" t="s">
        <v>72</v>
      </c>
      <c r="T64" s="1" t="s">
        <v>72</v>
      </c>
      <c r="U64" s="1" t="s">
        <v>72</v>
      </c>
      <c r="V64" s="1" t="s">
        <v>72</v>
      </c>
      <c r="W64" s="1" t="s">
        <v>72</v>
      </c>
      <c r="X64" s="1" t="s">
        <v>72</v>
      </c>
      <c r="Y64" s="1" t="s">
        <v>72</v>
      </c>
      <c r="Z64" s="1" t="s">
        <v>72</v>
      </c>
      <c r="AA64" s="1" t="s">
        <v>72</v>
      </c>
      <c r="AB64" s="1" t="s">
        <v>72</v>
      </c>
      <c r="AC64" s="1" t="s">
        <v>72</v>
      </c>
      <c r="AD64" s="1" t="s">
        <v>72</v>
      </c>
      <c r="AE64" s="1" t="s">
        <v>72</v>
      </c>
      <c r="AF64" s="1" t="s">
        <v>72</v>
      </c>
      <c r="AG64" s="1" t="s">
        <v>72</v>
      </c>
      <c r="AH64" s="1" t="s">
        <v>72</v>
      </c>
      <c r="AI64" s="1" t="s">
        <v>72</v>
      </c>
      <c r="AJ64" s="1" t="s">
        <v>72</v>
      </c>
      <c r="AK64" s="1" t="s">
        <v>72</v>
      </c>
      <c r="AL64" s="1" t="s">
        <v>72</v>
      </c>
      <c r="AM64" s="1" t="s">
        <v>72</v>
      </c>
      <c r="AN64" s="1" t="s">
        <v>72</v>
      </c>
      <c r="AO64" s="1" t="s">
        <v>72</v>
      </c>
      <c r="AP64" s="1" t="s">
        <v>72</v>
      </c>
      <c r="AQ64" s="1" t="s">
        <v>611</v>
      </c>
      <c r="AR64" s="1" t="s">
        <v>611</v>
      </c>
      <c r="AS64" s="1" t="s">
        <v>611</v>
      </c>
      <c r="AT64" s="1" t="s">
        <v>639</v>
      </c>
      <c r="AU64" s="1" t="s">
        <v>72</v>
      </c>
      <c r="AV64" s="1" t="s">
        <v>72</v>
      </c>
      <c r="AW64" s="1" t="s">
        <v>72</v>
      </c>
      <c r="AX64" s="1" t="s">
        <v>688</v>
      </c>
      <c r="AY64" s="3" t="s">
        <v>267</v>
      </c>
      <c r="AZ64" s="3" t="s">
        <v>267</v>
      </c>
      <c r="BA64" s="1" t="s">
        <v>72</v>
      </c>
      <c r="BB64" s="1" t="s">
        <v>72</v>
      </c>
      <c r="BC64" s="3" t="s">
        <v>267</v>
      </c>
      <c r="BD64" s="3" t="s">
        <v>267</v>
      </c>
      <c r="BE64" s="3" t="s">
        <v>267</v>
      </c>
      <c r="BF64" s="3" t="s">
        <v>267</v>
      </c>
      <c r="BG64" s="3" t="s">
        <v>267</v>
      </c>
      <c r="BH64" s="3" t="s">
        <v>267</v>
      </c>
      <c r="BI64" s="3" t="s">
        <v>267</v>
      </c>
      <c r="BJ64" s="3" t="s">
        <v>267</v>
      </c>
      <c r="BK64" s="3" t="s">
        <v>1119</v>
      </c>
      <c r="BL64" s="1" t="s">
        <v>1041</v>
      </c>
      <c r="BM64" s="1" t="s">
        <v>1041</v>
      </c>
      <c r="BN64" s="1" t="s">
        <v>1041</v>
      </c>
      <c r="BO64" s="1" t="s">
        <v>1041</v>
      </c>
      <c r="BP64" s="1" t="s">
        <v>1041</v>
      </c>
      <c r="BQ64" s="1" t="s">
        <v>1041</v>
      </c>
      <c r="BR64" s="117" t="s">
        <v>112</v>
      </c>
      <c r="BS64" s="105" t="s">
        <v>72</v>
      </c>
      <c r="BT64" s="105" t="s">
        <v>1431</v>
      </c>
      <c r="BU64" s="115" t="s">
        <v>1447</v>
      </c>
      <c r="BV64" s="115" t="s">
        <v>1447</v>
      </c>
      <c r="BW64" s="115" t="s">
        <v>72</v>
      </c>
      <c r="BX64" s="115" t="s">
        <v>1447</v>
      </c>
      <c r="BY64" s="115" t="s">
        <v>1447</v>
      </c>
      <c r="BZ64" s="115" t="s">
        <v>1447</v>
      </c>
      <c r="CA64" s="41" t="s">
        <v>1574</v>
      </c>
      <c r="CB64" s="41" t="s">
        <v>1596</v>
      </c>
      <c r="CC64" s="41" t="s">
        <v>1610</v>
      </c>
      <c r="CD64" s="41" t="s">
        <v>1628</v>
      </c>
      <c r="CE64" s="41" t="s">
        <v>1646</v>
      </c>
      <c r="CF64" s="41" t="s">
        <v>1574</v>
      </c>
      <c r="CG64" s="41" t="s">
        <v>1596</v>
      </c>
      <c r="CH64" s="41" t="s">
        <v>1610</v>
      </c>
      <c r="CI64" s="41" t="s">
        <v>1691</v>
      </c>
      <c r="CJ64" s="41" t="s">
        <v>1702</v>
      </c>
      <c r="CK64" s="41" t="s">
        <v>1702</v>
      </c>
      <c r="CL64" s="41" t="s">
        <v>1702</v>
      </c>
      <c r="CM64" s="41" t="s">
        <v>1691</v>
      </c>
      <c r="CN64" s="41" t="s">
        <v>1628</v>
      </c>
      <c r="CO64" s="41" t="s">
        <v>1691</v>
      </c>
      <c r="CP64" s="41" t="s">
        <v>1691</v>
      </c>
      <c r="CQ64" s="41" t="s">
        <v>1691</v>
      </c>
      <c r="CR64" s="41" t="s">
        <v>1628</v>
      </c>
      <c r="CS64" s="41" t="s">
        <v>1798</v>
      </c>
      <c r="CT64" s="41" t="s">
        <v>1574</v>
      </c>
      <c r="CU64" s="41" t="s">
        <v>1610</v>
      </c>
      <c r="CV64" s="41" t="s">
        <v>1628</v>
      </c>
      <c r="CW64" s="41" t="s">
        <v>72</v>
      </c>
      <c r="CX64" s="115" t="s">
        <v>72</v>
      </c>
      <c r="CY64" s="115" t="s">
        <v>72</v>
      </c>
      <c r="CZ64" s="115" t="s">
        <v>72</v>
      </c>
      <c r="DA64" s="115" t="s">
        <v>72</v>
      </c>
      <c r="DB64" s="115" t="s">
        <v>72</v>
      </c>
      <c r="DC64" s="115" t="s">
        <v>72</v>
      </c>
      <c r="DD64" s="115" t="s">
        <v>72</v>
      </c>
      <c r="DE64" s="115" t="s">
        <v>72</v>
      </c>
      <c r="DF64" s="115" t="s">
        <v>72</v>
      </c>
      <c r="DG64" s="115" t="s">
        <v>72</v>
      </c>
      <c r="DH64" s="115" t="s">
        <v>72</v>
      </c>
      <c r="DI64" s="115" t="s">
        <v>72</v>
      </c>
      <c r="DJ64" s="115" t="s">
        <v>1950</v>
      </c>
      <c r="DK64" s="115" t="s">
        <v>1965</v>
      </c>
      <c r="DL64" s="159" t="s">
        <v>1983</v>
      </c>
      <c r="DM64" s="41" t="s">
        <v>2060</v>
      </c>
      <c r="DN64" s="41" t="s">
        <v>2068</v>
      </c>
      <c r="DO64" s="112" t="s">
        <v>2086</v>
      </c>
      <c r="DP64" s="105" t="s">
        <v>2016</v>
      </c>
      <c r="DQ64" s="105" t="s">
        <v>2016</v>
      </c>
      <c r="DR64" s="105" t="s">
        <v>2016</v>
      </c>
      <c r="DS64" s="105" t="s">
        <v>2016</v>
      </c>
      <c r="DT64" s="105" t="s">
        <v>2016</v>
      </c>
      <c r="DU64" s="41" t="s">
        <v>2104</v>
      </c>
      <c r="DV64" s="105" t="s">
        <v>2112</v>
      </c>
      <c r="DW64" s="115" t="s">
        <v>2182</v>
      </c>
      <c r="DX64" s="115" t="s">
        <v>1646</v>
      </c>
      <c r="DY64" s="115" t="s">
        <v>1646</v>
      </c>
      <c r="DZ64" s="115" t="s">
        <v>1646</v>
      </c>
      <c r="EA64" s="115" t="s">
        <v>1646</v>
      </c>
      <c r="EB64" s="115" t="s">
        <v>72</v>
      </c>
      <c r="EC64" s="115" t="s">
        <v>1646</v>
      </c>
      <c r="ED64" s="115" t="s">
        <v>2284</v>
      </c>
      <c r="EE64" s="115" t="s">
        <v>2284</v>
      </c>
      <c r="EF64" s="115" t="s">
        <v>2284</v>
      </c>
      <c r="EG64" s="115" t="s">
        <v>2302</v>
      </c>
      <c r="EH64" s="115" t="s">
        <v>2313</v>
      </c>
      <c r="EI64" s="69" t="s">
        <v>2329</v>
      </c>
      <c r="EJ64" s="185" t="s">
        <v>2329</v>
      </c>
      <c r="EK64" s="155" t="s">
        <v>2329</v>
      </c>
      <c r="EL64" s="185" t="s">
        <v>2329</v>
      </c>
      <c r="EM64" s="155" t="s">
        <v>2329</v>
      </c>
      <c r="EN64" s="115" t="s">
        <v>72</v>
      </c>
      <c r="EO64" s="115" t="s">
        <v>72</v>
      </c>
      <c r="EP64" s="115" t="s">
        <v>72</v>
      </c>
      <c r="EQ64" s="115" t="s">
        <v>1646</v>
      </c>
      <c r="ER64" s="115" t="s">
        <v>72</v>
      </c>
      <c r="ES64" s="115" t="s">
        <v>2471</v>
      </c>
      <c r="ET64" s="115" t="s">
        <v>72</v>
      </c>
      <c r="EU64" s="115" t="s">
        <v>2503</v>
      </c>
      <c r="EV64" s="115" t="s">
        <v>2519</v>
      </c>
      <c r="EW64" s="115" t="s">
        <v>2535</v>
      </c>
      <c r="EX64" s="115" t="s">
        <v>72</v>
      </c>
      <c r="EY64" s="115" t="s">
        <v>2558</v>
      </c>
      <c r="EZ64" s="115" t="s">
        <v>2558</v>
      </c>
      <c r="FA64" s="115" t="s">
        <v>2618</v>
      </c>
      <c r="FB64" s="115" t="s">
        <v>2618</v>
      </c>
      <c r="FC64" s="115" t="s">
        <v>2618</v>
      </c>
      <c r="FD64" s="115" t="s">
        <v>2618</v>
      </c>
      <c r="FE64" s="115" t="s">
        <v>2329</v>
      </c>
      <c r="FF64" s="115" t="s">
        <v>2666</v>
      </c>
      <c r="FG64" s="115" t="s">
        <v>2666</v>
      </c>
      <c r="FH64" s="115" t="s">
        <v>2666</v>
      </c>
      <c r="FI64" s="115" t="s">
        <v>2695</v>
      </c>
      <c r="FJ64" s="115" t="s">
        <v>2329</v>
      </c>
      <c r="FK64" s="115" t="s">
        <v>2718</v>
      </c>
      <c r="FL64" s="115" t="s">
        <v>2718</v>
      </c>
      <c r="FM64" s="120" t="s">
        <v>2329</v>
      </c>
      <c r="FN64" s="155" t="s">
        <v>2329</v>
      </c>
      <c r="FO64" s="155" t="s">
        <v>2329</v>
      </c>
      <c r="FP64" s="155" t="s">
        <v>2329</v>
      </c>
      <c r="FQ64" s="155" t="s">
        <v>2329</v>
      </c>
      <c r="FR64" s="115" t="s">
        <v>2329</v>
      </c>
      <c r="FS64" s="155" t="s">
        <v>2329</v>
      </c>
      <c r="FT64" s="155" t="s">
        <v>2329</v>
      </c>
      <c r="FU64" s="69" t="s">
        <v>2329</v>
      </c>
      <c r="FV64" s="115" t="s">
        <v>2858</v>
      </c>
      <c r="FW64" s="115" t="s">
        <v>2858</v>
      </c>
      <c r="FX64" s="115" t="s">
        <v>2858</v>
      </c>
      <c r="FY64" s="115" t="s">
        <v>2891</v>
      </c>
      <c r="FZ64" s="115" t="s">
        <v>2898</v>
      </c>
      <c r="GA64" s="115" t="s">
        <v>2666</v>
      </c>
      <c r="GB64" s="115" t="s">
        <v>2921</v>
      </c>
      <c r="GC64" s="115" t="s">
        <v>2921</v>
      </c>
      <c r="GD64" s="155" t="s">
        <v>2941</v>
      </c>
      <c r="GE64" s="115" t="s">
        <v>2956</v>
      </c>
      <c r="GF64" s="115" t="s">
        <v>2970</v>
      </c>
      <c r="GG64" s="69" t="s">
        <v>2329</v>
      </c>
      <c r="GH64" s="115" t="s">
        <v>3002</v>
      </c>
      <c r="GI64" s="115" t="s">
        <v>3002</v>
      </c>
      <c r="GJ64" s="159" t="s">
        <v>72</v>
      </c>
      <c r="GK64" s="185" t="s">
        <v>3039</v>
      </c>
      <c r="GL64" s="185" t="s">
        <v>3039</v>
      </c>
      <c r="GM64" s="115" t="s">
        <v>3064</v>
      </c>
      <c r="GN64" s="115" t="s">
        <v>2666</v>
      </c>
      <c r="GO64" s="115" t="s">
        <v>3094</v>
      </c>
      <c r="GP64" s="185" t="s">
        <v>3111</v>
      </c>
      <c r="GQ64" s="69" t="s">
        <v>2329</v>
      </c>
      <c r="GR64" s="185" t="s">
        <v>3111</v>
      </c>
      <c r="GS64" s="115" t="s">
        <v>3162</v>
      </c>
      <c r="GT64" s="185" t="s">
        <v>2329</v>
      </c>
      <c r="GU64" s="115" t="s">
        <v>3162</v>
      </c>
      <c r="GV64" s="115" t="s">
        <v>2695</v>
      </c>
      <c r="GW64" s="115" t="s">
        <v>2695</v>
      </c>
      <c r="GX64" s="115" t="s">
        <v>3243</v>
      </c>
      <c r="GY64" s="115" t="s">
        <v>2695</v>
      </c>
      <c r="GZ64" s="69" t="s">
        <v>2329</v>
      </c>
      <c r="HA64" s="159" t="s">
        <v>3280</v>
      </c>
      <c r="HB64" s="159" t="s">
        <v>72</v>
      </c>
      <c r="HC64" s="159" t="s">
        <v>3280</v>
      </c>
      <c r="HD64" s="155" t="s">
        <v>2329</v>
      </c>
      <c r="HE64" s="185" t="s">
        <v>3330</v>
      </c>
      <c r="HF64" s="185" t="s">
        <v>3330</v>
      </c>
      <c r="HG64" s="187" t="s">
        <v>2329</v>
      </c>
      <c r="HH64" s="185" t="s">
        <v>2329</v>
      </c>
      <c r="HI64" s="228" t="s">
        <v>2329</v>
      </c>
      <c r="HJ64" s="115" t="s">
        <v>2666</v>
      </c>
      <c r="HK64" s="115" t="s">
        <v>3404</v>
      </c>
      <c r="HL64" s="115" t="s">
        <v>2666</v>
      </c>
      <c r="HM64" s="115" t="s">
        <v>3404</v>
      </c>
      <c r="HN64" s="115" t="s">
        <v>3518</v>
      </c>
      <c r="HO64" s="115" t="s">
        <v>2858</v>
      </c>
      <c r="HP64" s="115" t="s">
        <v>2858</v>
      </c>
      <c r="HQ64" s="115" t="s">
        <v>2858</v>
      </c>
      <c r="HR64" s="115" t="s">
        <v>3243</v>
      </c>
      <c r="HS64" s="183" t="s">
        <v>3575</v>
      </c>
      <c r="HT64" s="185" t="s">
        <v>3593</v>
      </c>
      <c r="HU64" s="115" t="s">
        <v>2858</v>
      </c>
      <c r="HV64" s="115" t="s">
        <v>2858</v>
      </c>
      <c r="HW64" s="185" t="s">
        <v>3575</v>
      </c>
      <c r="HX64" s="115" t="s">
        <v>2858</v>
      </c>
      <c r="HY64" s="185" t="s">
        <v>3575</v>
      </c>
      <c r="HZ64" s="115" t="s">
        <v>3648</v>
      </c>
      <c r="IA64" s="115" t="s">
        <v>2858</v>
      </c>
      <c r="IB64" s="159" t="s">
        <v>3667</v>
      </c>
      <c r="IC64" s="185" t="s">
        <v>3575</v>
      </c>
      <c r="ID64" s="185" t="s">
        <v>2329</v>
      </c>
      <c r="IE64" s="115" t="s">
        <v>3709</v>
      </c>
      <c r="IF64" s="185" t="s">
        <v>3243</v>
      </c>
      <c r="IG64" s="185" t="s">
        <v>2329</v>
      </c>
      <c r="IH64" s="185" t="s">
        <v>2329</v>
      </c>
      <c r="II64" s="185" t="s">
        <v>2329</v>
      </c>
      <c r="IJ64" s="185" t="s">
        <v>3768</v>
      </c>
      <c r="IK64" s="183" t="s">
        <v>3667</v>
      </c>
      <c r="IL64" s="185" t="s">
        <v>3243</v>
      </c>
      <c r="IM64" s="115" t="s">
        <v>3790</v>
      </c>
      <c r="IN64" s="115" t="s">
        <v>3243</v>
      </c>
      <c r="IO64" s="159" t="s">
        <v>3280</v>
      </c>
      <c r="IP64" s="159" t="s">
        <v>3280</v>
      </c>
      <c r="IQ64" s="159" t="s">
        <v>3667</v>
      </c>
      <c r="IR64" s="115" t="s">
        <v>3243</v>
      </c>
      <c r="IS64" s="115" t="s">
        <v>3162</v>
      </c>
      <c r="IT64" s="159" t="s">
        <v>3869</v>
      </c>
      <c r="IU64" s="217" t="s">
        <v>3882</v>
      </c>
      <c r="IV64" s="159" t="s">
        <v>3894</v>
      </c>
      <c r="IW64" s="159" t="s">
        <v>4003</v>
      </c>
      <c r="IX64" s="183"/>
      <c r="IY64" s="159" t="s">
        <v>3974</v>
      </c>
      <c r="IZ64" s="159" t="s">
        <v>3985</v>
      </c>
      <c r="JA64" s="185" t="s">
        <v>4024</v>
      </c>
      <c r="JB64" s="185" t="s">
        <v>4037</v>
      </c>
      <c r="JC64" s="185" t="s">
        <v>4037</v>
      </c>
      <c r="JD64" s="185" t="s">
        <v>4037</v>
      </c>
      <c r="JE64" s="185" t="s">
        <v>4062</v>
      </c>
      <c r="JF64" s="185" t="s">
        <v>4037</v>
      </c>
      <c r="JG64" s="185" t="s">
        <v>4090</v>
      </c>
      <c r="JH64" s="185" t="s">
        <v>4037</v>
      </c>
      <c r="JI64" s="185" t="s">
        <v>4037</v>
      </c>
      <c r="JJ64" s="245" t="s">
        <v>4136</v>
      </c>
      <c r="JK64" s="245" t="s">
        <v>4136</v>
      </c>
      <c r="JL64" s="245" t="s">
        <v>4136</v>
      </c>
      <c r="JM64" s="245" t="s">
        <v>4136</v>
      </c>
      <c r="JN64" s="115" t="s">
        <v>72</v>
      </c>
      <c r="JO64" s="159" t="s">
        <v>4197</v>
      </c>
      <c r="JP64" s="185" t="s">
        <v>4229</v>
      </c>
      <c r="JQ64" s="159" t="s">
        <v>4242</v>
      </c>
      <c r="JR64" s="159" t="s">
        <v>4242</v>
      </c>
      <c r="JS64" s="185" t="s">
        <v>4262</v>
      </c>
      <c r="JT64" s="185" t="s">
        <v>4262</v>
      </c>
      <c r="JU64" s="185" t="s">
        <v>4262</v>
      </c>
      <c r="JV64" s="185" t="s">
        <v>4262</v>
      </c>
      <c r="JW64" s="185" t="s">
        <v>4262</v>
      </c>
      <c r="JX64" s="185" t="s">
        <v>3575</v>
      </c>
      <c r="JY64" s="185" t="s">
        <v>3575</v>
      </c>
      <c r="JZ64" s="185" t="s">
        <v>3575</v>
      </c>
      <c r="KA64" s="185" t="s">
        <v>3575</v>
      </c>
      <c r="KB64" s="185" t="s">
        <v>3575</v>
      </c>
      <c r="KC64" s="185" t="s">
        <v>3575</v>
      </c>
      <c r="KD64" s="185" t="s">
        <v>4262</v>
      </c>
      <c r="KE64" s="185" t="s">
        <v>4262</v>
      </c>
      <c r="KF64" s="185" t="s">
        <v>4262</v>
      </c>
      <c r="KG64" s="115" t="s">
        <v>4361</v>
      </c>
      <c r="KH64" s="115" t="s">
        <v>4378</v>
      </c>
      <c r="KI64" s="115" t="s">
        <v>3162</v>
      </c>
      <c r="KJ64" s="115" t="s">
        <v>4411</v>
      </c>
      <c r="KK64" s="115" t="s">
        <v>4411</v>
      </c>
      <c r="KL64" s="159" t="s">
        <v>4437</v>
      </c>
      <c r="KM64" s="115" t="s">
        <v>2858</v>
      </c>
      <c r="KN64" s="155" t="s">
        <v>2329</v>
      </c>
      <c r="KO64" s="115" t="s">
        <v>4498</v>
      </c>
      <c r="KP64" s="115" t="s">
        <v>4498</v>
      </c>
      <c r="KQ64" s="115" t="s">
        <v>4498</v>
      </c>
      <c r="KR64" s="115" t="s">
        <v>4527</v>
      </c>
      <c r="KS64" s="115" t="s">
        <v>4527</v>
      </c>
      <c r="KT64" s="115" t="s">
        <v>4527</v>
      </c>
      <c r="KU64" s="115" t="s">
        <v>4527</v>
      </c>
      <c r="KV64" s="115" t="s">
        <v>4527</v>
      </c>
      <c r="KW64" s="185" t="s">
        <v>4574</v>
      </c>
      <c r="KX64" s="185" t="s">
        <v>4574</v>
      </c>
      <c r="KY64" s="245" t="s">
        <v>4625</v>
      </c>
      <c r="KZ64" s="245" t="s">
        <v>4625</v>
      </c>
      <c r="LA64" s="187" t="s">
        <v>4625</v>
      </c>
      <c r="LB64" s="185" t="s">
        <v>4037</v>
      </c>
      <c r="LC64" s="115" t="s">
        <v>4711</v>
      </c>
      <c r="LD64" s="115" t="s">
        <v>4711</v>
      </c>
      <c r="LE64" s="115" t="s">
        <v>4711</v>
      </c>
      <c r="LF64" s="115" t="s">
        <v>4711</v>
      </c>
      <c r="LG64" s="115" t="s">
        <v>4829</v>
      </c>
      <c r="LH64" s="115" t="s">
        <v>4625</v>
      </c>
      <c r="LI64" s="115" t="s">
        <v>4625</v>
      </c>
      <c r="LJ64" s="115" t="s">
        <v>4625</v>
      </c>
      <c r="LK64" s="115" t="s">
        <v>4830</v>
      </c>
      <c r="LL64" s="187" t="s">
        <v>4625</v>
      </c>
      <c r="LM64" s="265" t="s">
        <v>4625</v>
      </c>
      <c r="LN64" s="265" t="s">
        <v>4625</v>
      </c>
      <c r="LO64" s="115" t="s">
        <v>4842</v>
      </c>
      <c r="LP64" s="115" t="s">
        <v>4862</v>
      </c>
      <c r="LQ64" s="263" t="s">
        <v>4869</v>
      </c>
      <c r="LR64" s="115" t="s">
        <v>4829</v>
      </c>
      <c r="LS64" s="115" t="s">
        <v>4625</v>
      </c>
      <c r="LT64" s="115" t="s">
        <v>4896</v>
      </c>
      <c r="LU64" s="115" t="s">
        <v>4906</v>
      </c>
      <c r="LV64" s="286" t="s">
        <v>4917</v>
      </c>
      <c r="LW64" s="115" t="s">
        <v>4925</v>
      </c>
      <c r="LX64" s="115" t="s">
        <v>4925</v>
      </c>
      <c r="LY64" s="115" t="s">
        <v>4951</v>
      </c>
      <c r="LZ64" s="115" t="s">
        <v>4625</v>
      </c>
      <c r="MA64" s="115" t="s">
        <v>4625</v>
      </c>
      <c r="MB64" s="115" t="s">
        <v>4991</v>
      </c>
      <c r="MC64" s="115" t="s">
        <v>5007</v>
      </c>
      <c r="MD64" s="115" t="s">
        <v>5028</v>
      </c>
    </row>
    <row r="65" spans="1:355" ht="14.4" x14ac:dyDescent="0.3">
      <c r="A65" s="92">
        <v>62</v>
      </c>
      <c r="B65" s="313"/>
      <c r="C65" s="54" t="s">
        <v>495</v>
      </c>
      <c r="D65" s="14"/>
      <c r="E65" s="5"/>
      <c r="F65" s="5"/>
      <c r="G65" s="5"/>
      <c r="H65" s="5"/>
      <c r="I65" s="5"/>
      <c r="J65" s="43"/>
      <c r="K65" s="2"/>
      <c r="L65" s="5"/>
      <c r="M65" s="5"/>
      <c r="N65" s="5"/>
      <c r="O65" s="5"/>
      <c r="P65" s="5"/>
      <c r="Q65" s="5"/>
      <c r="R65" s="5"/>
      <c r="S65" s="5"/>
      <c r="T65" s="5"/>
      <c r="U65" s="5"/>
      <c r="V65" s="5"/>
      <c r="W65" s="5"/>
      <c r="X65" s="5"/>
      <c r="Y65" s="5"/>
      <c r="Z65" s="5"/>
      <c r="AA65" s="5"/>
      <c r="AB65" s="5"/>
      <c r="AF65" s="48"/>
      <c r="AG65" s="49"/>
      <c r="AH65" s="49"/>
      <c r="AQ65" s="63"/>
      <c r="BA65" s="5"/>
      <c r="BB65" s="5"/>
      <c r="BK65" s="5"/>
      <c r="BL65" s="105"/>
      <c r="BM65" s="105"/>
      <c r="BN65" s="5"/>
      <c r="BO65" s="5"/>
      <c r="BP65" s="5"/>
      <c r="BQ65" s="5"/>
      <c r="BR65" s="105"/>
      <c r="BS65" s="105"/>
      <c r="BT65" s="105"/>
      <c r="BU65" s="156"/>
      <c r="BV65" s="156"/>
      <c r="BW65" s="156"/>
      <c r="BX65" s="156"/>
      <c r="BY65" s="156"/>
      <c r="BZ65" s="156"/>
      <c r="CX65" s="157">
        <v>45455</v>
      </c>
      <c r="CY65" s="157">
        <v>45455</v>
      </c>
      <c r="CZ65" s="157">
        <v>45455</v>
      </c>
      <c r="DA65" s="157">
        <v>45455</v>
      </c>
      <c r="DB65" s="157">
        <v>45453</v>
      </c>
      <c r="DC65" s="157">
        <v>45453</v>
      </c>
      <c r="DD65" s="157">
        <v>45453</v>
      </c>
      <c r="DE65" s="157">
        <v>45453</v>
      </c>
      <c r="DF65" s="157">
        <v>45455</v>
      </c>
      <c r="DG65" s="157">
        <v>45453</v>
      </c>
      <c r="DH65" s="157">
        <v>45453</v>
      </c>
      <c r="DI65" s="157">
        <v>45453</v>
      </c>
      <c r="DO65" s="176">
        <v>45618</v>
      </c>
      <c r="DP65" s="172">
        <v>45611</v>
      </c>
      <c r="DQ65" s="172">
        <v>45611</v>
      </c>
      <c r="DR65" s="172">
        <v>45611</v>
      </c>
      <c r="DS65" s="172">
        <v>45611</v>
      </c>
      <c r="DT65" s="172">
        <v>45611</v>
      </c>
      <c r="DW65" s="169"/>
      <c r="DX65" s="169"/>
      <c r="DY65" s="157">
        <v>45730</v>
      </c>
      <c r="DZ65" s="169"/>
      <c r="EA65" s="157">
        <v>45730</v>
      </c>
      <c r="EB65" s="157">
        <v>45730</v>
      </c>
      <c r="EC65" s="169"/>
      <c r="ED65" s="157">
        <v>45696</v>
      </c>
      <c r="EE65" s="157">
        <v>45696</v>
      </c>
      <c r="EF65" s="157">
        <v>45695</v>
      </c>
      <c r="EG65" s="157">
        <v>45695</v>
      </c>
      <c r="EH65" s="157">
        <v>45718</v>
      </c>
      <c r="EI65" s="190">
        <v>45719</v>
      </c>
      <c r="EJ65" s="193">
        <v>45723</v>
      </c>
      <c r="EK65" s="190">
        <v>45719</v>
      </c>
      <c r="EL65" s="193">
        <v>45729</v>
      </c>
      <c r="EM65" s="190">
        <v>45718</v>
      </c>
      <c r="EN65" s="157">
        <v>45730</v>
      </c>
      <c r="EO65" s="157">
        <v>45701</v>
      </c>
      <c r="EP65" s="157">
        <v>45701</v>
      </c>
      <c r="EQ65" s="157">
        <v>45717</v>
      </c>
      <c r="ER65" s="157">
        <v>45690</v>
      </c>
      <c r="ES65" s="157">
        <v>45690</v>
      </c>
      <c r="ET65" s="157">
        <v>45720</v>
      </c>
      <c r="EU65" s="157">
        <v>45631</v>
      </c>
      <c r="EV65" s="157">
        <v>45728</v>
      </c>
      <c r="EW65" s="157">
        <v>45727</v>
      </c>
      <c r="EX65" s="169"/>
      <c r="EY65" s="156"/>
      <c r="EZ65" s="156"/>
      <c r="FE65" s="192">
        <v>45736</v>
      </c>
      <c r="FF65" s="193">
        <v>45775</v>
      </c>
      <c r="FG65" s="193">
        <v>45775</v>
      </c>
      <c r="FH65" s="193">
        <v>45775</v>
      </c>
      <c r="FJ65" s="192">
        <v>45719</v>
      </c>
      <c r="FK65" s="157">
        <v>45772</v>
      </c>
      <c r="FL65" s="157">
        <v>45772</v>
      </c>
      <c r="FM65" s="204">
        <v>45784</v>
      </c>
      <c r="FN65" s="190">
        <v>45781</v>
      </c>
      <c r="FO65" s="190">
        <v>45782</v>
      </c>
      <c r="FP65" s="190">
        <v>45782</v>
      </c>
      <c r="FQ65" s="190">
        <v>45782</v>
      </c>
      <c r="FR65" s="192">
        <v>45785</v>
      </c>
      <c r="FS65" s="190">
        <v>45786</v>
      </c>
      <c r="FT65" s="190">
        <v>45736</v>
      </c>
      <c r="FU65" s="190">
        <v>45786</v>
      </c>
      <c r="FV65" s="157">
        <v>45797</v>
      </c>
      <c r="FW65" s="157">
        <v>45797</v>
      </c>
      <c r="FX65" s="157">
        <v>45797</v>
      </c>
      <c r="FY65" s="157">
        <v>45797</v>
      </c>
      <c r="FZ65" s="157">
        <v>45798</v>
      </c>
      <c r="GA65" s="193">
        <v>45798</v>
      </c>
      <c r="GB65" s="193">
        <v>45798</v>
      </c>
      <c r="GC65" s="193">
        <v>45798</v>
      </c>
      <c r="GD65" s="190">
        <v>45799</v>
      </c>
      <c r="GE65" s="157">
        <v>45800</v>
      </c>
      <c r="GF65" s="192">
        <v>45801</v>
      </c>
      <c r="GG65" s="190">
        <v>45801</v>
      </c>
      <c r="GH65" s="192">
        <v>45801</v>
      </c>
      <c r="GI65" s="192">
        <v>45801</v>
      </c>
      <c r="GJ65" s="193">
        <v>45782</v>
      </c>
      <c r="GK65" s="193">
        <v>45803</v>
      </c>
      <c r="GL65" s="192">
        <v>45798</v>
      </c>
      <c r="GM65" s="157">
        <v>45803</v>
      </c>
      <c r="GN65" s="157">
        <v>45803</v>
      </c>
      <c r="GO65" s="157">
        <v>45809</v>
      </c>
      <c r="GP65" s="192">
        <v>45813</v>
      </c>
      <c r="GQ65" s="205">
        <v>45840</v>
      </c>
      <c r="GR65" s="192">
        <v>45841</v>
      </c>
      <c r="GS65" s="157">
        <v>45842</v>
      </c>
      <c r="GT65" s="192">
        <v>45840</v>
      </c>
      <c r="GU65" s="157">
        <v>45866</v>
      </c>
      <c r="GV65" s="157">
        <v>45872</v>
      </c>
      <c r="GW65" s="157">
        <v>45871</v>
      </c>
      <c r="GX65" s="193">
        <v>45867</v>
      </c>
      <c r="GY65" s="157">
        <v>45871</v>
      </c>
      <c r="GZ65" s="205">
        <v>45798</v>
      </c>
      <c r="HA65" s="221">
        <v>45782</v>
      </c>
      <c r="HB65" s="221">
        <v>45771</v>
      </c>
      <c r="HC65" s="221">
        <v>45782</v>
      </c>
      <c r="HD65" s="189">
        <v>45798</v>
      </c>
      <c r="HE65" s="192">
        <v>45893</v>
      </c>
      <c r="HF65" s="192">
        <v>45893</v>
      </c>
      <c r="HG65" s="223">
        <v>45798</v>
      </c>
      <c r="HH65" s="192">
        <v>45893</v>
      </c>
      <c r="HI65" s="227">
        <v>45803</v>
      </c>
      <c r="HJ65" s="192">
        <v>45894</v>
      </c>
      <c r="HK65" s="192">
        <v>45894</v>
      </c>
      <c r="HL65" s="193">
        <v>45897</v>
      </c>
      <c r="HM65" s="230">
        <v>45894</v>
      </c>
      <c r="HN65" s="157">
        <v>46013</v>
      </c>
      <c r="HO65" s="157">
        <v>46020</v>
      </c>
      <c r="HP65" s="157">
        <v>46020</v>
      </c>
      <c r="HQ65" s="157">
        <v>46020</v>
      </c>
      <c r="HR65" s="193">
        <v>46021</v>
      </c>
      <c r="HS65" s="221">
        <v>46026</v>
      </c>
      <c r="HT65" s="192">
        <v>46025</v>
      </c>
      <c r="HU65" s="157">
        <v>46020</v>
      </c>
      <c r="HV65" s="157">
        <v>46020</v>
      </c>
      <c r="HW65" s="157">
        <v>46026</v>
      </c>
      <c r="HX65" s="157">
        <v>46020</v>
      </c>
      <c r="HY65" s="157">
        <v>46026</v>
      </c>
      <c r="HZ65" s="157">
        <v>46013</v>
      </c>
      <c r="IA65" s="157">
        <v>46020</v>
      </c>
      <c r="IB65" s="157">
        <v>46024</v>
      </c>
      <c r="IC65" s="157">
        <v>46013</v>
      </c>
      <c r="ID65" s="157">
        <v>46013</v>
      </c>
      <c r="IE65" s="157">
        <v>46022</v>
      </c>
      <c r="IF65" s="192">
        <v>46024</v>
      </c>
      <c r="IG65" s="192">
        <v>46013</v>
      </c>
      <c r="IH65" s="192">
        <v>45800</v>
      </c>
      <c r="II65" s="192">
        <v>46013</v>
      </c>
      <c r="IJ65" s="192">
        <v>46013</v>
      </c>
      <c r="IK65" s="237">
        <v>46024</v>
      </c>
      <c r="IL65" s="192">
        <v>46024</v>
      </c>
      <c r="IM65" s="193">
        <v>46021</v>
      </c>
      <c r="IN65" s="193">
        <v>46021</v>
      </c>
      <c r="IO65" s="221">
        <v>45782</v>
      </c>
      <c r="IP65" s="221">
        <v>45782</v>
      </c>
      <c r="IQ65" s="157">
        <v>46024</v>
      </c>
      <c r="IR65" s="193">
        <v>46021</v>
      </c>
      <c r="IS65" s="157">
        <v>46028</v>
      </c>
      <c r="IT65" s="221">
        <v>46029</v>
      </c>
      <c r="IU65" s="157">
        <v>46028</v>
      </c>
      <c r="IV65" s="221">
        <v>46029</v>
      </c>
      <c r="IW65" s="157">
        <v>46035</v>
      </c>
      <c r="IX65" s="221"/>
      <c r="IY65" s="157">
        <v>46031</v>
      </c>
      <c r="IZ65" s="157">
        <v>46031</v>
      </c>
      <c r="JA65" s="157">
        <v>46044</v>
      </c>
      <c r="JB65" s="157">
        <v>46036</v>
      </c>
      <c r="JC65" s="157">
        <v>46036</v>
      </c>
      <c r="JD65" s="157">
        <v>46037</v>
      </c>
      <c r="JE65" s="157">
        <v>46037</v>
      </c>
      <c r="JF65" s="157">
        <v>46038</v>
      </c>
      <c r="JG65" s="157">
        <v>46041</v>
      </c>
      <c r="JH65" s="157">
        <v>46040</v>
      </c>
      <c r="JI65" s="157">
        <v>46039</v>
      </c>
      <c r="JJ65" s="254">
        <v>46046</v>
      </c>
      <c r="JK65" s="254">
        <v>46046</v>
      </c>
      <c r="JL65" s="254">
        <v>46046</v>
      </c>
      <c r="JM65" s="254">
        <v>46046</v>
      </c>
      <c r="JN65" s="157">
        <v>46049</v>
      </c>
      <c r="JO65" s="157">
        <v>46048</v>
      </c>
      <c r="JP65" s="157">
        <v>46055</v>
      </c>
      <c r="JQ65" s="157">
        <v>46048</v>
      </c>
      <c r="JR65" s="157">
        <v>46048</v>
      </c>
      <c r="JS65" s="157">
        <v>46052</v>
      </c>
      <c r="JT65" s="157">
        <v>46052</v>
      </c>
      <c r="JU65" s="157">
        <v>46052</v>
      </c>
      <c r="JV65" s="157">
        <v>46052</v>
      </c>
      <c r="JW65" s="157">
        <v>46052</v>
      </c>
      <c r="JX65" s="157">
        <v>46045</v>
      </c>
      <c r="JY65" s="157">
        <v>46045</v>
      </c>
      <c r="JZ65" s="157">
        <v>46045</v>
      </c>
      <c r="KA65" s="157">
        <v>46045</v>
      </c>
      <c r="KB65" s="157">
        <v>46045</v>
      </c>
      <c r="KC65" s="157">
        <v>46045</v>
      </c>
      <c r="KD65" s="157">
        <v>46056</v>
      </c>
      <c r="KE65" s="157">
        <v>46056</v>
      </c>
      <c r="KF65" s="157">
        <v>46056</v>
      </c>
      <c r="KG65" s="157">
        <v>46057</v>
      </c>
      <c r="KH65" s="157">
        <v>46055</v>
      </c>
      <c r="KI65" s="157">
        <v>46064</v>
      </c>
      <c r="KJ65" s="157">
        <v>46061</v>
      </c>
      <c r="KK65" s="157">
        <v>46061</v>
      </c>
      <c r="KL65" s="157">
        <v>46064</v>
      </c>
      <c r="KM65" s="157">
        <v>46059</v>
      </c>
      <c r="KN65" s="189">
        <v>45704</v>
      </c>
      <c r="KO65" s="157">
        <v>46065</v>
      </c>
      <c r="KP65" s="157">
        <v>46065</v>
      </c>
      <c r="KQ65" s="157">
        <v>46065</v>
      </c>
      <c r="KR65" s="193">
        <v>46069</v>
      </c>
      <c r="KS65" s="193">
        <v>46069</v>
      </c>
      <c r="KT65" s="193">
        <v>46069</v>
      </c>
      <c r="KU65" s="193">
        <v>46069</v>
      </c>
      <c r="KV65" s="193">
        <v>46069</v>
      </c>
      <c r="KW65" s="157">
        <v>46073</v>
      </c>
      <c r="KX65" s="157">
        <v>46073</v>
      </c>
      <c r="KY65" s="258">
        <v>46078</v>
      </c>
      <c r="KZ65" s="258">
        <v>46078</v>
      </c>
      <c r="LA65" s="273">
        <v>46241</v>
      </c>
      <c r="LB65" s="157">
        <v>46241</v>
      </c>
      <c r="LC65" s="157">
        <v>46239</v>
      </c>
      <c r="LD65" s="157">
        <v>46239</v>
      </c>
      <c r="LE65" s="157">
        <v>46239</v>
      </c>
      <c r="LF65" s="157">
        <v>46240</v>
      </c>
      <c r="LG65" s="157">
        <v>45877</v>
      </c>
      <c r="LH65" s="157">
        <v>46240</v>
      </c>
      <c r="LI65" s="157">
        <v>46241</v>
      </c>
      <c r="LJ65" s="157">
        <v>46240</v>
      </c>
      <c r="LK65" s="157">
        <v>46240</v>
      </c>
      <c r="LL65" s="273">
        <v>46240</v>
      </c>
      <c r="LM65" s="277">
        <v>46240</v>
      </c>
      <c r="LN65" s="277">
        <v>46240</v>
      </c>
      <c r="LO65" s="157">
        <v>46242</v>
      </c>
      <c r="LP65" s="157">
        <v>46240</v>
      </c>
      <c r="LQ65" s="284">
        <v>46258</v>
      </c>
      <c r="LR65" s="157">
        <v>45880</v>
      </c>
      <c r="LS65" s="157">
        <v>46258</v>
      </c>
      <c r="LT65" s="157">
        <v>46257</v>
      </c>
      <c r="LU65" s="157">
        <v>46257</v>
      </c>
      <c r="LV65" s="289">
        <v>46257</v>
      </c>
      <c r="LW65" s="157">
        <v>46248</v>
      </c>
      <c r="LX65" s="157">
        <v>46248</v>
      </c>
      <c r="LY65" s="157">
        <v>46261</v>
      </c>
      <c r="LZ65" s="157">
        <v>46262</v>
      </c>
      <c r="MA65" s="157">
        <v>46262</v>
      </c>
      <c r="MB65" s="157">
        <v>46269</v>
      </c>
      <c r="MC65" s="157">
        <v>46269</v>
      </c>
      <c r="MD65" s="157">
        <v>46269</v>
      </c>
    </row>
    <row r="66" spans="1:355" ht="13.8" x14ac:dyDescent="0.25">
      <c r="A66" s="92">
        <v>63</v>
      </c>
      <c r="B66" s="313"/>
      <c r="C66" s="54" t="s">
        <v>496</v>
      </c>
      <c r="D66" s="14"/>
      <c r="E66" s="5"/>
      <c r="F66" s="5"/>
      <c r="G66" s="5"/>
      <c r="H66" s="5"/>
      <c r="I66" s="5"/>
      <c r="J66" s="43"/>
      <c r="K66" s="2"/>
      <c r="L66" s="5"/>
      <c r="M66" s="5"/>
      <c r="N66" s="5"/>
      <c r="O66" s="5"/>
      <c r="P66" s="5"/>
      <c r="Q66" s="5"/>
      <c r="R66" s="5"/>
      <c r="S66" s="5"/>
      <c r="T66" s="5"/>
      <c r="U66" s="5"/>
      <c r="V66" s="5"/>
      <c r="W66" s="5"/>
      <c r="X66" s="5"/>
      <c r="Y66" s="5"/>
      <c r="Z66" s="5"/>
      <c r="AA66" s="5"/>
      <c r="AB66" s="5"/>
      <c r="AF66" s="48"/>
      <c r="AG66" s="49"/>
      <c r="AH66" s="49"/>
      <c r="AQ66" s="63"/>
      <c r="BA66" s="5"/>
      <c r="BB66" s="5"/>
      <c r="BK66" s="105"/>
      <c r="BL66" s="105"/>
      <c r="BM66" s="105"/>
      <c r="BN66" s="5"/>
      <c r="BO66" s="5"/>
      <c r="BP66" s="5"/>
      <c r="BQ66" s="5"/>
      <c r="BR66" s="105"/>
      <c r="BS66" s="105"/>
      <c r="BT66" s="105"/>
      <c r="BU66" s="156"/>
      <c r="BV66" s="156"/>
      <c r="BW66" s="156"/>
      <c r="BX66" s="156"/>
      <c r="BY66" s="156"/>
      <c r="BZ66" s="156"/>
      <c r="CX66" s="169" t="s">
        <v>30</v>
      </c>
      <c r="CY66" s="169" t="s">
        <v>30</v>
      </c>
      <c r="CZ66" s="169" t="s">
        <v>30</v>
      </c>
      <c r="DA66" s="169" t="s">
        <v>30</v>
      </c>
      <c r="DB66" s="169" t="s">
        <v>30</v>
      </c>
      <c r="DC66" s="169" t="s">
        <v>30</v>
      </c>
      <c r="DD66" s="169" t="s">
        <v>30</v>
      </c>
      <c r="DE66" s="169" t="s">
        <v>30</v>
      </c>
      <c r="DF66" s="169" t="s">
        <v>30</v>
      </c>
      <c r="DG66" s="169" t="s">
        <v>30</v>
      </c>
      <c r="DH66" s="169" t="s">
        <v>30</v>
      </c>
      <c r="DI66" s="169" t="s">
        <v>30</v>
      </c>
      <c r="DO66" s="176" t="s">
        <v>30</v>
      </c>
      <c r="DP66" s="105" t="s">
        <v>30</v>
      </c>
      <c r="DQ66" s="105" t="s">
        <v>30</v>
      </c>
      <c r="DR66" s="105" t="s">
        <v>30</v>
      </c>
      <c r="DS66" s="105" t="s">
        <v>30</v>
      </c>
      <c r="DT66" s="105" t="s">
        <v>30</v>
      </c>
      <c r="DX66" s="169"/>
      <c r="DY66" s="169" t="s">
        <v>30</v>
      </c>
      <c r="DZ66" s="169"/>
      <c r="EA66" s="169" t="s">
        <v>30</v>
      </c>
      <c r="EB66" s="169" t="s">
        <v>30</v>
      </c>
      <c r="EC66" s="169"/>
      <c r="ED66" s="169" t="s">
        <v>30</v>
      </c>
      <c r="EE66" s="169" t="s">
        <v>30</v>
      </c>
      <c r="EF66" s="169" t="s">
        <v>30</v>
      </c>
      <c r="EG66" s="169" t="s">
        <v>30</v>
      </c>
      <c r="EH66" s="169" t="s">
        <v>30</v>
      </c>
      <c r="EI66" s="191" t="s">
        <v>30</v>
      </c>
      <c r="EJ66" s="169" t="s">
        <v>30</v>
      </c>
      <c r="EK66" s="156" t="s">
        <v>30</v>
      </c>
      <c r="EL66" s="169" t="s">
        <v>30</v>
      </c>
      <c r="EM66" s="156" t="s">
        <v>30</v>
      </c>
      <c r="EN66" s="169" t="s">
        <v>30</v>
      </c>
      <c r="EO66" s="169" t="s">
        <v>30</v>
      </c>
      <c r="EP66" s="169" t="s">
        <v>30</v>
      </c>
      <c r="EQ66" s="169" t="s">
        <v>30</v>
      </c>
      <c r="ER66" s="169" t="s">
        <v>30</v>
      </c>
      <c r="ES66" s="169" t="s">
        <v>30</v>
      </c>
      <c r="ET66" s="169" t="s">
        <v>30</v>
      </c>
      <c r="EU66" s="195" t="s">
        <v>30</v>
      </c>
      <c r="EV66" s="195" t="s">
        <v>30</v>
      </c>
      <c r="EW66" s="115" t="s">
        <v>30</v>
      </c>
      <c r="EY66" s="156"/>
      <c r="EZ66" s="156"/>
      <c r="FE66" s="169" t="s">
        <v>2650</v>
      </c>
      <c r="FF66" s="115" t="s">
        <v>30</v>
      </c>
      <c r="FG66" s="115" t="s">
        <v>30</v>
      </c>
      <c r="FH66" s="115" t="s">
        <v>30</v>
      </c>
      <c r="FJ66" s="169" t="s">
        <v>2650</v>
      </c>
      <c r="FK66" s="115" t="s">
        <v>30</v>
      </c>
      <c r="FL66" s="115" t="s">
        <v>30</v>
      </c>
      <c r="FM66" s="47" t="s">
        <v>2738</v>
      </c>
      <c r="FN66" s="156" t="s">
        <v>30</v>
      </c>
      <c r="FO66" s="156" t="s">
        <v>30</v>
      </c>
      <c r="FP66" s="156" t="s">
        <v>30</v>
      </c>
      <c r="FQ66" s="156" t="s">
        <v>30</v>
      </c>
      <c r="FR66" s="169" t="s">
        <v>30</v>
      </c>
      <c r="FS66" s="156" t="s">
        <v>30</v>
      </c>
      <c r="FT66" s="156" t="s">
        <v>2738</v>
      </c>
      <c r="FU66" s="191" t="s">
        <v>30</v>
      </c>
      <c r="FV66" s="195" t="s">
        <v>30</v>
      </c>
      <c r="FW66" s="195" t="s">
        <v>30</v>
      </c>
      <c r="FX66" s="195" t="s">
        <v>30</v>
      </c>
      <c r="FY66" s="115" t="s">
        <v>30</v>
      </c>
      <c r="FZ66" s="169" t="s">
        <v>30</v>
      </c>
      <c r="GA66" s="206" t="s">
        <v>30</v>
      </c>
      <c r="GB66" s="206" t="s">
        <v>30</v>
      </c>
      <c r="GC66" s="206" t="s">
        <v>30</v>
      </c>
      <c r="GD66" s="156" t="s">
        <v>30</v>
      </c>
      <c r="GE66" s="169" t="s">
        <v>30</v>
      </c>
      <c r="GF66" s="169" t="s">
        <v>1843</v>
      </c>
      <c r="GG66" s="191" t="s">
        <v>30</v>
      </c>
      <c r="GH66" s="169" t="s">
        <v>30</v>
      </c>
      <c r="GI66" s="169" t="s">
        <v>30</v>
      </c>
      <c r="GJ66" s="194" t="s">
        <v>1843</v>
      </c>
      <c r="GK66" s="169" t="s">
        <v>30</v>
      </c>
      <c r="GL66" s="169" t="s">
        <v>3048</v>
      </c>
      <c r="GM66" s="115" t="s">
        <v>30</v>
      </c>
      <c r="GN66" s="115" t="s">
        <v>30</v>
      </c>
      <c r="GO66" s="169" t="s">
        <v>30</v>
      </c>
      <c r="GP66" s="115" t="s">
        <v>30</v>
      </c>
      <c r="GQ66" s="191" t="s">
        <v>30</v>
      </c>
      <c r="GR66" s="115" t="s">
        <v>30</v>
      </c>
      <c r="GS66" s="169" t="s">
        <v>30</v>
      </c>
      <c r="GT66" s="169" t="s">
        <v>30</v>
      </c>
      <c r="GU66" s="169" t="s">
        <v>30</v>
      </c>
      <c r="GV66" s="115" t="s">
        <v>30</v>
      </c>
      <c r="GW66" s="115" t="s">
        <v>30</v>
      </c>
      <c r="GX66" s="115" t="s">
        <v>30</v>
      </c>
      <c r="GY66" s="115" t="s">
        <v>30</v>
      </c>
      <c r="GZ66" s="191" t="s">
        <v>3048</v>
      </c>
      <c r="HA66" s="194" t="s">
        <v>1843</v>
      </c>
      <c r="HB66" s="194" t="s">
        <v>1843</v>
      </c>
      <c r="HC66" s="194" t="s">
        <v>1843</v>
      </c>
      <c r="HD66" s="156" t="s">
        <v>3048</v>
      </c>
      <c r="HE66" s="185" t="s">
        <v>30</v>
      </c>
      <c r="HF66" s="185" t="s">
        <v>30</v>
      </c>
      <c r="HG66" s="156" t="s">
        <v>3048</v>
      </c>
      <c r="HH66" s="185" t="s">
        <v>30</v>
      </c>
      <c r="HI66" s="179" t="s">
        <v>3048</v>
      </c>
      <c r="HJ66" s="185" t="s">
        <v>2650</v>
      </c>
      <c r="HK66" s="185" t="s">
        <v>2650</v>
      </c>
      <c r="HL66" s="115" t="s">
        <v>2650</v>
      </c>
      <c r="HM66" s="169" t="s">
        <v>2650</v>
      </c>
      <c r="HN66" s="169" t="s">
        <v>30</v>
      </c>
      <c r="HO66" s="195" t="s">
        <v>30</v>
      </c>
      <c r="HP66" s="195" t="s">
        <v>30</v>
      </c>
      <c r="HQ66" s="195" t="s">
        <v>30</v>
      </c>
      <c r="HR66" s="115" t="s">
        <v>30</v>
      </c>
      <c r="HS66" s="194" t="s">
        <v>30</v>
      </c>
      <c r="HT66" s="233" t="s">
        <v>30</v>
      </c>
      <c r="HU66" s="195" t="s">
        <v>30</v>
      </c>
      <c r="HV66" s="195" t="s">
        <v>30</v>
      </c>
      <c r="HW66" s="169" t="s">
        <v>30</v>
      </c>
      <c r="HX66" s="195" t="s">
        <v>30</v>
      </c>
      <c r="HY66" s="169" t="s">
        <v>30</v>
      </c>
      <c r="HZ66" s="169" t="s">
        <v>30</v>
      </c>
      <c r="IA66" s="195" t="s">
        <v>30</v>
      </c>
      <c r="IB66" s="115" t="s">
        <v>30</v>
      </c>
      <c r="IC66" s="169" t="s">
        <v>30</v>
      </c>
      <c r="ID66" s="233" t="s">
        <v>30</v>
      </c>
      <c r="IE66" s="115" t="s">
        <v>30</v>
      </c>
      <c r="IF66" s="185" t="s">
        <v>30</v>
      </c>
      <c r="IG66" s="169" t="s">
        <v>30</v>
      </c>
      <c r="IH66" s="169" t="s">
        <v>3048</v>
      </c>
      <c r="II66" s="169" t="s">
        <v>30</v>
      </c>
      <c r="IJ66" s="169" t="s">
        <v>30</v>
      </c>
      <c r="IK66" s="185" t="s">
        <v>30</v>
      </c>
      <c r="IL66" s="185" t="s">
        <v>30</v>
      </c>
      <c r="IM66" s="115" t="s">
        <v>30</v>
      </c>
      <c r="IN66" s="115" t="s">
        <v>30</v>
      </c>
      <c r="IO66" s="194" t="s">
        <v>1843</v>
      </c>
      <c r="IP66" s="194" t="s">
        <v>1843</v>
      </c>
      <c r="IQ66" s="115" t="s">
        <v>30</v>
      </c>
      <c r="IR66" s="115" t="s">
        <v>30</v>
      </c>
      <c r="IS66" s="169" t="s">
        <v>30</v>
      </c>
      <c r="IT66" s="159" t="s">
        <v>30</v>
      </c>
      <c r="IU66" s="115" t="s">
        <v>30</v>
      </c>
      <c r="IV66" s="115" t="s">
        <v>30</v>
      </c>
      <c r="IW66" s="115" t="s">
        <v>30</v>
      </c>
      <c r="IX66" s="194"/>
      <c r="IY66" s="115" t="s">
        <v>30</v>
      </c>
      <c r="IZ66" s="115" t="s">
        <v>30</v>
      </c>
      <c r="JA66" s="169" t="s">
        <v>30</v>
      </c>
      <c r="JB66" s="169" t="s">
        <v>30</v>
      </c>
      <c r="JC66" s="169" t="s">
        <v>30</v>
      </c>
      <c r="JD66" s="169" t="s">
        <v>30</v>
      </c>
      <c r="JE66" s="169" t="s">
        <v>30</v>
      </c>
      <c r="JF66" s="169" t="s">
        <v>30</v>
      </c>
      <c r="JG66" s="169" t="s">
        <v>30</v>
      </c>
      <c r="JH66" s="169" t="s">
        <v>30</v>
      </c>
      <c r="JI66" s="169" t="s">
        <v>30</v>
      </c>
      <c r="JJ66" s="245" t="s">
        <v>30</v>
      </c>
      <c r="JK66" s="245" t="s">
        <v>30</v>
      </c>
      <c r="JL66" s="245" t="s">
        <v>30</v>
      </c>
      <c r="JM66" s="245" t="s">
        <v>30</v>
      </c>
      <c r="JN66" s="169" t="s">
        <v>30</v>
      </c>
      <c r="JO66" s="115" t="s">
        <v>30</v>
      </c>
      <c r="JP66" s="169" t="s">
        <v>30</v>
      </c>
      <c r="JQ66" s="115" t="s">
        <v>30</v>
      </c>
      <c r="JR66" s="115" t="s">
        <v>30</v>
      </c>
      <c r="JS66" s="169" t="s">
        <v>30</v>
      </c>
      <c r="JT66" s="169" t="s">
        <v>30</v>
      </c>
      <c r="JU66" s="169" t="s">
        <v>30</v>
      </c>
      <c r="JV66" s="169" t="s">
        <v>30</v>
      </c>
      <c r="JW66" s="169" t="s">
        <v>30</v>
      </c>
      <c r="JX66" s="169" t="s">
        <v>30</v>
      </c>
      <c r="JY66" s="169" t="s">
        <v>30</v>
      </c>
      <c r="JZ66" s="169" t="s">
        <v>30</v>
      </c>
      <c r="KA66" s="169" t="s">
        <v>30</v>
      </c>
      <c r="KB66" s="169" t="s">
        <v>30</v>
      </c>
      <c r="KC66" s="169" t="s">
        <v>30</v>
      </c>
      <c r="KD66" s="169" t="s">
        <v>30</v>
      </c>
      <c r="KE66" s="169" t="s">
        <v>30</v>
      </c>
      <c r="KF66" s="169" t="s">
        <v>30</v>
      </c>
      <c r="KG66" s="169" t="s">
        <v>30</v>
      </c>
      <c r="KH66" s="169" t="s">
        <v>30</v>
      </c>
      <c r="KI66" s="169" t="s">
        <v>30</v>
      </c>
      <c r="KJ66" s="115" t="s">
        <v>30</v>
      </c>
      <c r="KK66" s="115" t="s">
        <v>30</v>
      </c>
      <c r="KL66" s="115" t="s">
        <v>30</v>
      </c>
      <c r="KM66" s="195" t="s">
        <v>30</v>
      </c>
      <c r="KN66" s="156" t="s">
        <v>30</v>
      </c>
      <c r="KO66" s="115" t="s">
        <v>30</v>
      </c>
      <c r="KP66" s="115" t="s">
        <v>30</v>
      </c>
      <c r="KQ66" s="115" t="s">
        <v>30</v>
      </c>
      <c r="KR66" s="115" t="s">
        <v>30</v>
      </c>
      <c r="KS66" s="115" t="s">
        <v>30</v>
      </c>
      <c r="KT66" s="115" t="s">
        <v>30</v>
      </c>
      <c r="KU66" s="115" t="s">
        <v>30</v>
      </c>
      <c r="KV66" s="115" t="s">
        <v>30</v>
      </c>
      <c r="KW66" s="169" t="s">
        <v>30</v>
      </c>
      <c r="KX66" s="169" t="s">
        <v>30</v>
      </c>
      <c r="KY66" s="245" t="s">
        <v>2650</v>
      </c>
      <c r="KZ66" s="245" t="s">
        <v>2650</v>
      </c>
      <c r="LA66" s="156" t="s">
        <v>30</v>
      </c>
      <c r="LB66" s="169" t="s">
        <v>30</v>
      </c>
      <c r="LC66" s="115" t="s">
        <v>30</v>
      </c>
      <c r="LD66" s="115" t="s">
        <v>30</v>
      </c>
      <c r="LE66" s="115" t="s">
        <v>30</v>
      </c>
      <c r="LF66" s="115" t="s">
        <v>30</v>
      </c>
      <c r="LG66" s="115" t="s">
        <v>30</v>
      </c>
      <c r="LH66" s="115" t="s">
        <v>30</v>
      </c>
      <c r="LI66" s="115" t="s">
        <v>30</v>
      </c>
      <c r="LJ66" s="115" t="s">
        <v>30</v>
      </c>
      <c r="LK66" s="169" t="s">
        <v>30</v>
      </c>
      <c r="LL66" s="156" t="s">
        <v>30</v>
      </c>
      <c r="LM66" s="265" t="s">
        <v>30</v>
      </c>
      <c r="LN66" s="265" t="s">
        <v>30</v>
      </c>
      <c r="LO66" s="195" t="s">
        <v>30</v>
      </c>
      <c r="LP66" s="115" t="s">
        <v>30</v>
      </c>
      <c r="LQ66" s="263" t="s">
        <v>30</v>
      </c>
      <c r="LR66" s="115" t="s">
        <v>30</v>
      </c>
      <c r="LS66" s="115" t="s">
        <v>30</v>
      </c>
      <c r="LT66" s="169" t="s">
        <v>30</v>
      </c>
      <c r="LU66" s="169" t="s">
        <v>30</v>
      </c>
      <c r="LV66" s="290" t="s">
        <v>30</v>
      </c>
      <c r="LW66" s="169" t="s">
        <v>30</v>
      </c>
      <c r="LX66" s="169" t="s">
        <v>30</v>
      </c>
      <c r="LY66" s="115" t="s">
        <v>30</v>
      </c>
      <c r="LZ66" s="115" t="s">
        <v>30</v>
      </c>
      <c r="MA66" s="115" t="s">
        <v>30</v>
      </c>
      <c r="MB66" s="169" t="s">
        <v>30</v>
      </c>
      <c r="MC66" s="115" t="s">
        <v>30</v>
      </c>
      <c r="MD66" s="115" t="s">
        <v>30</v>
      </c>
    </row>
    <row r="67" spans="1:355" ht="14.4" x14ac:dyDescent="0.3">
      <c r="A67" s="92">
        <v>64</v>
      </c>
      <c r="B67" s="313"/>
      <c r="C67" s="13" t="s">
        <v>497</v>
      </c>
      <c r="D67" s="29"/>
      <c r="E67" s="1"/>
      <c r="F67" s="3"/>
      <c r="G67" s="25"/>
      <c r="H67" s="1"/>
      <c r="I67" s="1"/>
      <c r="J67" s="45"/>
      <c r="K67" s="3"/>
      <c r="L67" s="1"/>
      <c r="M67" s="1"/>
      <c r="N67" s="1"/>
      <c r="O67" s="1"/>
      <c r="P67" s="1"/>
      <c r="Q67" s="1"/>
      <c r="R67" s="1"/>
      <c r="S67" s="1"/>
      <c r="T67" s="1"/>
      <c r="U67" s="1"/>
      <c r="V67" s="1"/>
      <c r="W67" s="1"/>
      <c r="X67" s="1"/>
      <c r="Y67" s="1"/>
      <c r="Z67" s="1"/>
      <c r="AA67" s="1"/>
      <c r="AB67" s="1"/>
      <c r="AF67" s="48"/>
      <c r="AG67" s="49"/>
      <c r="AH67" s="49"/>
      <c r="AP67" s="63"/>
      <c r="AQ67" s="63"/>
      <c r="BA67" s="1"/>
      <c r="BB67" s="1"/>
      <c r="BH67" s="25"/>
      <c r="BK67" s="105"/>
      <c r="BL67" s="105"/>
      <c r="BM67" s="105"/>
      <c r="BN67" s="1"/>
      <c r="BO67" s="1"/>
      <c r="BP67" s="1"/>
      <c r="BQ67" s="1"/>
      <c r="BR67" s="105"/>
      <c r="BS67" s="105"/>
      <c r="BT67" s="105"/>
      <c r="BU67" s="156"/>
      <c r="BV67" s="156"/>
      <c r="BW67" s="156"/>
      <c r="BX67" s="156"/>
      <c r="BY67" s="156"/>
      <c r="BZ67" s="156"/>
      <c r="DO67" s="178" t="s">
        <v>2087</v>
      </c>
      <c r="DS67" s="105"/>
      <c r="DT67" s="105"/>
      <c r="DY67" s="169"/>
      <c r="EA67" s="169"/>
      <c r="EB67" s="169"/>
      <c r="ED67" s="169" t="s">
        <v>2285</v>
      </c>
      <c r="EE67" s="169" t="s">
        <v>2285</v>
      </c>
      <c r="EF67" s="169" t="s">
        <v>2285</v>
      </c>
      <c r="EG67" s="169" t="s">
        <v>2285</v>
      </c>
      <c r="EH67" s="169"/>
      <c r="EI67" s="191"/>
      <c r="EJ67" s="169"/>
      <c r="EK67" s="156"/>
      <c r="EL67" s="156"/>
      <c r="EM67" s="156"/>
      <c r="EN67" s="169"/>
      <c r="EO67" s="169"/>
      <c r="EP67" s="169"/>
      <c r="EQ67" s="169"/>
      <c r="ER67" s="169" t="s">
        <v>2285</v>
      </c>
      <c r="ES67" s="169" t="s">
        <v>2285</v>
      </c>
      <c r="ET67" s="169"/>
      <c r="EU67" s="196"/>
      <c r="EV67" s="196"/>
      <c r="EW67" s="169"/>
      <c r="EZ67" s="156"/>
      <c r="FR67" s="156"/>
      <c r="FS67" s="156"/>
      <c r="FT67" s="156"/>
      <c r="FU67" s="191"/>
      <c r="FV67" s="196"/>
      <c r="FW67" s="196"/>
      <c r="FX67" s="169"/>
      <c r="FY67" s="169"/>
      <c r="FZ67" s="169"/>
      <c r="GB67" s="156"/>
      <c r="GC67" s="156"/>
      <c r="GD67" s="191"/>
      <c r="GE67" s="169"/>
      <c r="GF67" s="156"/>
      <c r="GG67" s="191"/>
      <c r="GH67" s="186"/>
      <c r="GI67" s="214"/>
      <c r="GJ67" s="194"/>
      <c r="GK67" s="194"/>
      <c r="GL67" s="169"/>
      <c r="GM67" s="169"/>
      <c r="GN67" s="206"/>
      <c r="GO67" s="169"/>
      <c r="GP67" s="169"/>
      <c r="GQ67" s="191"/>
      <c r="GR67" s="169"/>
      <c r="GS67" s="169"/>
      <c r="GT67" s="169"/>
      <c r="GU67" s="169"/>
      <c r="GV67" s="206"/>
      <c r="GW67" s="206"/>
      <c r="GX67" s="156"/>
      <c r="GY67" s="156"/>
      <c r="GZ67" s="191"/>
      <c r="HA67" s="194"/>
      <c r="HB67" s="194" t="s">
        <v>3295</v>
      </c>
      <c r="HC67" s="194"/>
      <c r="HD67" s="169"/>
      <c r="HE67" s="169"/>
      <c r="HF67" s="169"/>
      <c r="HG67" s="156"/>
      <c r="HH67" s="169"/>
      <c r="HI67" s="47"/>
      <c r="HJ67" s="185"/>
      <c r="HK67" s="185"/>
      <c r="HL67" s="156"/>
      <c r="HM67" s="169"/>
      <c r="IF67" s="238"/>
      <c r="IG67" s="238"/>
      <c r="IH67" s="194" t="s">
        <v>3740</v>
      </c>
      <c r="II67" s="238"/>
      <c r="IJ67" s="238"/>
      <c r="IK67" s="238"/>
      <c r="IL67" s="238"/>
      <c r="IM67" s="156"/>
      <c r="IQ67" s="206"/>
      <c r="IR67" s="156"/>
      <c r="IT67" s="235"/>
      <c r="IU67" s="206"/>
      <c r="IV67" s="206"/>
      <c r="IW67" s="206"/>
      <c r="IX67" s="186"/>
      <c r="IY67" s="206"/>
      <c r="IZ67" s="206"/>
      <c r="JA67" s="156"/>
      <c r="JB67" s="206"/>
      <c r="JC67" s="156"/>
      <c r="JD67" s="156"/>
      <c r="JE67" s="194"/>
      <c r="JF67" s="156"/>
      <c r="JG67" s="194"/>
      <c r="JH67" s="156"/>
      <c r="JI67" s="156"/>
      <c r="JJ67" s="255"/>
      <c r="JK67" s="255"/>
      <c r="JL67" s="255"/>
      <c r="JM67" s="255"/>
      <c r="JN67" s="169"/>
      <c r="JO67" s="206"/>
      <c r="JP67" s="156"/>
      <c r="JQ67" s="206"/>
      <c r="JR67" s="206"/>
      <c r="JS67" s="156"/>
      <c r="JT67" s="156"/>
      <c r="JU67" s="156"/>
      <c r="JV67" s="156"/>
      <c r="JW67" s="156"/>
      <c r="JX67" s="156"/>
      <c r="JY67" s="156"/>
      <c r="JZ67" s="156"/>
      <c r="KB67" s="156"/>
      <c r="KC67" s="156"/>
      <c r="KD67" s="194"/>
      <c r="KE67" s="194"/>
      <c r="KF67" s="194"/>
      <c r="KG67" s="169"/>
      <c r="KH67" s="169"/>
      <c r="KJ67" s="206"/>
      <c r="KK67" s="206"/>
      <c r="KL67" s="206"/>
      <c r="KM67" s="196"/>
      <c r="KN67" s="156"/>
      <c r="KO67" s="156"/>
      <c r="KP67" s="156"/>
      <c r="KQ67" s="156"/>
      <c r="KR67" s="156"/>
      <c r="KS67" s="156"/>
      <c r="KT67" s="156"/>
      <c r="KU67" s="156"/>
      <c r="KV67" s="156"/>
      <c r="KW67" s="156"/>
      <c r="KX67" s="156"/>
      <c r="KY67" s="255"/>
      <c r="KZ67" s="255"/>
      <c r="LC67" s="206"/>
      <c r="LD67" s="206"/>
      <c r="LE67" s="206"/>
      <c r="LF67" s="206"/>
      <c r="LG67" s="206"/>
      <c r="LH67" s="206"/>
      <c r="LK67" s="169"/>
      <c r="LL67" s="156"/>
      <c r="LM67" s="47"/>
      <c r="LN67" s="279"/>
      <c r="LO67" s="196"/>
      <c r="LP67" s="206"/>
      <c r="LQ67" s="285"/>
      <c r="LR67" s="206"/>
      <c r="LS67" s="206"/>
      <c r="LT67" s="169"/>
      <c r="LU67" s="169"/>
      <c r="LV67" s="290"/>
      <c r="LW67" s="169"/>
      <c r="LX67" s="169"/>
      <c r="LY67" s="206"/>
      <c r="LZ67" s="206"/>
      <c r="MA67" s="206"/>
      <c r="MB67" s="169"/>
      <c r="MC67" s="206"/>
      <c r="MD67" s="206"/>
    </row>
    <row r="68" spans="1:355" ht="13.8" x14ac:dyDescent="0.25">
      <c r="A68" s="92">
        <v>65</v>
      </c>
      <c r="B68" s="303" t="s">
        <v>185</v>
      </c>
      <c r="C68" s="15" t="s">
        <v>448</v>
      </c>
      <c r="D68" s="29"/>
      <c r="G68" s="12"/>
      <c r="J68" s="44"/>
      <c r="AF68" s="48"/>
      <c r="AG68" s="49"/>
      <c r="AH68" s="49"/>
      <c r="AP68" s="63"/>
      <c r="AQ68" s="63"/>
      <c r="BH68" s="12"/>
      <c r="BK68" s="105"/>
      <c r="BL68" s="46"/>
      <c r="BM68" s="105"/>
      <c r="BN68" s="105"/>
      <c r="BO68" s="105"/>
      <c r="BP68" s="105"/>
      <c r="BQ68" s="105"/>
      <c r="BR68" s="105" t="s">
        <v>1403</v>
      </c>
      <c r="BS68" s="105"/>
      <c r="BT68" s="105"/>
      <c r="BU68" s="156"/>
      <c r="BV68" s="156"/>
      <c r="BW68" s="156"/>
      <c r="BX68" s="156"/>
      <c r="BY68" s="156"/>
      <c r="BZ68" s="156"/>
      <c r="DO68" s="178" t="s">
        <v>2088</v>
      </c>
      <c r="DS68" s="105"/>
      <c r="DY68" s="169"/>
      <c r="EA68" s="169"/>
      <c r="EB68" s="169"/>
      <c r="ED68" s="156"/>
      <c r="EE68" s="156"/>
      <c r="EF68" s="156"/>
      <c r="EG68" s="156"/>
      <c r="EH68" s="169"/>
      <c r="EI68" s="191"/>
      <c r="EK68" s="156"/>
      <c r="EL68" s="156"/>
      <c r="EM68" s="156"/>
      <c r="EN68" s="169"/>
      <c r="EO68" s="169"/>
      <c r="EQ68" s="169"/>
      <c r="ER68" s="169"/>
      <c r="ES68" s="169"/>
      <c r="EU68" s="196"/>
      <c r="EV68" s="196"/>
      <c r="EW68" s="169"/>
      <c r="FS68" s="156"/>
      <c r="FV68" s="196"/>
      <c r="FW68" s="196"/>
      <c r="FX68" s="169"/>
      <c r="FZ68" s="169"/>
      <c r="GC68" s="156"/>
      <c r="GF68" s="156"/>
      <c r="GI68" s="215"/>
      <c r="GL68" s="169"/>
      <c r="GM68" s="169"/>
      <c r="GN68" s="206"/>
      <c r="GU68" s="169"/>
      <c r="GW68" s="206"/>
      <c r="GX68" s="156"/>
      <c r="GY68" s="156"/>
      <c r="GZ68" s="191"/>
      <c r="HB68" s="215"/>
      <c r="HD68" s="169"/>
      <c r="HE68" s="169"/>
      <c r="HG68" s="156"/>
      <c r="HH68" s="169"/>
      <c r="HJ68" s="185"/>
      <c r="HK68" s="185"/>
      <c r="HL68" s="156"/>
      <c r="HM68" s="169"/>
      <c r="IK68" s="235" t="s">
        <v>3870</v>
      </c>
      <c r="IR68" s="156"/>
      <c r="IT68" s="235" t="s">
        <v>3870</v>
      </c>
      <c r="IU68" s="235" t="s">
        <v>3870</v>
      </c>
      <c r="IV68" s="235" t="s">
        <v>3870</v>
      </c>
      <c r="IW68" s="235" t="s">
        <v>3870</v>
      </c>
      <c r="IX68" s="186"/>
      <c r="IY68" s="206"/>
      <c r="JA68" s="156"/>
      <c r="JB68" s="206"/>
      <c r="JC68" s="156"/>
      <c r="JD68" s="156"/>
      <c r="JF68" s="156"/>
      <c r="JH68" s="156"/>
      <c r="JI68" s="156"/>
      <c r="JL68" s="256"/>
      <c r="JO68" s="206"/>
      <c r="JR68" s="215"/>
      <c r="JS68" s="156"/>
      <c r="JU68" s="156"/>
      <c r="JW68" s="156"/>
      <c r="JY68" s="156"/>
      <c r="KB68" s="156"/>
      <c r="KC68" s="156"/>
      <c r="KE68" s="156"/>
      <c r="KF68" s="156"/>
      <c r="KK68" s="206"/>
      <c r="KL68" s="206"/>
      <c r="KM68" s="196"/>
      <c r="KN68" s="156"/>
      <c r="KO68" s="156"/>
      <c r="KP68" s="156"/>
      <c r="KQ68" s="156"/>
      <c r="KR68" s="156"/>
      <c r="KS68" s="156"/>
      <c r="KT68" s="156"/>
      <c r="KV68" s="156"/>
      <c r="KW68" s="156"/>
      <c r="KX68" s="156"/>
      <c r="KY68" s="256"/>
      <c r="KZ68" s="256"/>
      <c r="LC68" s="156"/>
      <c r="LD68" s="206"/>
      <c r="LE68" s="206"/>
      <c r="LG68" s="206"/>
      <c r="LL68" s="156"/>
      <c r="LN68" s="280"/>
      <c r="LO68" s="196"/>
      <c r="LT68" s="169"/>
      <c r="LY68" s="206" t="s">
        <v>4952</v>
      </c>
      <c r="MC68" s="206" t="s">
        <v>4952</v>
      </c>
      <c r="MD68" s="206"/>
    </row>
    <row r="69" spans="1:355" ht="13.8" x14ac:dyDescent="0.25">
      <c r="A69" s="92">
        <v>66</v>
      </c>
      <c r="B69" s="303"/>
      <c r="C69" s="15" t="s">
        <v>449</v>
      </c>
      <c r="D69" s="29"/>
      <c r="G69" s="25"/>
      <c r="AF69" s="48"/>
      <c r="AG69" s="49"/>
      <c r="AH69" s="49"/>
      <c r="AQ69" s="63"/>
      <c r="BH69" s="25"/>
      <c r="BJ69" s="105"/>
      <c r="BK69" s="105"/>
      <c r="BL69" s="105"/>
      <c r="BM69" s="105"/>
      <c r="BN69" s="105"/>
      <c r="BO69" s="105"/>
      <c r="BP69" s="105"/>
      <c r="BQ69" s="105"/>
      <c r="BR69" s="105"/>
      <c r="BS69" s="105"/>
      <c r="BT69" s="105"/>
      <c r="BU69" s="156"/>
      <c r="BV69" s="156"/>
      <c r="BW69" s="156"/>
      <c r="BX69" s="156"/>
      <c r="BY69" s="156"/>
      <c r="BZ69" s="156"/>
      <c r="DO69" s="24"/>
      <c r="DS69" s="105"/>
      <c r="DY69" s="169"/>
      <c r="EA69" s="169"/>
      <c r="ED69" s="156"/>
      <c r="EE69" s="156"/>
      <c r="EF69" s="156"/>
      <c r="EG69" s="156"/>
      <c r="EH69" s="169"/>
      <c r="EN69" s="169"/>
      <c r="EO69" s="169"/>
      <c r="EQ69" s="169"/>
      <c r="ER69" s="169"/>
      <c r="EV69" s="196"/>
      <c r="FV69" s="196"/>
      <c r="GC69" s="156"/>
      <c r="GW69" s="206"/>
      <c r="HB69" s="215"/>
      <c r="HE69" s="169"/>
      <c r="HK69" s="185"/>
      <c r="HM69" s="156"/>
      <c r="IR69" s="156"/>
      <c r="IU69" s="206"/>
      <c r="IV69" s="206"/>
      <c r="IW69" s="206"/>
      <c r="IY69" s="206"/>
      <c r="JC69" s="156"/>
      <c r="JH69" s="156"/>
      <c r="JI69" s="156"/>
      <c r="JL69" s="256"/>
      <c r="JR69" s="215"/>
      <c r="JZ69" s="156"/>
      <c r="KF69" s="156"/>
      <c r="KK69" s="206"/>
      <c r="KN69" s="156"/>
      <c r="KO69" s="156"/>
      <c r="KR69" s="156"/>
      <c r="KW69" s="156"/>
      <c r="KX69" s="156"/>
      <c r="KY69" s="256"/>
      <c r="KZ69" s="256"/>
      <c r="LC69" s="156"/>
      <c r="LY69" s="206"/>
      <c r="MC69" s="206"/>
    </row>
    <row r="70" spans="1:355" ht="13.8" x14ac:dyDescent="0.25">
      <c r="A70" s="92">
        <v>67</v>
      </c>
      <c r="B70" s="303"/>
      <c r="C70" s="15" t="s">
        <v>450</v>
      </c>
      <c r="D70" s="29"/>
      <c r="G70" s="25"/>
      <c r="AF70" s="48"/>
      <c r="AG70" s="49"/>
      <c r="AH70" s="49"/>
      <c r="AQ70" s="63"/>
      <c r="BH70" s="25"/>
      <c r="BK70" s="105"/>
      <c r="BL70" s="105"/>
      <c r="BM70" s="105"/>
      <c r="BN70" s="105"/>
      <c r="BO70" s="113"/>
      <c r="BP70" s="105"/>
      <c r="BQ70" s="105"/>
      <c r="BR70" s="105"/>
      <c r="BS70" s="105"/>
      <c r="BT70" s="105"/>
      <c r="BU70" s="156"/>
      <c r="BV70" s="156"/>
      <c r="BW70" s="156"/>
      <c r="BX70" s="156"/>
      <c r="BY70" s="156"/>
      <c r="BZ70" s="156"/>
      <c r="DO70" s="24"/>
      <c r="EE70" s="156"/>
      <c r="EF70" s="156"/>
      <c r="EG70" s="156"/>
      <c r="EN70" s="169"/>
      <c r="ER70" s="169"/>
      <c r="GC70" s="156"/>
      <c r="GW70" s="206"/>
      <c r="HK70" s="156"/>
      <c r="IR70" s="156"/>
      <c r="IV70" s="206"/>
      <c r="JI70" s="156"/>
      <c r="JR70" s="156"/>
      <c r="KR70" s="156"/>
      <c r="KY70" s="256"/>
    </row>
    <row r="71" spans="1:355" ht="13.8" x14ac:dyDescent="0.25">
      <c r="A71" s="92">
        <v>68</v>
      </c>
      <c r="B71" s="303"/>
      <c r="C71" s="15" t="s">
        <v>498</v>
      </c>
      <c r="D71" s="29"/>
      <c r="G71" s="26"/>
      <c r="AF71" s="48"/>
      <c r="AG71" s="49"/>
      <c r="AH71" s="49"/>
      <c r="AQ71" s="63"/>
      <c r="BH71" s="26"/>
      <c r="BK71" s="105"/>
      <c r="BL71" s="105"/>
      <c r="BM71" s="105"/>
      <c r="BN71" s="105"/>
      <c r="BO71" s="105"/>
      <c r="BP71" s="105"/>
      <c r="BQ71" s="105"/>
      <c r="BR71" s="105"/>
      <c r="BS71" s="105"/>
      <c r="BT71" s="105"/>
      <c r="BU71" s="156"/>
      <c r="BV71" s="156"/>
      <c r="BW71" s="156"/>
      <c r="BX71" s="156"/>
      <c r="BY71" s="156"/>
      <c r="BZ71" s="156"/>
      <c r="EF71" s="156"/>
      <c r="EG71" s="156"/>
      <c r="ER71" s="169"/>
      <c r="IR71" s="156"/>
      <c r="KY71" s="256"/>
    </row>
    <row r="72" spans="1:355" x14ac:dyDescent="0.25">
      <c r="A72" s="92">
        <v>69</v>
      </c>
      <c r="B72" s="304"/>
      <c r="C72" s="16" t="s">
        <v>499</v>
      </c>
      <c r="D72" s="30"/>
      <c r="G72" s="92"/>
      <c r="AF72" s="48"/>
      <c r="AG72" s="49"/>
      <c r="AH72" s="49"/>
      <c r="AQ72" s="63"/>
      <c r="BH72" s="92"/>
      <c r="BK72" s="105"/>
      <c r="BL72" s="105"/>
      <c r="BM72" s="105"/>
      <c r="BN72" s="105"/>
      <c r="BO72" s="105"/>
      <c r="BP72" s="105"/>
      <c r="BQ72" s="105"/>
      <c r="BR72" s="105"/>
      <c r="BS72" s="105"/>
      <c r="BT72" s="105"/>
      <c r="BU72" s="158"/>
      <c r="BV72" s="158"/>
      <c r="BW72" s="158"/>
      <c r="BX72" s="158"/>
      <c r="BY72" s="158"/>
      <c r="BZ72" s="158"/>
    </row>
    <row r="73" spans="1:355" x14ac:dyDescent="0.25">
      <c r="U73" s="12"/>
      <c r="AF73" s="48"/>
      <c r="AG73" s="49"/>
      <c r="AH73" s="49"/>
      <c r="AQ73" s="63"/>
      <c r="BK73" s="105"/>
      <c r="BL73" s="105"/>
      <c r="BM73" s="105"/>
      <c r="BN73" s="105"/>
      <c r="BO73" s="105"/>
      <c r="BP73" s="105"/>
      <c r="BQ73" s="105"/>
      <c r="BR73" s="105"/>
      <c r="BS73" s="105"/>
      <c r="BT73" s="105"/>
      <c r="BV73" s="90"/>
      <c r="BW73" s="90"/>
      <c r="BX73" s="90"/>
      <c r="BY73" s="90"/>
      <c r="BZ73" s="90"/>
    </row>
    <row r="74" spans="1:355" x14ac:dyDescent="0.25">
      <c r="A74" s="37"/>
      <c r="D74" s="37"/>
      <c r="E74" s="105"/>
      <c r="F74" s="105"/>
      <c r="G74" s="37"/>
      <c r="H74" s="105"/>
      <c r="I74" s="105"/>
      <c r="J74" s="37"/>
      <c r="K74" s="105"/>
      <c r="L74" s="105"/>
      <c r="M74" s="37"/>
      <c r="N74" s="105"/>
      <c r="O74" s="105"/>
      <c r="P74" s="37"/>
      <c r="Q74" s="105"/>
      <c r="R74" s="105"/>
      <c r="S74" s="37"/>
      <c r="T74" s="105"/>
      <c r="U74" s="105"/>
      <c r="V74" s="37"/>
      <c r="W74" s="105"/>
      <c r="X74" s="105"/>
      <c r="Y74" s="37"/>
      <c r="Z74" s="105"/>
      <c r="AA74" s="105"/>
      <c r="AB74" s="37"/>
      <c r="AC74" s="105"/>
      <c r="AD74" s="105"/>
      <c r="AE74" s="37"/>
      <c r="AF74" s="105"/>
      <c r="AG74" s="105"/>
      <c r="AH74" s="37"/>
      <c r="AI74" s="105"/>
      <c r="AJ74" s="105"/>
      <c r="AK74" s="37"/>
      <c r="AL74" s="105"/>
      <c r="AM74" s="105"/>
      <c r="AN74" s="37"/>
      <c r="AO74" s="105"/>
      <c r="AP74" s="105"/>
      <c r="AQ74" s="37"/>
      <c r="AR74" s="105"/>
      <c r="AS74" s="105"/>
      <c r="AT74" s="37"/>
      <c r="AU74" s="105"/>
      <c r="AV74" s="105"/>
      <c r="AW74" s="37"/>
      <c r="AX74" s="105"/>
      <c r="AY74" s="105"/>
      <c r="AZ74" s="37"/>
      <c r="BA74" s="105"/>
      <c r="BB74" s="105"/>
      <c r="BC74" s="37"/>
      <c r="BD74" s="105"/>
      <c r="BE74" s="105"/>
      <c r="BF74" s="37"/>
      <c r="BG74" s="105"/>
      <c r="BH74" s="105"/>
      <c r="BI74" s="37"/>
      <c r="BJ74" s="105"/>
      <c r="BK74" s="105"/>
      <c r="BL74" s="37"/>
      <c r="BM74" s="105"/>
      <c r="BN74" s="105"/>
      <c r="BO74" s="37"/>
      <c r="BP74" s="105"/>
      <c r="BQ74" s="167" t="s">
        <v>1576</v>
      </c>
      <c r="BR74" s="168">
        <v>65</v>
      </c>
      <c r="BS74" s="167">
        <v>66</v>
      </c>
      <c r="BT74" s="167">
        <v>67</v>
      </c>
      <c r="BU74" s="168">
        <v>68</v>
      </c>
      <c r="BV74" s="168">
        <v>69</v>
      </c>
      <c r="BW74" s="167">
        <v>70</v>
      </c>
      <c r="BX74" s="168">
        <v>71</v>
      </c>
      <c r="BY74" s="167">
        <v>72</v>
      </c>
      <c r="BZ74" s="167">
        <v>73</v>
      </c>
      <c r="CA74" s="168">
        <v>74</v>
      </c>
      <c r="CB74" s="167">
        <v>75</v>
      </c>
      <c r="CC74" s="167">
        <v>76</v>
      </c>
      <c r="CD74" s="168">
        <v>77</v>
      </c>
      <c r="CE74" s="167">
        <v>78</v>
      </c>
      <c r="CF74" s="167">
        <v>79</v>
      </c>
      <c r="CG74" s="168">
        <v>80</v>
      </c>
      <c r="CH74" s="167">
        <v>81</v>
      </c>
      <c r="CI74" s="167">
        <v>82</v>
      </c>
      <c r="CJ74" s="168">
        <v>83</v>
      </c>
      <c r="CK74" s="167">
        <v>84</v>
      </c>
      <c r="CL74" s="167">
        <v>85</v>
      </c>
      <c r="CM74" s="168">
        <v>86</v>
      </c>
      <c r="CN74" s="167">
        <v>87</v>
      </c>
      <c r="CO74" s="167">
        <v>88</v>
      </c>
      <c r="CP74" s="168">
        <v>89</v>
      </c>
      <c r="CQ74" s="168">
        <v>90</v>
      </c>
      <c r="CR74" s="167">
        <v>91</v>
      </c>
      <c r="CS74" s="167">
        <v>92</v>
      </c>
      <c r="CT74" s="168">
        <v>93</v>
      </c>
      <c r="CU74" s="167">
        <v>94</v>
      </c>
      <c r="CV74" s="167">
        <v>95</v>
      </c>
      <c r="CW74" s="168">
        <v>96</v>
      </c>
      <c r="CX74" s="167">
        <v>97</v>
      </c>
      <c r="CY74" s="167">
        <v>98</v>
      </c>
      <c r="CZ74" s="168">
        <v>99</v>
      </c>
      <c r="DA74" s="167">
        <v>100</v>
      </c>
      <c r="DB74" s="167">
        <v>101</v>
      </c>
      <c r="DC74" s="167">
        <v>102</v>
      </c>
      <c r="DD74" s="168">
        <v>103</v>
      </c>
      <c r="DE74" s="167">
        <v>104</v>
      </c>
      <c r="DF74" s="167">
        <v>105</v>
      </c>
      <c r="DG74" s="167">
        <v>106</v>
      </c>
      <c r="DH74" s="168">
        <v>107</v>
      </c>
      <c r="DI74" s="167">
        <v>108</v>
      </c>
      <c r="DJ74" s="167">
        <v>109</v>
      </c>
      <c r="DK74" s="167">
        <v>110</v>
      </c>
      <c r="DL74" s="168">
        <v>111</v>
      </c>
      <c r="DM74" s="167">
        <v>112</v>
      </c>
      <c r="DN74" s="167">
        <v>113</v>
      </c>
      <c r="DO74" s="167">
        <v>114</v>
      </c>
      <c r="DP74" s="168">
        <v>115</v>
      </c>
      <c r="DQ74" s="167">
        <v>116</v>
      </c>
      <c r="DR74" s="167">
        <v>117</v>
      </c>
      <c r="DS74" s="167">
        <v>118</v>
      </c>
      <c r="DT74" s="168">
        <v>119</v>
      </c>
      <c r="DU74" s="167">
        <v>120</v>
      </c>
      <c r="DV74" s="167">
        <v>121</v>
      </c>
      <c r="DW74" s="167">
        <v>122</v>
      </c>
      <c r="DX74" s="168">
        <v>123</v>
      </c>
      <c r="DY74" s="167">
        <v>124</v>
      </c>
      <c r="DZ74" s="167">
        <v>125</v>
      </c>
      <c r="EA74" s="167">
        <v>126</v>
      </c>
      <c r="EB74" s="168">
        <v>127</v>
      </c>
      <c r="EC74" s="167">
        <v>128</v>
      </c>
      <c r="ED74" s="167">
        <v>129</v>
      </c>
      <c r="EE74" s="167">
        <v>130</v>
      </c>
      <c r="EF74" s="168">
        <v>131</v>
      </c>
      <c r="EG74" s="167">
        <v>132</v>
      </c>
      <c r="EH74" s="167">
        <v>133</v>
      </c>
      <c r="EI74" s="167">
        <v>134</v>
      </c>
      <c r="EJ74" s="168">
        <v>135</v>
      </c>
      <c r="EK74" s="167">
        <v>136</v>
      </c>
      <c r="EL74" s="167">
        <v>137</v>
      </c>
      <c r="EM74" s="167">
        <v>138</v>
      </c>
      <c r="EN74" s="168">
        <v>139</v>
      </c>
      <c r="EO74" s="167">
        <v>140</v>
      </c>
      <c r="EP74" s="168">
        <v>141</v>
      </c>
      <c r="EQ74" s="167">
        <v>142</v>
      </c>
      <c r="ER74" s="168">
        <v>143</v>
      </c>
      <c r="ES74" s="167">
        <v>144</v>
      </c>
      <c r="ET74" s="168">
        <v>145</v>
      </c>
      <c r="EU74" s="167">
        <v>146</v>
      </c>
      <c r="EV74" s="168">
        <v>147</v>
      </c>
      <c r="EW74" s="167">
        <v>148</v>
      </c>
      <c r="EX74" s="168">
        <v>149</v>
      </c>
      <c r="EY74" s="167">
        <v>150</v>
      </c>
      <c r="EZ74" s="168">
        <v>151</v>
      </c>
      <c r="FA74" s="167">
        <v>152</v>
      </c>
      <c r="FB74" s="168">
        <v>153</v>
      </c>
      <c r="FC74" s="167">
        <v>154</v>
      </c>
      <c r="FD74" s="168">
        <v>155</v>
      </c>
      <c r="FE74" s="167">
        <v>156</v>
      </c>
      <c r="FF74" s="168">
        <v>157</v>
      </c>
      <c r="FG74" s="167">
        <v>158</v>
      </c>
      <c r="FH74" s="168">
        <v>159</v>
      </c>
      <c r="FI74" s="167">
        <v>160</v>
      </c>
      <c r="FJ74" s="168">
        <v>161</v>
      </c>
      <c r="FK74" s="167">
        <v>162</v>
      </c>
      <c r="FL74" s="168">
        <v>163</v>
      </c>
      <c r="FM74" s="167">
        <v>164</v>
      </c>
      <c r="FN74" s="168">
        <v>165</v>
      </c>
      <c r="FO74" s="167">
        <v>166</v>
      </c>
      <c r="FP74" s="168">
        <v>167</v>
      </c>
      <c r="FQ74" s="167">
        <v>168</v>
      </c>
      <c r="FR74" s="168">
        <v>169</v>
      </c>
      <c r="FS74" s="167">
        <v>170</v>
      </c>
      <c r="FT74" s="168">
        <v>171</v>
      </c>
      <c r="FU74" s="167">
        <v>172</v>
      </c>
      <c r="FV74" s="168">
        <v>173</v>
      </c>
      <c r="FW74" s="167">
        <v>174</v>
      </c>
      <c r="FX74" s="168">
        <v>175</v>
      </c>
      <c r="FY74" s="167">
        <v>176</v>
      </c>
      <c r="FZ74" s="168">
        <v>177</v>
      </c>
      <c r="GA74" s="167">
        <v>178</v>
      </c>
      <c r="GB74" s="168">
        <v>179</v>
      </c>
      <c r="GC74" s="167">
        <v>180</v>
      </c>
      <c r="GD74" s="168">
        <v>181</v>
      </c>
      <c r="GE74" s="167">
        <v>182</v>
      </c>
      <c r="GF74" s="168">
        <v>183</v>
      </c>
      <c r="GG74" s="167">
        <v>184</v>
      </c>
      <c r="GH74" s="168">
        <v>185</v>
      </c>
      <c r="GI74" s="167">
        <v>186</v>
      </c>
      <c r="GJ74" s="168">
        <v>187</v>
      </c>
      <c r="GK74" s="167">
        <v>188</v>
      </c>
      <c r="GL74" s="168">
        <v>189</v>
      </c>
      <c r="GM74" s="167">
        <v>190</v>
      </c>
      <c r="GN74" s="168">
        <v>191</v>
      </c>
      <c r="GO74" s="167">
        <v>192</v>
      </c>
      <c r="GP74" s="168">
        <v>193</v>
      </c>
      <c r="GQ74" s="167">
        <v>194</v>
      </c>
      <c r="GR74" s="168">
        <v>195</v>
      </c>
      <c r="GS74" s="167">
        <v>196</v>
      </c>
      <c r="GT74" s="168">
        <v>197</v>
      </c>
      <c r="GU74" s="167">
        <v>198</v>
      </c>
      <c r="GV74" s="168">
        <v>199</v>
      </c>
      <c r="GW74" s="167">
        <v>200</v>
      </c>
      <c r="GX74" s="167">
        <v>201</v>
      </c>
      <c r="GY74" s="168">
        <v>202</v>
      </c>
      <c r="GZ74" s="167">
        <v>203</v>
      </c>
      <c r="HA74" s="167">
        <v>204</v>
      </c>
      <c r="HB74" s="168">
        <v>205</v>
      </c>
      <c r="HC74" s="167">
        <v>206</v>
      </c>
      <c r="HD74" s="167">
        <v>207</v>
      </c>
      <c r="HE74" s="168">
        <v>208</v>
      </c>
      <c r="HF74" s="167">
        <v>209</v>
      </c>
      <c r="HG74" s="167">
        <v>210</v>
      </c>
      <c r="HH74" s="168">
        <v>211</v>
      </c>
      <c r="HI74" s="167">
        <v>212</v>
      </c>
      <c r="HJ74" s="167">
        <v>213</v>
      </c>
      <c r="HK74" s="168">
        <v>214</v>
      </c>
      <c r="HL74" s="167">
        <v>215</v>
      </c>
      <c r="HM74" s="167">
        <v>216</v>
      </c>
      <c r="HN74" s="168">
        <v>217</v>
      </c>
      <c r="HO74" s="167">
        <v>218</v>
      </c>
      <c r="HP74" s="167">
        <v>219</v>
      </c>
      <c r="HQ74" s="168">
        <v>220</v>
      </c>
      <c r="HR74" s="167">
        <v>221</v>
      </c>
      <c r="HS74" s="167">
        <v>222</v>
      </c>
      <c r="HT74" s="168">
        <v>223</v>
      </c>
      <c r="HU74" s="167">
        <v>224</v>
      </c>
      <c r="HV74" s="167">
        <v>225</v>
      </c>
      <c r="HW74" s="168">
        <v>226</v>
      </c>
      <c r="HX74" s="167">
        <v>227</v>
      </c>
      <c r="HY74" s="167">
        <v>228</v>
      </c>
      <c r="HZ74" s="168">
        <v>229</v>
      </c>
      <c r="IA74" s="167">
        <v>230</v>
      </c>
      <c r="IB74" s="167">
        <v>231</v>
      </c>
      <c r="IC74" s="168">
        <v>232</v>
      </c>
      <c r="ID74" s="167">
        <v>233</v>
      </c>
      <c r="IE74" s="168">
        <v>234</v>
      </c>
      <c r="IF74" s="167">
        <v>235</v>
      </c>
      <c r="IG74" s="168">
        <v>236</v>
      </c>
      <c r="IH74" s="167">
        <v>237</v>
      </c>
      <c r="II74" s="168">
        <v>238</v>
      </c>
      <c r="IJ74" s="167">
        <v>239</v>
      </c>
      <c r="IK74" s="168">
        <v>240</v>
      </c>
      <c r="IL74" s="167">
        <v>241</v>
      </c>
      <c r="IM74" s="168">
        <v>242</v>
      </c>
      <c r="IN74" s="167">
        <v>243</v>
      </c>
      <c r="IO74" s="168">
        <v>244</v>
      </c>
      <c r="IP74" s="167">
        <v>245</v>
      </c>
      <c r="IQ74" s="168">
        <v>246</v>
      </c>
      <c r="IR74" s="167">
        <v>247</v>
      </c>
      <c r="IS74" s="167">
        <v>248</v>
      </c>
      <c r="IT74" s="168">
        <v>249</v>
      </c>
      <c r="IU74" s="167">
        <v>250</v>
      </c>
      <c r="IV74" s="167">
        <v>251</v>
      </c>
      <c r="IW74" s="167">
        <v>252</v>
      </c>
      <c r="IX74" s="168">
        <v>253</v>
      </c>
      <c r="IY74" s="167">
        <v>254</v>
      </c>
      <c r="IZ74" s="167">
        <v>255</v>
      </c>
      <c r="JA74" s="167">
        <v>256</v>
      </c>
      <c r="JB74" s="168">
        <v>257</v>
      </c>
      <c r="JC74" s="167">
        <v>258</v>
      </c>
      <c r="JD74" s="167">
        <v>259</v>
      </c>
      <c r="JE74" s="168">
        <v>260</v>
      </c>
      <c r="JF74" s="167">
        <v>261</v>
      </c>
      <c r="JG74" s="167">
        <v>262</v>
      </c>
      <c r="JH74" s="168">
        <v>263</v>
      </c>
      <c r="JI74" s="167">
        <v>264</v>
      </c>
      <c r="JJ74" s="167">
        <v>265</v>
      </c>
      <c r="JK74" s="168">
        <v>266</v>
      </c>
      <c r="JL74" s="167">
        <v>267</v>
      </c>
      <c r="JM74" s="167">
        <v>268</v>
      </c>
      <c r="JN74" s="168">
        <v>269</v>
      </c>
      <c r="JO74" s="167">
        <v>270</v>
      </c>
      <c r="JP74" s="167">
        <v>271</v>
      </c>
      <c r="JQ74" s="168">
        <v>272</v>
      </c>
      <c r="JR74" s="167">
        <v>273</v>
      </c>
      <c r="JS74" s="167">
        <v>274</v>
      </c>
      <c r="JT74" s="168">
        <v>275</v>
      </c>
      <c r="JU74" s="167">
        <v>276</v>
      </c>
      <c r="JV74" s="168">
        <v>277</v>
      </c>
      <c r="JW74" s="167">
        <v>278</v>
      </c>
      <c r="JX74" s="168">
        <v>279</v>
      </c>
      <c r="JY74" s="167">
        <v>280</v>
      </c>
      <c r="JZ74" s="168">
        <v>281</v>
      </c>
      <c r="KA74" s="167">
        <v>282</v>
      </c>
      <c r="KB74" s="168">
        <v>283</v>
      </c>
      <c r="KC74" s="167">
        <v>284</v>
      </c>
      <c r="KD74" s="168">
        <v>285</v>
      </c>
      <c r="KE74" s="167">
        <v>286</v>
      </c>
      <c r="KF74" s="168">
        <v>287</v>
      </c>
      <c r="KG74" s="167">
        <v>288</v>
      </c>
      <c r="KH74" s="168">
        <v>289</v>
      </c>
      <c r="KI74" s="167">
        <v>290</v>
      </c>
      <c r="KJ74" s="168">
        <v>291</v>
      </c>
      <c r="KK74" s="167">
        <v>292</v>
      </c>
      <c r="KL74" s="168">
        <v>293</v>
      </c>
      <c r="KM74" s="167">
        <v>294</v>
      </c>
      <c r="KN74" s="168">
        <v>295</v>
      </c>
      <c r="KO74" s="167">
        <v>296</v>
      </c>
      <c r="KP74" s="168">
        <v>297</v>
      </c>
      <c r="KQ74" s="167">
        <v>298</v>
      </c>
      <c r="KR74" s="168">
        <v>299</v>
      </c>
      <c r="KS74" s="167">
        <v>300</v>
      </c>
      <c r="KT74" s="168">
        <v>301</v>
      </c>
      <c r="KU74" s="167">
        <v>302</v>
      </c>
      <c r="KV74" s="168">
        <v>303</v>
      </c>
      <c r="KW74" s="167">
        <v>304</v>
      </c>
      <c r="KX74" s="168">
        <v>305</v>
      </c>
      <c r="KY74" s="167">
        <v>306</v>
      </c>
      <c r="KZ74" s="168">
        <v>307</v>
      </c>
      <c r="LA74" s="167">
        <v>308</v>
      </c>
      <c r="LB74" s="168">
        <v>309</v>
      </c>
      <c r="LC74" s="167">
        <v>310</v>
      </c>
      <c r="LD74" s="168">
        <v>311</v>
      </c>
      <c r="LE74" s="167">
        <v>312</v>
      </c>
      <c r="LF74" s="168">
        <v>313</v>
      </c>
      <c r="LG74" s="167">
        <v>314</v>
      </c>
      <c r="LH74" s="168">
        <v>315</v>
      </c>
      <c r="LI74" s="167">
        <v>316</v>
      </c>
      <c r="LJ74" s="168">
        <v>317</v>
      </c>
      <c r="LK74" s="167">
        <v>318</v>
      </c>
      <c r="LL74" s="168">
        <v>319</v>
      </c>
      <c r="LM74" s="167">
        <v>320</v>
      </c>
      <c r="LN74" s="168">
        <v>321</v>
      </c>
      <c r="LO74" s="167">
        <v>322</v>
      </c>
      <c r="LP74" s="168">
        <v>323</v>
      </c>
      <c r="LQ74" s="167">
        <v>324</v>
      </c>
      <c r="LR74" s="168">
        <v>325</v>
      </c>
      <c r="LS74" s="167">
        <v>326</v>
      </c>
      <c r="LT74" s="168">
        <v>327</v>
      </c>
      <c r="LU74" s="167">
        <v>328</v>
      </c>
      <c r="LV74" s="168">
        <v>329</v>
      </c>
      <c r="LW74" s="167">
        <v>330</v>
      </c>
      <c r="LX74" s="168">
        <v>331</v>
      </c>
      <c r="LY74" s="167">
        <v>332</v>
      </c>
      <c r="LZ74" s="168">
        <v>333</v>
      </c>
      <c r="MA74" s="167">
        <v>334</v>
      </c>
      <c r="MB74" s="168">
        <v>335</v>
      </c>
      <c r="MC74" s="167">
        <v>336</v>
      </c>
      <c r="MD74" s="168">
        <v>337</v>
      </c>
      <c r="ME74" s="167">
        <v>338</v>
      </c>
      <c r="MF74" s="168">
        <v>339</v>
      </c>
      <c r="MG74" s="167">
        <v>340</v>
      </c>
      <c r="MH74" s="168">
        <v>341</v>
      </c>
      <c r="MI74" s="167">
        <v>342</v>
      </c>
      <c r="MJ74" s="168">
        <v>343</v>
      </c>
      <c r="MK74" s="167">
        <v>344</v>
      </c>
      <c r="ML74" s="168">
        <v>345</v>
      </c>
      <c r="MM74" s="167">
        <v>346</v>
      </c>
      <c r="MN74" s="168">
        <v>347</v>
      </c>
      <c r="MO74" s="168">
        <v>348</v>
      </c>
      <c r="MP74" s="167">
        <v>349</v>
      </c>
      <c r="MQ74" s="168">
        <v>350</v>
      </c>
    </row>
  </sheetData>
  <mergeCells count="8">
    <mergeCell ref="B68:B72"/>
    <mergeCell ref="B4:B5"/>
    <mergeCell ref="B7:B10"/>
    <mergeCell ref="B11:B20"/>
    <mergeCell ref="B21:B25"/>
    <mergeCell ref="B26:B52"/>
    <mergeCell ref="B53:B60"/>
    <mergeCell ref="B61:B67"/>
  </mergeCells>
  <hyperlinks>
    <hyperlink ref="E58" r:id="rId1" xr:uid="{00000000-0004-0000-0200-000000000000}"/>
    <hyperlink ref="G56" r:id="rId2" xr:uid="{00000000-0004-0000-0200-000001000000}"/>
    <hyperlink ref="G59" r:id="rId3" xr:uid="{00000000-0004-0000-0200-000002000000}"/>
    <hyperlink ref="I58" r:id="rId4" xr:uid="{00000000-0004-0000-0200-000003000000}"/>
    <hyperlink ref="F58" r:id="rId5" xr:uid="{00000000-0004-0000-0200-000004000000}"/>
    <hyperlink ref="U58" r:id="rId6" xr:uid="{00000000-0004-0000-0200-000005000000}"/>
    <hyperlink ref="V58" r:id="rId7" xr:uid="{00000000-0004-0000-0200-000006000000}"/>
    <hyperlink ref="EX59" r:id="rId8" display="https://doi.org/10.1016/j.apenergy.2019.113632" xr:uid="{7DF05353-9674-478C-92FA-46A4F4149939}"/>
    <hyperlink ref="EX56" r:id="rId9" display="https://doi.org/10.1016/j.apenergy.2019.113632" xr:uid="{2128DA50-6D52-491F-872A-8E76E274FD0F}"/>
    <hyperlink ref="EX58" r:id="rId10" display="https://doi.org/10.1016/j.apenergy.2019.113632" xr:uid="{07844E2E-5A90-4FC6-975F-1A826F9F241E}"/>
    <hyperlink ref="EZ59" r:id="rId11" display="https://doi.org/10.1016/j.apenergy.2019.113632" xr:uid="{6A58E59A-D0BF-4F02-B111-633DA5796B3B}"/>
    <hyperlink ref="EZ56" r:id="rId12" display="https://doi.org/10.1016/j.apenergy.2019.113632" xr:uid="{077C38BE-D7A4-4701-BD08-F4FB4155FA08}"/>
    <hyperlink ref="EZ58" r:id="rId13" display="https://doi.org/10.1016/j.apenergy.2019.113632" xr:uid="{1BB7E69C-104A-4C38-9B95-603C28504B9D}"/>
    <hyperlink ref="KO59" r:id="rId14" display="https://doi.org/10.1016/j.apenergy.2019.113632" xr:uid="{919C272C-38E3-4068-95BB-72C2BB19E034}"/>
    <hyperlink ref="KP59" r:id="rId15" display="https://doi.org/10.1016/j.apenergy.2019.113632" xr:uid="{2A1DCE1D-4B4A-4E9A-8435-759C3E67C320}"/>
    <hyperlink ref="KQ59" r:id="rId16" display="https://doi.org/10.1016/j.apenergy.2019.113632" xr:uid="{AC05F0EE-FE64-44FB-BC35-E654E379CD2F}"/>
  </hyperlinks>
  <pageMargins left="0.7" right="0.7" top="0.78740157499999996" bottom="0.78740157499999996" header="0.3" footer="0.3"/>
  <pageSetup paperSize="9" orientation="portrait" horizontalDpi="1200" verticalDpi="1200"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T110"/>
  <sheetViews>
    <sheetView zoomScaleNormal="100" workbookViewId="0">
      <selection activeCell="F64" sqref="F64"/>
    </sheetView>
  </sheetViews>
  <sheetFormatPr baseColWidth="10" defaultColWidth="11.5546875" defaultRowHeight="13.2" x14ac:dyDescent="0.25"/>
  <cols>
    <col min="1" max="1" width="3.6640625" style="104" customWidth="1"/>
    <col min="2" max="2" width="11.5546875" style="104"/>
    <col min="3" max="3" width="21.44140625" style="104" bestFit="1" customWidth="1"/>
    <col min="4" max="4" width="8" style="104" bestFit="1" customWidth="1"/>
    <col min="5" max="5" width="15.44140625" style="104" customWidth="1"/>
    <col min="6" max="6" width="19.5546875" style="104" customWidth="1"/>
    <col min="7" max="7" width="31.5546875" style="104" customWidth="1"/>
    <col min="8" max="8" width="28.6640625" style="104" customWidth="1"/>
    <col min="9" max="9" width="32.109375" style="104" customWidth="1"/>
    <col min="10" max="10" width="32.109375" style="105" customWidth="1"/>
    <col min="11" max="11" width="19.33203125" style="104" customWidth="1"/>
    <col min="12" max="12" width="12.5546875" style="104" customWidth="1"/>
    <col min="13" max="13" width="13.33203125" style="104" customWidth="1"/>
    <col min="14" max="14" width="12.5546875" style="104" customWidth="1"/>
    <col min="15" max="15" width="12.88671875" style="104" customWidth="1"/>
    <col min="16" max="16" width="12.6640625" style="104" customWidth="1"/>
    <col min="17" max="16384" width="11.5546875" style="104"/>
  </cols>
  <sheetData>
    <row r="1" spans="2:72" x14ac:dyDescent="0.25">
      <c r="E1" s="104" t="s">
        <v>694</v>
      </c>
      <c r="F1" s="105" t="s">
        <v>694</v>
      </c>
      <c r="G1" s="105" t="s">
        <v>694</v>
      </c>
      <c r="H1" s="105" t="s">
        <v>694</v>
      </c>
      <c r="I1" s="105" t="s">
        <v>694</v>
      </c>
      <c r="J1" s="105" t="s">
        <v>694</v>
      </c>
      <c r="K1" s="105" t="s">
        <v>694</v>
      </c>
      <c r="L1" s="105" t="s">
        <v>694</v>
      </c>
      <c r="M1" s="105" t="s">
        <v>694</v>
      </c>
      <c r="N1" s="105" t="s">
        <v>694</v>
      </c>
      <c r="O1" s="105" t="s">
        <v>694</v>
      </c>
      <c r="P1" s="105" t="s">
        <v>694</v>
      </c>
      <c r="Q1" s="105" t="s">
        <v>694</v>
      </c>
      <c r="R1" s="105" t="s">
        <v>694</v>
      </c>
      <c r="S1" s="105" t="s">
        <v>694</v>
      </c>
      <c r="T1" s="105" t="s">
        <v>694</v>
      </c>
      <c r="U1" s="105" t="s">
        <v>694</v>
      </c>
      <c r="V1" s="105" t="s">
        <v>694</v>
      </c>
      <c r="W1" s="105" t="s">
        <v>694</v>
      </c>
      <c r="X1" s="105" t="s">
        <v>694</v>
      </c>
      <c r="Y1" s="105" t="s">
        <v>694</v>
      </c>
      <c r="Z1" s="105" t="s">
        <v>694</v>
      </c>
      <c r="AA1" s="105" t="s">
        <v>694</v>
      </c>
      <c r="AB1" s="105" t="s">
        <v>694</v>
      </c>
      <c r="AC1" s="105" t="s">
        <v>694</v>
      </c>
      <c r="AD1" s="105" t="s">
        <v>694</v>
      </c>
      <c r="AE1" s="105" t="s">
        <v>694</v>
      </c>
      <c r="AF1" s="105" t="s">
        <v>694</v>
      </c>
      <c r="AG1" s="105" t="s">
        <v>694</v>
      </c>
      <c r="AH1" s="105" t="s">
        <v>694</v>
      </c>
      <c r="AI1" s="105" t="s">
        <v>694</v>
      </c>
      <c r="AJ1" s="105" t="s">
        <v>694</v>
      </c>
      <c r="AK1" s="105" t="s">
        <v>694</v>
      </c>
      <c r="AL1" s="105" t="s">
        <v>694</v>
      </c>
      <c r="AM1" s="105" t="s">
        <v>694</v>
      </c>
      <c r="AN1" s="105" t="s">
        <v>694</v>
      </c>
      <c r="AO1" s="105" t="s">
        <v>694</v>
      </c>
      <c r="AP1" s="105" t="s">
        <v>694</v>
      </c>
      <c r="AQ1" s="105" t="s">
        <v>694</v>
      </c>
      <c r="AR1" s="105" t="s">
        <v>694</v>
      </c>
      <c r="AS1" s="105" t="s">
        <v>694</v>
      </c>
      <c r="AT1" s="105" t="s">
        <v>694</v>
      </c>
      <c r="AU1" s="105" t="s">
        <v>694</v>
      </c>
      <c r="AV1" s="105" t="s">
        <v>694</v>
      </c>
      <c r="AW1" s="105" t="s">
        <v>694</v>
      </c>
    </row>
    <row r="2" spans="2:72" ht="13.8" x14ac:dyDescent="0.25">
      <c r="B2" s="34" t="s">
        <v>183</v>
      </c>
      <c r="C2" s="35"/>
      <c r="D2" s="35"/>
      <c r="E2" s="5"/>
      <c r="F2" s="5"/>
      <c r="G2" s="2"/>
    </row>
    <row r="3" spans="2:72" x14ac:dyDescent="0.25">
      <c r="B3" s="58"/>
      <c r="C3" s="17" t="s">
        <v>181</v>
      </c>
      <c r="D3" s="18" t="s">
        <v>182</v>
      </c>
      <c r="E3" s="36" t="s">
        <v>210</v>
      </c>
      <c r="F3" s="36" t="s">
        <v>211</v>
      </c>
      <c r="G3" s="36" t="s">
        <v>212</v>
      </c>
      <c r="H3" s="36" t="s">
        <v>213</v>
      </c>
      <c r="I3" s="36" t="s">
        <v>214</v>
      </c>
      <c r="J3" s="36" t="s">
        <v>215</v>
      </c>
      <c r="K3" s="36" t="s">
        <v>216</v>
      </c>
      <c r="L3" s="36" t="s">
        <v>217</v>
      </c>
      <c r="M3" s="36" t="s">
        <v>228</v>
      </c>
      <c r="N3" s="36" t="s">
        <v>862</v>
      </c>
      <c r="O3" s="36" t="s">
        <v>863</v>
      </c>
      <c r="P3" s="36" t="s">
        <v>914</v>
      </c>
      <c r="Q3" s="36" t="s">
        <v>915</v>
      </c>
      <c r="R3" s="36" t="s">
        <v>916</v>
      </c>
      <c r="S3" s="36" t="s">
        <v>917</v>
      </c>
      <c r="T3" s="36" t="s">
        <v>918</v>
      </c>
      <c r="U3" s="36" t="s">
        <v>919</v>
      </c>
      <c r="V3" s="36" t="s">
        <v>920</v>
      </c>
      <c r="W3" s="36" t="s">
        <v>921</v>
      </c>
      <c r="X3" s="36" t="s">
        <v>922</v>
      </c>
      <c r="Y3" s="36" t="s">
        <v>923</v>
      </c>
      <c r="Z3" s="36" t="s">
        <v>924</v>
      </c>
      <c r="AA3" s="36" t="s">
        <v>925</v>
      </c>
      <c r="AB3" s="36" t="s">
        <v>926</v>
      </c>
      <c r="AC3" s="36" t="s">
        <v>927</v>
      </c>
      <c r="AD3" s="36" t="s">
        <v>928</v>
      </c>
      <c r="AE3" s="36" t="s">
        <v>929</v>
      </c>
      <c r="AF3" s="36" t="s">
        <v>930</v>
      </c>
      <c r="AG3" s="36" t="s">
        <v>931</v>
      </c>
      <c r="AH3" s="36" t="s">
        <v>932</v>
      </c>
      <c r="AI3" s="36" t="s">
        <v>933</v>
      </c>
      <c r="AJ3" s="36" t="s">
        <v>934</v>
      </c>
      <c r="AK3" s="36" t="s">
        <v>935</v>
      </c>
      <c r="AL3" s="36" t="s">
        <v>936</v>
      </c>
      <c r="AM3" s="36" t="s">
        <v>937</v>
      </c>
      <c r="AN3" s="36" t="s">
        <v>938</v>
      </c>
      <c r="AO3" s="36" t="s">
        <v>939</v>
      </c>
      <c r="AP3" s="36" t="s">
        <v>940</v>
      </c>
      <c r="AQ3" s="36" t="s">
        <v>941</v>
      </c>
      <c r="AR3" s="36" t="s">
        <v>942</v>
      </c>
      <c r="AS3" s="36" t="s">
        <v>943</v>
      </c>
      <c r="AT3" s="36" t="s">
        <v>944</v>
      </c>
      <c r="AU3" s="36" t="s">
        <v>945</v>
      </c>
      <c r="AV3" s="36" t="s">
        <v>946</v>
      </c>
      <c r="AW3" s="36" t="s">
        <v>947</v>
      </c>
      <c r="AX3" s="36"/>
      <c r="AY3" s="36"/>
      <c r="AZ3" s="36"/>
      <c r="BA3" s="36"/>
      <c r="BB3" s="36"/>
      <c r="BC3" s="36"/>
      <c r="BD3" s="36"/>
      <c r="BE3" s="36"/>
      <c r="BF3" s="36"/>
      <c r="BG3" s="36"/>
      <c r="BH3" s="36"/>
      <c r="BI3" s="36"/>
      <c r="BJ3" s="36"/>
      <c r="BK3" s="36"/>
      <c r="BL3" s="36"/>
      <c r="BM3" s="36"/>
      <c r="BN3" s="36"/>
      <c r="BO3" s="36"/>
      <c r="BP3" s="36"/>
      <c r="BQ3" s="36"/>
      <c r="BR3" s="36"/>
      <c r="BS3" s="36"/>
      <c r="BT3" s="36"/>
    </row>
    <row r="4" spans="2:72" x14ac:dyDescent="0.25">
      <c r="B4" s="305" t="s">
        <v>2</v>
      </c>
      <c r="C4" s="55" t="s">
        <v>455</v>
      </c>
      <c r="D4" s="40" t="s">
        <v>442</v>
      </c>
      <c r="E4" s="12" t="s">
        <v>500</v>
      </c>
      <c r="F4" s="12" t="s">
        <v>500</v>
      </c>
      <c r="G4" s="12" t="s">
        <v>500</v>
      </c>
      <c r="H4" s="12" t="s">
        <v>500</v>
      </c>
      <c r="I4" s="12" t="s">
        <v>500</v>
      </c>
      <c r="J4" s="12" t="s">
        <v>500</v>
      </c>
      <c r="K4" s="12" t="s">
        <v>500</v>
      </c>
      <c r="L4" s="12" t="s">
        <v>500</v>
      </c>
      <c r="M4" s="12" t="s">
        <v>500</v>
      </c>
      <c r="N4" s="12" t="s">
        <v>500</v>
      </c>
      <c r="O4" s="12" t="s">
        <v>500</v>
      </c>
      <c r="P4" s="12" t="s">
        <v>500</v>
      </c>
      <c r="Q4" s="12" t="s">
        <v>500</v>
      </c>
      <c r="R4" s="12" t="s">
        <v>500</v>
      </c>
      <c r="S4" s="12" t="s">
        <v>500</v>
      </c>
      <c r="T4" s="12" t="s">
        <v>500</v>
      </c>
      <c r="U4" s="12" t="s">
        <v>500</v>
      </c>
      <c r="V4" s="12" t="s">
        <v>500</v>
      </c>
      <c r="W4" s="12" t="s">
        <v>500</v>
      </c>
      <c r="X4" s="12" t="s">
        <v>500</v>
      </c>
      <c r="Y4" s="12" t="s">
        <v>500</v>
      </c>
      <c r="Z4" s="12" t="s">
        <v>500</v>
      </c>
      <c r="AA4" s="12" t="s">
        <v>500</v>
      </c>
      <c r="AB4" s="12" t="s">
        <v>500</v>
      </c>
      <c r="AC4" s="12" t="s">
        <v>500</v>
      </c>
      <c r="AD4" s="12" t="s">
        <v>500</v>
      </c>
      <c r="AE4" s="12" t="s">
        <v>500</v>
      </c>
      <c r="AF4" s="12" t="s">
        <v>500</v>
      </c>
      <c r="AG4" s="12" t="s">
        <v>500</v>
      </c>
      <c r="AH4" s="12" t="s">
        <v>500</v>
      </c>
      <c r="AI4" s="12" t="s">
        <v>500</v>
      </c>
      <c r="AJ4" s="12" t="s">
        <v>500</v>
      </c>
      <c r="AK4" s="12" t="s">
        <v>500</v>
      </c>
      <c r="AL4" s="12" t="s">
        <v>500</v>
      </c>
      <c r="AM4" s="12" t="s">
        <v>500</v>
      </c>
      <c r="AN4" s="12" t="s">
        <v>500</v>
      </c>
      <c r="AO4" s="12" t="s">
        <v>500</v>
      </c>
      <c r="AP4" s="12" t="s">
        <v>500</v>
      </c>
      <c r="AQ4" s="12" t="s">
        <v>500</v>
      </c>
      <c r="AR4" s="12" t="s">
        <v>500</v>
      </c>
      <c r="AS4" s="12" t="s">
        <v>500</v>
      </c>
      <c r="AT4" s="12" t="s">
        <v>500</v>
      </c>
      <c r="AU4" s="12" t="s">
        <v>500</v>
      </c>
      <c r="AV4" s="12" t="s">
        <v>500</v>
      </c>
      <c r="AW4" s="12" t="s">
        <v>500</v>
      </c>
      <c r="AX4" s="12"/>
      <c r="AY4" s="12"/>
      <c r="AZ4" s="12"/>
      <c r="BA4" s="12"/>
      <c r="BB4" s="12"/>
      <c r="BC4" s="12"/>
      <c r="BD4" s="12"/>
      <c r="BE4" s="12"/>
      <c r="BF4" s="12"/>
      <c r="BG4" s="12"/>
      <c r="BH4" s="12"/>
      <c r="BI4" s="12"/>
      <c r="BJ4" s="12"/>
      <c r="BK4" s="12"/>
      <c r="BL4" s="12"/>
      <c r="BM4" s="12"/>
      <c r="BN4" s="12"/>
      <c r="BO4" s="12"/>
      <c r="BP4" s="12"/>
      <c r="BQ4" s="12"/>
      <c r="BR4" s="12"/>
      <c r="BS4" s="12"/>
      <c r="BT4" s="12"/>
    </row>
    <row r="5" spans="2:72" ht="13.8" x14ac:dyDescent="0.25">
      <c r="B5" s="306"/>
      <c r="C5" s="54" t="s">
        <v>456</v>
      </c>
      <c r="D5" s="40" t="s">
        <v>442</v>
      </c>
      <c r="E5" s="1" t="s">
        <v>218</v>
      </c>
      <c r="F5" s="1" t="s">
        <v>223</v>
      </c>
      <c r="G5" s="1" t="s">
        <v>224</v>
      </c>
      <c r="H5" s="1" t="s">
        <v>1003</v>
      </c>
      <c r="I5" s="2" t="s">
        <v>873</v>
      </c>
      <c r="J5" s="2" t="s">
        <v>874</v>
      </c>
      <c r="K5" s="2" t="s">
        <v>875</v>
      </c>
      <c r="L5" s="2" t="s">
        <v>876</v>
      </c>
      <c r="M5" s="2" t="s">
        <v>877</v>
      </c>
      <c r="N5" s="2" t="s">
        <v>878</v>
      </c>
      <c r="O5" s="2" t="s">
        <v>879</v>
      </c>
      <c r="P5" s="2" t="s">
        <v>880</v>
      </c>
      <c r="Q5" s="2" t="s">
        <v>881</v>
      </c>
      <c r="R5" s="2" t="s">
        <v>882</v>
      </c>
      <c r="S5" s="2" t="s">
        <v>883</v>
      </c>
      <c r="T5" s="2" t="s">
        <v>884</v>
      </c>
      <c r="U5" s="2" t="s">
        <v>885</v>
      </c>
      <c r="V5" s="2" t="s">
        <v>886</v>
      </c>
      <c r="W5" s="2" t="s">
        <v>887</v>
      </c>
      <c r="X5" s="2" t="s">
        <v>888</v>
      </c>
      <c r="Y5" s="2" t="s">
        <v>889</v>
      </c>
      <c r="Z5" s="2" t="s">
        <v>890</v>
      </c>
      <c r="AA5" s="2" t="s">
        <v>891</v>
      </c>
      <c r="AB5" s="2" t="s">
        <v>892</v>
      </c>
      <c r="AC5" s="2" t="s">
        <v>893</v>
      </c>
      <c r="AD5" s="2" t="s">
        <v>894</v>
      </c>
      <c r="AE5" s="2" t="s">
        <v>895</v>
      </c>
      <c r="AF5" s="2" t="s">
        <v>896</v>
      </c>
      <c r="AG5" s="2" t="s">
        <v>897</v>
      </c>
      <c r="AH5" s="2" t="s">
        <v>898</v>
      </c>
      <c r="AI5" s="2" t="s">
        <v>899</v>
      </c>
      <c r="AJ5" s="2" t="s">
        <v>900</v>
      </c>
      <c r="AK5" s="2" t="s">
        <v>901</v>
      </c>
      <c r="AL5" s="2" t="s">
        <v>902</v>
      </c>
      <c r="AM5" s="2" t="s">
        <v>903</v>
      </c>
      <c r="AN5" s="2" t="s">
        <v>904</v>
      </c>
      <c r="AO5" s="2" t="s">
        <v>905</v>
      </c>
      <c r="AP5" s="2" t="s">
        <v>906</v>
      </c>
      <c r="AQ5" s="2" t="s">
        <v>907</v>
      </c>
      <c r="AR5" s="2" t="s">
        <v>908</v>
      </c>
      <c r="AS5" s="2" t="s">
        <v>909</v>
      </c>
      <c r="AT5" s="2" t="s">
        <v>910</v>
      </c>
      <c r="AU5" s="2" t="s">
        <v>911</v>
      </c>
      <c r="AV5" s="2" t="s">
        <v>912</v>
      </c>
      <c r="AW5" s="2" t="s">
        <v>913</v>
      </c>
      <c r="AX5" s="106"/>
      <c r="AY5" s="106"/>
      <c r="AZ5" s="106"/>
      <c r="BA5" s="106"/>
      <c r="BB5" s="106"/>
      <c r="BC5" s="106"/>
      <c r="BD5" s="106"/>
      <c r="BE5" s="106"/>
      <c r="BF5" s="106"/>
      <c r="BG5" s="106"/>
      <c r="BH5" s="106"/>
      <c r="BI5" s="106"/>
      <c r="BJ5" s="106"/>
      <c r="BK5" s="106"/>
      <c r="BL5" s="106"/>
      <c r="BM5" s="106"/>
      <c r="BN5" s="106"/>
      <c r="BO5" s="106"/>
      <c r="BP5" s="106"/>
      <c r="BQ5" s="106"/>
      <c r="BR5" s="106"/>
      <c r="BS5" s="106"/>
      <c r="BT5" s="106"/>
    </row>
    <row r="6" spans="2:72" ht="13.8" x14ac:dyDescent="0.25">
      <c r="B6" s="59"/>
      <c r="C6" s="54" t="s">
        <v>457</v>
      </c>
      <c r="D6" s="29"/>
      <c r="E6" s="2">
        <v>2</v>
      </c>
      <c r="F6" s="2">
        <v>2</v>
      </c>
      <c r="G6" s="2">
        <v>2</v>
      </c>
      <c r="H6" s="2">
        <v>2</v>
      </c>
      <c r="I6" s="2">
        <v>2</v>
      </c>
      <c r="J6" s="2">
        <v>2</v>
      </c>
      <c r="K6" s="2">
        <v>2</v>
      </c>
      <c r="L6" s="2">
        <v>2</v>
      </c>
      <c r="M6" s="2">
        <v>2</v>
      </c>
      <c r="N6" s="2">
        <v>2</v>
      </c>
      <c r="O6" s="2">
        <v>2</v>
      </c>
      <c r="P6" s="2">
        <v>2</v>
      </c>
      <c r="Q6" s="2">
        <v>2</v>
      </c>
      <c r="R6" s="2">
        <v>2</v>
      </c>
      <c r="S6" s="2">
        <v>2</v>
      </c>
      <c r="T6" s="2">
        <v>2</v>
      </c>
      <c r="U6" s="2">
        <v>2</v>
      </c>
      <c r="V6" s="2">
        <v>2</v>
      </c>
      <c r="W6" s="2">
        <v>2</v>
      </c>
      <c r="X6" s="2">
        <v>2</v>
      </c>
      <c r="Y6" s="2">
        <v>2</v>
      </c>
      <c r="Z6" s="2">
        <v>2</v>
      </c>
      <c r="AA6" s="2">
        <v>2</v>
      </c>
      <c r="AB6" s="2">
        <v>2</v>
      </c>
      <c r="AC6" s="2">
        <v>2</v>
      </c>
      <c r="AD6" s="2">
        <v>2</v>
      </c>
      <c r="AE6" s="2">
        <v>2</v>
      </c>
      <c r="AF6" s="2">
        <v>2</v>
      </c>
      <c r="AG6" s="2">
        <v>2</v>
      </c>
      <c r="AH6" s="2">
        <v>2</v>
      </c>
      <c r="AI6" s="2">
        <v>2</v>
      </c>
      <c r="AJ6" s="2">
        <v>2</v>
      </c>
      <c r="AK6" s="2">
        <v>2</v>
      </c>
      <c r="AL6" s="2">
        <v>2</v>
      </c>
      <c r="AM6" s="2">
        <v>2</v>
      </c>
      <c r="AN6" s="2">
        <v>2</v>
      </c>
      <c r="AO6" s="2">
        <v>2</v>
      </c>
      <c r="AP6" s="2">
        <v>2</v>
      </c>
      <c r="AQ6" s="2">
        <v>2</v>
      </c>
      <c r="AR6" s="2">
        <v>2</v>
      </c>
      <c r="AS6" s="2">
        <v>2</v>
      </c>
      <c r="AT6" s="2">
        <v>2</v>
      </c>
      <c r="AU6" s="2">
        <v>2</v>
      </c>
      <c r="AV6" s="2">
        <v>2</v>
      </c>
      <c r="AW6" s="2">
        <v>2</v>
      </c>
      <c r="AX6" s="2"/>
      <c r="AY6" s="2"/>
      <c r="AZ6" s="2"/>
      <c r="BA6" s="2"/>
      <c r="BB6" s="2"/>
      <c r="BC6" s="2"/>
      <c r="BD6" s="2"/>
      <c r="BE6" s="2"/>
      <c r="BF6" s="2"/>
      <c r="BG6" s="2"/>
      <c r="BH6" s="2"/>
      <c r="BI6" s="2"/>
      <c r="BJ6" s="2"/>
      <c r="BK6" s="2"/>
      <c r="BL6" s="2"/>
      <c r="BM6" s="2"/>
      <c r="BN6" s="2"/>
      <c r="BO6" s="2"/>
      <c r="BP6" s="2"/>
      <c r="BQ6" s="2"/>
      <c r="BR6" s="2"/>
      <c r="BS6" s="2"/>
      <c r="BT6" s="2"/>
    </row>
    <row r="7" spans="2:72" x14ac:dyDescent="0.25">
      <c r="B7" s="307" t="s">
        <v>3</v>
      </c>
      <c r="C7" s="54" t="s">
        <v>451</v>
      </c>
      <c r="D7" s="29"/>
      <c r="E7" s="105">
        <v>1</v>
      </c>
      <c r="F7" s="105">
        <v>1</v>
      </c>
      <c r="G7" s="105">
        <v>1</v>
      </c>
      <c r="H7" s="105">
        <v>1</v>
      </c>
      <c r="I7" s="105">
        <v>1</v>
      </c>
      <c r="J7" s="105">
        <v>1</v>
      </c>
      <c r="K7" s="105">
        <v>1</v>
      </c>
      <c r="L7" s="105">
        <v>1</v>
      </c>
      <c r="M7" s="105">
        <v>1</v>
      </c>
      <c r="N7" s="105">
        <v>1</v>
      </c>
      <c r="O7" s="105">
        <v>1</v>
      </c>
      <c r="P7" s="105">
        <v>1</v>
      </c>
      <c r="Q7" s="105">
        <v>1</v>
      </c>
      <c r="R7" s="105">
        <v>1</v>
      </c>
      <c r="S7" s="105">
        <v>1</v>
      </c>
      <c r="T7" s="105">
        <v>1</v>
      </c>
      <c r="U7" s="105">
        <v>1</v>
      </c>
      <c r="V7" s="105">
        <v>1</v>
      </c>
      <c r="W7" s="105">
        <v>1</v>
      </c>
      <c r="X7" s="105">
        <v>1</v>
      </c>
      <c r="Y7" s="105">
        <v>1</v>
      </c>
      <c r="Z7" s="105">
        <v>1</v>
      </c>
      <c r="AA7" s="105">
        <v>1</v>
      </c>
      <c r="AB7" s="105">
        <v>1</v>
      </c>
      <c r="AC7" s="105">
        <v>1</v>
      </c>
      <c r="AD7" s="105">
        <v>1</v>
      </c>
      <c r="AE7" s="105">
        <v>1</v>
      </c>
      <c r="AF7" s="105">
        <v>1</v>
      </c>
      <c r="AG7" s="105">
        <v>1</v>
      </c>
      <c r="AH7" s="105">
        <v>1</v>
      </c>
      <c r="AI7" s="105">
        <v>1</v>
      </c>
      <c r="AJ7" s="105">
        <v>1</v>
      </c>
      <c r="AK7" s="105">
        <v>1</v>
      </c>
      <c r="AL7" s="105">
        <v>1</v>
      </c>
      <c r="AM7" s="105">
        <v>1</v>
      </c>
      <c r="AN7" s="105">
        <v>1</v>
      </c>
      <c r="AO7" s="105">
        <v>1</v>
      </c>
      <c r="AP7" s="105">
        <v>1</v>
      </c>
      <c r="AQ7" s="105">
        <v>1</v>
      </c>
      <c r="AR7" s="105">
        <v>1</v>
      </c>
      <c r="AS7" s="105">
        <v>1</v>
      </c>
      <c r="AT7" s="105">
        <v>1</v>
      </c>
      <c r="AU7" s="105">
        <v>1</v>
      </c>
      <c r="AV7" s="105">
        <v>1</v>
      </c>
      <c r="AW7" s="105">
        <v>1</v>
      </c>
      <c r="AX7" s="37"/>
      <c r="AY7" s="37"/>
      <c r="AZ7" s="37"/>
      <c r="BA7" s="37"/>
      <c r="BB7" s="37"/>
      <c r="BC7" s="37"/>
      <c r="BD7" s="37"/>
      <c r="BE7" s="37"/>
      <c r="BF7" s="37"/>
      <c r="BG7" s="37"/>
      <c r="BH7" s="37"/>
      <c r="BI7" s="37"/>
      <c r="BJ7" s="37"/>
      <c r="BK7" s="37"/>
      <c r="BL7" s="37"/>
      <c r="BM7" s="37"/>
      <c r="BN7" s="37"/>
      <c r="BO7" s="37"/>
      <c r="BP7" s="37"/>
      <c r="BQ7" s="37"/>
      <c r="BR7" s="37"/>
      <c r="BS7" s="37"/>
      <c r="BT7" s="37"/>
    </row>
    <row r="8" spans="2:72" ht="13.8" x14ac:dyDescent="0.25">
      <c r="B8" s="307"/>
      <c r="C8" s="54" t="s">
        <v>458</v>
      </c>
      <c r="D8" s="40" t="s">
        <v>442</v>
      </c>
      <c r="E8" s="1">
        <v>2</v>
      </c>
      <c r="F8" s="1">
        <v>2</v>
      </c>
      <c r="G8" s="1">
        <v>2</v>
      </c>
      <c r="H8" s="1">
        <v>2</v>
      </c>
      <c r="I8" s="1">
        <v>1</v>
      </c>
      <c r="J8" s="1">
        <v>1</v>
      </c>
      <c r="K8" s="1">
        <v>1</v>
      </c>
      <c r="L8" s="1">
        <v>1</v>
      </c>
      <c r="M8" s="1">
        <v>1</v>
      </c>
      <c r="N8" s="1">
        <v>1</v>
      </c>
      <c r="O8" s="1">
        <v>1</v>
      </c>
      <c r="P8" s="1">
        <v>1</v>
      </c>
      <c r="Q8" s="1">
        <v>1</v>
      </c>
      <c r="R8" s="1">
        <v>1</v>
      </c>
      <c r="S8" s="1">
        <v>1</v>
      </c>
      <c r="T8" s="1">
        <v>1</v>
      </c>
      <c r="U8" s="1">
        <v>1</v>
      </c>
      <c r="V8" s="1">
        <v>1</v>
      </c>
      <c r="W8" s="1">
        <v>1</v>
      </c>
      <c r="X8" s="1">
        <v>1</v>
      </c>
      <c r="Y8" s="1">
        <v>1</v>
      </c>
      <c r="Z8" s="1">
        <v>1</v>
      </c>
      <c r="AA8" s="1">
        <v>1</v>
      </c>
      <c r="AB8" s="1">
        <v>1</v>
      </c>
      <c r="AC8" s="1">
        <v>1</v>
      </c>
      <c r="AD8" s="1">
        <v>1</v>
      </c>
      <c r="AE8" s="1">
        <v>1</v>
      </c>
      <c r="AF8" s="1">
        <v>1</v>
      </c>
      <c r="AG8" s="1">
        <v>1</v>
      </c>
      <c r="AH8" s="1">
        <v>1</v>
      </c>
      <c r="AI8" s="1">
        <v>1</v>
      </c>
      <c r="AJ8" s="1">
        <v>1</v>
      </c>
      <c r="AK8" s="1">
        <v>1</v>
      </c>
      <c r="AL8" s="1">
        <v>1</v>
      </c>
      <c r="AM8" s="1">
        <v>1</v>
      </c>
      <c r="AN8" s="1">
        <v>1</v>
      </c>
      <c r="AO8" s="1">
        <v>1</v>
      </c>
      <c r="AP8" s="1">
        <v>1</v>
      </c>
      <c r="AQ8" s="1">
        <v>1</v>
      </c>
      <c r="AR8" s="1">
        <v>1</v>
      </c>
      <c r="AS8" s="1">
        <v>1</v>
      </c>
      <c r="AT8" s="1">
        <v>1</v>
      </c>
      <c r="AU8" s="1">
        <v>1</v>
      </c>
      <c r="AV8" s="1">
        <v>1</v>
      </c>
      <c r="AW8" s="1">
        <v>1</v>
      </c>
      <c r="AX8" s="1"/>
      <c r="AY8" s="1"/>
      <c r="AZ8" s="1"/>
      <c r="BA8" s="1"/>
      <c r="BB8" s="1"/>
      <c r="BC8" s="1"/>
      <c r="BD8" s="1"/>
      <c r="BE8" s="1"/>
      <c r="BF8" s="1"/>
      <c r="BG8" s="1"/>
      <c r="BH8" s="1"/>
      <c r="BI8" s="1"/>
      <c r="BJ8" s="1"/>
      <c r="BK8" s="1"/>
      <c r="BL8" s="1"/>
      <c r="BM8" s="1"/>
      <c r="BN8" s="1"/>
      <c r="BO8" s="1"/>
      <c r="BP8" s="1"/>
      <c r="BQ8" s="1"/>
      <c r="BR8" s="1"/>
      <c r="BS8" s="1"/>
      <c r="BT8" s="1"/>
    </row>
    <row r="9" spans="2:72" ht="13.8" x14ac:dyDescent="0.25">
      <c r="B9" s="307"/>
      <c r="C9" s="54" t="s">
        <v>459</v>
      </c>
      <c r="D9" s="40" t="s">
        <v>442</v>
      </c>
      <c r="E9" s="1" t="s">
        <v>31</v>
      </c>
      <c r="F9" s="1" t="s">
        <v>187</v>
      </c>
      <c r="G9" s="1" t="s">
        <v>187</v>
      </c>
      <c r="H9" s="1" t="s">
        <v>187</v>
      </c>
      <c r="I9" s="1" t="s">
        <v>1</v>
      </c>
      <c r="J9" s="1" t="s">
        <v>1</v>
      </c>
      <c r="K9" s="1" t="s">
        <v>1</v>
      </c>
      <c r="L9" s="1" t="s">
        <v>1</v>
      </c>
      <c r="M9" s="1" t="s">
        <v>1</v>
      </c>
      <c r="N9" s="1" t="s">
        <v>1</v>
      </c>
      <c r="O9" s="1" t="s">
        <v>1</v>
      </c>
      <c r="P9" s="1" t="s">
        <v>1</v>
      </c>
      <c r="Q9" s="1" t="s">
        <v>1</v>
      </c>
      <c r="R9" s="1" t="s">
        <v>1</v>
      </c>
      <c r="S9" s="1" t="s">
        <v>1</v>
      </c>
      <c r="T9" s="1" t="s">
        <v>1</v>
      </c>
      <c r="U9" s="1" t="s">
        <v>1</v>
      </c>
      <c r="V9" s="1" t="s">
        <v>1</v>
      </c>
      <c r="W9" s="1" t="s">
        <v>1</v>
      </c>
      <c r="X9" s="1" t="s">
        <v>1</v>
      </c>
      <c r="Y9" s="1" t="s">
        <v>1</v>
      </c>
      <c r="Z9" s="1" t="s">
        <v>1</v>
      </c>
      <c r="AA9" s="1" t="s">
        <v>1</v>
      </c>
      <c r="AB9" s="1" t="s">
        <v>1</v>
      </c>
      <c r="AC9" s="1" t="s">
        <v>1</v>
      </c>
      <c r="AD9" s="1" t="s">
        <v>1</v>
      </c>
      <c r="AE9" s="1" t="s">
        <v>1</v>
      </c>
      <c r="AF9" s="1" t="s">
        <v>1</v>
      </c>
      <c r="AG9" s="1" t="s">
        <v>1</v>
      </c>
      <c r="AH9" s="1" t="s">
        <v>1</v>
      </c>
      <c r="AI9" s="1" t="s">
        <v>1</v>
      </c>
      <c r="AJ9" s="1" t="s">
        <v>1</v>
      </c>
      <c r="AK9" s="1" t="s">
        <v>1</v>
      </c>
      <c r="AL9" s="1" t="s">
        <v>1</v>
      </c>
      <c r="AM9" s="1" t="s">
        <v>1</v>
      </c>
      <c r="AN9" s="1" t="s">
        <v>1</v>
      </c>
      <c r="AO9" s="1" t="s">
        <v>1</v>
      </c>
      <c r="AP9" s="1" t="s">
        <v>1</v>
      </c>
      <c r="AQ9" s="1" t="s">
        <v>1</v>
      </c>
      <c r="AR9" s="1" t="s">
        <v>1</v>
      </c>
      <c r="AS9" s="1" t="s">
        <v>1</v>
      </c>
      <c r="AT9" s="1" t="s">
        <v>1</v>
      </c>
      <c r="AU9" s="1" t="s">
        <v>1</v>
      </c>
      <c r="AV9" s="1" t="s">
        <v>1</v>
      </c>
      <c r="AW9" s="1" t="s">
        <v>1</v>
      </c>
      <c r="AX9" s="1"/>
      <c r="AY9" s="1"/>
      <c r="AZ9" s="1"/>
      <c r="BA9" s="2"/>
      <c r="BB9" s="2"/>
      <c r="BC9" s="2"/>
      <c r="BD9" s="2"/>
      <c r="BE9" s="2"/>
      <c r="BF9" s="2"/>
      <c r="BG9" s="1"/>
      <c r="BH9" s="1"/>
      <c r="BI9" s="1"/>
      <c r="BJ9" s="1"/>
      <c r="BK9" s="1"/>
      <c r="BL9" s="1"/>
      <c r="BM9" s="1"/>
      <c r="BN9" s="1"/>
      <c r="BO9" s="1"/>
      <c r="BP9" s="1"/>
      <c r="BQ9" s="1"/>
      <c r="BR9" s="1"/>
      <c r="BS9" s="1"/>
      <c r="BT9" s="1"/>
    </row>
    <row r="10" spans="2:72" ht="13.8" x14ac:dyDescent="0.25">
      <c r="B10" s="307"/>
      <c r="C10" s="54" t="s">
        <v>460</v>
      </c>
      <c r="D10" s="40" t="s">
        <v>442</v>
      </c>
      <c r="E10" s="1" t="s">
        <v>12</v>
      </c>
      <c r="F10" s="1" t="s">
        <v>12</v>
      </c>
      <c r="G10" s="1" t="s">
        <v>12</v>
      </c>
      <c r="H10" s="1" t="s">
        <v>12</v>
      </c>
      <c r="I10" s="1" t="s">
        <v>12</v>
      </c>
      <c r="J10" s="1" t="s">
        <v>12</v>
      </c>
      <c r="K10" s="1" t="s">
        <v>12</v>
      </c>
      <c r="L10" s="1" t="s">
        <v>12</v>
      </c>
      <c r="M10" s="1" t="s">
        <v>12</v>
      </c>
      <c r="N10" s="1" t="s">
        <v>12</v>
      </c>
      <c r="O10" s="1" t="s">
        <v>12</v>
      </c>
      <c r="P10" s="1" t="s">
        <v>12</v>
      </c>
      <c r="Q10" s="1" t="s">
        <v>12</v>
      </c>
      <c r="R10" s="1" t="s">
        <v>12</v>
      </c>
      <c r="S10" s="1" t="s">
        <v>12</v>
      </c>
      <c r="T10" s="1" t="s">
        <v>12</v>
      </c>
      <c r="U10" s="1" t="s">
        <v>12</v>
      </c>
      <c r="V10" s="1" t="s">
        <v>12</v>
      </c>
      <c r="W10" s="1" t="s">
        <v>12</v>
      </c>
      <c r="X10" s="1" t="s">
        <v>12</v>
      </c>
      <c r="Y10" s="1" t="s">
        <v>12</v>
      </c>
      <c r="Z10" s="1" t="s">
        <v>12</v>
      </c>
      <c r="AA10" s="1" t="s">
        <v>12</v>
      </c>
      <c r="AB10" s="1" t="s">
        <v>12</v>
      </c>
      <c r="AC10" s="1" t="s">
        <v>12</v>
      </c>
      <c r="AD10" s="1" t="s">
        <v>12</v>
      </c>
      <c r="AE10" s="1" t="s">
        <v>12</v>
      </c>
      <c r="AF10" s="1" t="s">
        <v>12</v>
      </c>
      <c r="AG10" s="1" t="s">
        <v>12</v>
      </c>
      <c r="AH10" s="1" t="s">
        <v>12</v>
      </c>
      <c r="AI10" s="1" t="s">
        <v>12</v>
      </c>
      <c r="AJ10" s="1" t="s">
        <v>12</v>
      </c>
      <c r="AK10" s="1" t="s">
        <v>12</v>
      </c>
      <c r="AL10" s="1" t="s">
        <v>12</v>
      </c>
      <c r="AM10" s="1" t="s">
        <v>12</v>
      </c>
      <c r="AN10" s="1" t="s">
        <v>12</v>
      </c>
      <c r="AO10" s="1" t="s">
        <v>12</v>
      </c>
      <c r="AP10" s="1" t="s">
        <v>12</v>
      </c>
      <c r="AQ10" s="1" t="s">
        <v>12</v>
      </c>
      <c r="AR10" s="1" t="s">
        <v>12</v>
      </c>
      <c r="AS10" s="1" t="s">
        <v>12</v>
      </c>
      <c r="AT10" s="1" t="s">
        <v>12</v>
      </c>
      <c r="AU10" s="1" t="s">
        <v>12</v>
      </c>
      <c r="AV10" s="1" t="s">
        <v>12</v>
      </c>
      <c r="AW10" s="1" t="s">
        <v>12</v>
      </c>
      <c r="AX10" s="1"/>
      <c r="AY10" s="1"/>
      <c r="AZ10" s="1"/>
      <c r="BA10" s="2"/>
      <c r="BB10" s="2"/>
      <c r="BC10" s="2"/>
      <c r="BD10" s="2"/>
      <c r="BE10" s="2"/>
      <c r="BF10" s="2"/>
      <c r="BG10" s="1"/>
      <c r="BH10" s="1"/>
      <c r="BI10" s="1"/>
      <c r="BJ10" s="1"/>
      <c r="BK10" s="1"/>
      <c r="BL10" s="1"/>
      <c r="BM10" s="1"/>
      <c r="BN10" s="1"/>
      <c r="BO10" s="1"/>
      <c r="BP10" s="1"/>
      <c r="BQ10" s="1"/>
      <c r="BR10" s="1"/>
      <c r="BS10" s="1"/>
      <c r="BT10" s="1"/>
    </row>
    <row r="11" spans="2:72" ht="14.1" customHeight="1" x14ac:dyDescent="0.25">
      <c r="B11" s="308" t="s">
        <v>6</v>
      </c>
      <c r="C11" s="55" t="s">
        <v>426</v>
      </c>
      <c r="D11" s="29"/>
      <c r="E11" s="2" t="s">
        <v>32</v>
      </c>
      <c r="F11" s="2" t="s">
        <v>225</v>
      </c>
      <c r="G11" s="2" t="s">
        <v>226</v>
      </c>
      <c r="H11" s="2" t="s">
        <v>227</v>
      </c>
      <c r="I11" s="105" t="s">
        <v>948</v>
      </c>
      <c r="J11" s="105" t="s">
        <v>949</v>
      </c>
      <c r="K11" s="12" t="s">
        <v>956</v>
      </c>
      <c r="L11" s="12" t="s">
        <v>957</v>
      </c>
      <c r="M11" s="105" t="s">
        <v>950</v>
      </c>
      <c r="N11" s="12" t="s">
        <v>958</v>
      </c>
      <c r="O11" s="12" t="s">
        <v>959</v>
      </c>
      <c r="P11" s="105" t="s">
        <v>951</v>
      </c>
      <c r="Q11" s="12" t="s">
        <v>960</v>
      </c>
      <c r="R11" s="12" t="s">
        <v>961</v>
      </c>
      <c r="S11" s="12" t="s">
        <v>962</v>
      </c>
      <c r="T11" s="12" t="s">
        <v>963</v>
      </c>
      <c r="U11" s="105" t="s">
        <v>952</v>
      </c>
      <c r="V11" s="105" t="s">
        <v>953</v>
      </c>
      <c r="W11" s="105" t="s">
        <v>954</v>
      </c>
      <c r="X11" s="105" t="s">
        <v>955</v>
      </c>
      <c r="Y11" s="12" t="s">
        <v>964</v>
      </c>
      <c r="Z11" s="12" t="s">
        <v>965</v>
      </c>
      <c r="AA11" s="12" t="s">
        <v>966</v>
      </c>
      <c r="AB11" s="12" t="s">
        <v>967</v>
      </c>
      <c r="AC11" s="12" t="s">
        <v>968</v>
      </c>
      <c r="AD11" s="12" t="s">
        <v>969</v>
      </c>
      <c r="AE11" s="12" t="s">
        <v>970</v>
      </c>
      <c r="AF11" s="12" t="s">
        <v>971</v>
      </c>
      <c r="AG11" s="12" t="s">
        <v>972</v>
      </c>
      <c r="AH11" s="12" t="s">
        <v>973</v>
      </c>
      <c r="AI11" s="12" t="s">
        <v>974</v>
      </c>
      <c r="AJ11" s="12" t="s">
        <v>975</v>
      </c>
      <c r="AK11" s="12" t="s">
        <v>976</v>
      </c>
      <c r="AL11" s="12" t="s">
        <v>977</v>
      </c>
      <c r="AM11" s="12" t="s">
        <v>978</v>
      </c>
      <c r="AN11" s="12" t="s">
        <v>979</v>
      </c>
      <c r="AO11" s="12" t="s">
        <v>980</v>
      </c>
      <c r="AP11" s="12" t="s">
        <v>981</v>
      </c>
      <c r="AQ11" s="12" t="s">
        <v>982</v>
      </c>
      <c r="AR11" s="12" t="s">
        <v>983</v>
      </c>
      <c r="AS11" s="12" t="s">
        <v>984</v>
      </c>
      <c r="AT11" s="12" t="s">
        <v>985</v>
      </c>
      <c r="AU11" s="12" t="s">
        <v>986</v>
      </c>
      <c r="AV11" s="12" t="s">
        <v>987</v>
      </c>
      <c r="AW11" s="12" t="s">
        <v>988</v>
      </c>
      <c r="AX11" s="106"/>
      <c r="AY11" s="106"/>
      <c r="AZ11" s="106"/>
      <c r="BA11" s="2"/>
      <c r="BB11" s="2"/>
      <c r="BC11" s="2"/>
      <c r="BD11" s="2"/>
      <c r="BE11" s="2"/>
      <c r="BF11" s="2"/>
      <c r="BG11" s="106"/>
      <c r="BH11" s="106"/>
      <c r="BI11" s="106"/>
      <c r="BJ11" s="106"/>
      <c r="BK11" s="106"/>
      <c r="BL11" s="106"/>
      <c r="BM11" s="106"/>
      <c r="BN11" s="106"/>
      <c r="BO11" s="106"/>
      <c r="BP11" s="106"/>
      <c r="BQ11" s="106"/>
      <c r="BR11" s="106"/>
      <c r="BS11" s="106"/>
      <c r="BT11" s="106"/>
    </row>
    <row r="12" spans="2:72" ht="13.8" x14ac:dyDescent="0.25">
      <c r="B12" s="309"/>
      <c r="C12" s="56" t="s">
        <v>427</v>
      </c>
      <c r="D12" s="29"/>
      <c r="E12" s="2" t="s">
        <v>33</v>
      </c>
      <c r="F12" s="2" t="s">
        <v>225</v>
      </c>
      <c r="G12" s="2" t="s">
        <v>226</v>
      </c>
      <c r="H12" s="2" t="s">
        <v>227</v>
      </c>
      <c r="I12" s="2" t="s">
        <v>868</v>
      </c>
      <c r="J12" s="2" t="s">
        <v>868</v>
      </c>
      <c r="K12" s="2" t="s">
        <v>868</v>
      </c>
      <c r="L12" s="2" t="s">
        <v>868</v>
      </c>
      <c r="M12" s="2" t="s">
        <v>868</v>
      </c>
      <c r="N12" s="2" t="s">
        <v>868</v>
      </c>
      <c r="O12" s="2" t="s">
        <v>868</v>
      </c>
      <c r="P12" s="2" t="s">
        <v>868</v>
      </c>
      <c r="Q12" s="2" t="s">
        <v>868</v>
      </c>
      <c r="R12" s="2" t="s">
        <v>868</v>
      </c>
      <c r="S12" s="2" t="s">
        <v>868</v>
      </c>
      <c r="T12" s="2" t="s">
        <v>868</v>
      </c>
      <c r="U12" s="2" t="s">
        <v>868</v>
      </c>
      <c r="V12" s="2" t="s">
        <v>868</v>
      </c>
      <c r="W12" s="2" t="s">
        <v>868</v>
      </c>
      <c r="X12" s="2" t="s">
        <v>868</v>
      </c>
      <c r="Y12" s="2" t="s">
        <v>868</v>
      </c>
      <c r="Z12" s="2" t="s">
        <v>868</v>
      </c>
      <c r="AA12" s="2" t="s">
        <v>868</v>
      </c>
      <c r="AB12" s="2" t="s">
        <v>868</v>
      </c>
      <c r="AC12" s="2" t="s">
        <v>868</v>
      </c>
      <c r="AD12" s="2" t="s">
        <v>868</v>
      </c>
      <c r="AE12" s="2" t="s">
        <v>868</v>
      </c>
      <c r="AF12" s="2" t="s">
        <v>868</v>
      </c>
      <c r="AG12" s="2" t="s">
        <v>868</v>
      </c>
      <c r="AH12" s="2" t="s">
        <v>868</v>
      </c>
      <c r="AI12" s="2" t="s">
        <v>868</v>
      </c>
      <c r="AJ12" s="2" t="s">
        <v>868</v>
      </c>
      <c r="AK12" s="2" t="s">
        <v>868</v>
      </c>
      <c r="AL12" s="2" t="s">
        <v>868</v>
      </c>
      <c r="AM12" s="2" t="s">
        <v>868</v>
      </c>
      <c r="AN12" s="2" t="s">
        <v>868</v>
      </c>
      <c r="AO12" s="2" t="s">
        <v>868</v>
      </c>
      <c r="AP12" s="2" t="s">
        <v>868</v>
      </c>
      <c r="AQ12" s="2" t="s">
        <v>868</v>
      </c>
      <c r="AR12" s="2" t="s">
        <v>868</v>
      </c>
      <c r="AS12" s="2" t="s">
        <v>868</v>
      </c>
      <c r="AT12" s="2" t="s">
        <v>868</v>
      </c>
      <c r="AU12" s="2" t="s">
        <v>868</v>
      </c>
      <c r="AV12" s="2" t="s">
        <v>868</v>
      </c>
      <c r="AW12" s="2" t="s">
        <v>868</v>
      </c>
      <c r="AX12" s="2"/>
      <c r="AY12" s="2"/>
      <c r="AZ12" s="2"/>
      <c r="BA12" s="2"/>
      <c r="BB12" s="2"/>
      <c r="BC12" s="2"/>
      <c r="BD12" s="2"/>
      <c r="BE12" s="2"/>
      <c r="BF12" s="2"/>
      <c r="BG12" s="2"/>
      <c r="BH12" s="2"/>
      <c r="BI12" s="2"/>
      <c r="BJ12" s="2"/>
      <c r="BK12" s="2"/>
      <c r="BL12" s="2"/>
      <c r="BM12" s="2"/>
      <c r="BN12" s="2"/>
      <c r="BO12" s="2"/>
      <c r="BP12" s="2"/>
      <c r="BQ12" s="2"/>
      <c r="BR12" s="2"/>
      <c r="BS12" s="2"/>
      <c r="BT12" s="2"/>
    </row>
    <row r="13" spans="2:72" ht="13.8" x14ac:dyDescent="0.25">
      <c r="B13" s="309"/>
      <c r="C13" s="56" t="s">
        <v>428</v>
      </c>
      <c r="D13" s="29"/>
      <c r="E13" s="2" t="s">
        <v>34</v>
      </c>
      <c r="F13" s="2" t="s">
        <v>11</v>
      </c>
      <c r="G13" s="2" t="s">
        <v>11</v>
      </c>
      <c r="H13" s="2" t="s">
        <v>11</v>
      </c>
      <c r="I13" s="105" t="s">
        <v>989</v>
      </c>
      <c r="J13" s="105" t="s">
        <v>989</v>
      </c>
      <c r="K13" s="105" t="s">
        <v>989</v>
      </c>
      <c r="L13" s="105" t="s">
        <v>990</v>
      </c>
      <c r="M13" s="105" t="s">
        <v>991</v>
      </c>
      <c r="N13" s="105" t="s">
        <v>992</v>
      </c>
      <c r="O13" s="105" t="s">
        <v>992</v>
      </c>
      <c r="P13" s="105" t="s">
        <v>991</v>
      </c>
      <c r="Q13" s="105" t="s">
        <v>990</v>
      </c>
      <c r="R13" s="105" t="s">
        <v>992</v>
      </c>
      <c r="S13" s="105" t="s">
        <v>993</v>
      </c>
      <c r="T13" s="105" t="s">
        <v>994</v>
      </c>
      <c r="U13" s="105" t="s">
        <v>995</v>
      </c>
      <c r="V13" s="105" t="s">
        <v>995</v>
      </c>
      <c r="W13" s="105" t="s">
        <v>995</v>
      </c>
      <c r="X13" s="105" t="s">
        <v>995</v>
      </c>
      <c r="Y13" s="105" t="s">
        <v>996</v>
      </c>
      <c r="Z13" s="105" t="s">
        <v>997</v>
      </c>
      <c r="AA13" s="105" t="s">
        <v>996</v>
      </c>
      <c r="AB13" s="105" t="s">
        <v>996</v>
      </c>
      <c r="AC13" s="105" t="s">
        <v>998</v>
      </c>
      <c r="AD13" s="105" t="s">
        <v>999</v>
      </c>
      <c r="AE13" s="105" t="s">
        <v>998</v>
      </c>
      <c r="AF13" s="105" t="s">
        <v>992</v>
      </c>
      <c r="AG13" s="105" t="s">
        <v>1000</v>
      </c>
      <c r="AH13" s="105" t="s">
        <v>989</v>
      </c>
      <c r="AI13" s="105" t="s">
        <v>989</v>
      </c>
      <c r="AJ13" s="105" t="s">
        <v>991</v>
      </c>
      <c r="AK13" s="105" t="s">
        <v>991</v>
      </c>
      <c r="AL13" s="105" t="s">
        <v>993</v>
      </c>
      <c r="AM13" s="105" t="s">
        <v>993</v>
      </c>
      <c r="AN13" s="105" t="s">
        <v>992</v>
      </c>
      <c r="AO13" s="105" t="s">
        <v>992</v>
      </c>
      <c r="AP13" s="105" t="s">
        <v>995</v>
      </c>
      <c r="AQ13" s="105" t="s">
        <v>995</v>
      </c>
      <c r="AR13" s="105" t="s">
        <v>1001</v>
      </c>
      <c r="AS13" s="105" t="s">
        <v>1001</v>
      </c>
      <c r="AT13" s="105" t="s">
        <v>1002</v>
      </c>
      <c r="AU13" s="105" t="s">
        <v>1002</v>
      </c>
      <c r="AV13" s="105" t="s">
        <v>996</v>
      </c>
      <c r="AW13" s="105" t="s">
        <v>996</v>
      </c>
      <c r="AX13" s="106"/>
      <c r="AY13" s="106"/>
      <c r="AZ13" s="106"/>
      <c r="BA13" s="2"/>
      <c r="BB13" s="2"/>
      <c r="BC13" s="2"/>
      <c r="BD13" s="2"/>
      <c r="BE13" s="2"/>
      <c r="BF13" s="2"/>
      <c r="BG13" s="106"/>
      <c r="BH13" s="106"/>
      <c r="BI13" s="106"/>
      <c r="BJ13" s="106"/>
      <c r="BK13" s="106"/>
      <c r="BL13" s="106"/>
      <c r="BM13" s="106"/>
      <c r="BN13" s="106"/>
      <c r="BO13" s="106"/>
      <c r="BP13" s="106"/>
      <c r="BQ13" s="106"/>
      <c r="BR13" s="106"/>
      <c r="BS13" s="106"/>
      <c r="BT13" s="106"/>
    </row>
    <row r="14" spans="2:72" ht="13.8" x14ac:dyDescent="0.25">
      <c r="B14" s="309"/>
      <c r="C14" s="56" t="s">
        <v>429</v>
      </c>
      <c r="D14" s="29"/>
      <c r="E14" s="2" t="s">
        <v>35</v>
      </c>
      <c r="F14" s="2" t="s">
        <v>11</v>
      </c>
      <c r="G14" s="2" t="s">
        <v>11</v>
      </c>
      <c r="H14" s="2" t="s">
        <v>11</v>
      </c>
      <c r="I14" s="2" t="s">
        <v>867</v>
      </c>
      <c r="J14" s="2" t="s">
        <v>867</v>
      </c>
      <c r="K14" s="2" t="s">
        <v>867</v>
      </c>
      <c r="L14" s="2" t="s">
        <v>867</v>
      </c>
      <c r="M14" s="2" t="s">
        <v>867</v>
      </c>
      <c r="N14" s="2" t="s">
        <v>867</v>
      </c>
      <c r="O14" s="2" t="s">
        <v>867</v>
      </c>
      <c r="P14" s="2" t="s">
        <v>867</v>
      </c>
      <c r="Q14" s="2" t="s">
        <v>867</v>
      </c>
      <c r="R14" s="2" t="s">
        <v>867</v>
      </c>
      <c r="S14" s="2" t="s">
        <v>867</v>
      </c>
      <c r="T14" s="2" t="s">
        <v>867</v>
      </c>
      <c r="U14" s="2" t="s">
        <v>867</v>
      </c>
      <c r="V14" s="2" t="s">
        <v>867</v>
      </c>
      <c r="W14" s="2" t="s">
        <v>867</v>
      </c>
      <c r="X14" s="2" t="s">
        <v>867</v>
      </c>
      <c r="Y14" s="2" t="s">
        <v>867</v>
      </c>
      <c r="Z14" s="2" t="s">
        <v>867</v>
      </c>
      <c r="AA14" s="2" t="s">
        <v>867</v>
      </c>
      <c r="AB14" s="2" t="s">
        <v>867</v>
      </c>
      <c r="AC14" s="2" t="s">
        <v>867</v>
      </c>
      <c r="AD14" s="2" t="s">
        <v>867</v>
      </c>
      <c r="AE14" s="2" t="s">
        <v>867</v>
      </c>
      <c r="AF14" s="2" t="s">
        <v>867</v>
      </c>
      <c r="AG14" s="2" t="s">
        <v>867</v>
      </c>
      <c r="AH14" s="2" t="s">
        <v>867</v>
      </c>
      <c r="AI14" s="2" t="s">
        <v>867</v>
      </c>
      <c r="AJ14" s="2" t="s">
        <v>867</v>
      </c>
      <c r="AK14" s="2" t="s">
        <v>867</v>
      </c>
      <c r="AL14" s="2" t="s">
        <v>867</v>
      </c>
      <c r="AM14" s="2" t="s">
        <v>867</v>
      </c>
      <c r="AN14" s="2" t="s">
        <v>867</v>
      </c>
      <c r="AO14" s="2" t="s">
        <v>867</v>
      </c>
      <c r="AP14" s="2" t="s">
        <v>867</v>
      </c>
      <c r="AQ14" s="2" t="s">
        <v>867</v>
      </c>
      <c r="AR14" s="2" t="s">
        <v>867</v>
      </c>
      <c r="AS14" s="2" t="s">
        <v>867</v>
      </c>
      <c r="AT14" s="2" t="s">
        <v>867</v>
      </c>
      <c r="AU14" s="2" t="s">
        <v>867</v>
      </c>
      <c r="AV14" s="2" t="s">
        <v>867</v>
      </c>
      <c r="AW14" s="2" t="s">
        <v>867</v>
      </c>
      <c r="AX14" s="2"/>
      <c r="AY14" s="2"/>
      <c r="AZ14" s="2"/>
      <c r="BA14" s="2"/>
      <c r="BB14" s="2"/>
      <c r="BC14" s="2"/>
      <c r="BD14" s="2"/>
      <c r="BE14" s="2"/>
      <c r="BF14" s="2"/>
      <c r="BG14" s="2"/>
      <c r="BH14" s="2"/>
      <c r="BI14" s="2"/>
      <c r="BJ14" s="2"/>
      <c r="BK14" s="2"/>
      <c r="BL14" s="2"/>
      <c r="BM14" s="2"/>
      <c r="BN14" s="2"/>
      <c r="BO14" s="2"/>
      <c r="BP14" s="2"/>
      <c r="BQ14" s="2"/>
      <c r="BR14" s="2"/>
      <c r="BS14" s="2"/>
      <c r="BT14" s="2"/>
    </row>
    <row r="15" spans="2:72" ht="13.8" x14ac:dyDescent="0.25">
      <c r="B15" s="309"/>
      <c r="C15" s="56" t="s">
        <v>430</v>
      </c>
      <c r="D15" s="29"/>
      <c r="E15" s="2" t="s">
        <v>17</v>
      </c>
      <c r="F15" s="2" t="s">
        <v>229</v>
      </c>
      <c r="G15" s="2" t="s">
        <v>229</v>
      </c>
      <c r="H15" s="2" t="s">
        <v>229</v>
      </c>
      <c r="I15" s="2" t="s">
        <v>229</v>
      </c>
      <c r="J15" s="2" t="s">
        <v>229</v>
      </c>
      <c r="K15" s="2" t="s">
        <v>229</v>
      </c>
      <c r="L15" s="2" t="s">
        <v>229</v>
      </c>
      <c r="M15" s="2" t="s">
        <v>229</v>
      </c>
      <c r="N15" s="2" t="s">
        <v>229</v>
      </c>
      <c r="O15" s="2" t="s">
        <v>229</v>
      </c>
      <c r="P15" s="2" t="s">
        <v>229</v>
      </c>
      <c r="Q15" s="2" t="s">
        <v>229</v>
      </c>
      <c r="R15" s="2" t="s">
        <v>229</v>
      </c>
      <c r="S15" s="2" t="s">
        <v>229</v>
      </c>
      <c r="T15" s="2" t="s">
        <v>229</v>
      </c>
      <c r="U15" s="2" t="s">
        <v>229</v>
      </c>
      <c r="V15" s="2" t="s">
        <v>229</v>
      </c>
      <c r="W15" s="2" t="s">
        <v>229</v>
      </c>
      <c r="X15" s="2" t="s">
        <v>229</v>
      </c>
      <c r="Y15" s="2" t="s">
        <v>229</v>
      </c>
      <c r="Z15" s="2" t="s">
        <v>229</v>
      </c>
      <c r="AA15" s="2" t="s">
        <v>229</v>
      </c>
      <c r="AB15" s="2" t="s">
        <v>229</v>
      </c>
      <c r="AC15" s="2" t="s">
        <v>229</v>
      </c>
      <c r="AD15" s="2" t="s">
        <v>229</v>
      </c>
      <c r="AE15" s="2" t="s">
        <v>229</v>
      </c>
      <c r="AF15" s="2" t="s">
        <v>229</v>
      </c>
      <c r="AG15" s="2" t="s">
        <v>229</v>
      </c>
      <c r="AH15" s="2" t="s">
        <v>229</v>
      </c>
      <c r="AI15" s="2" t="s">
        <v>229</v>
      </c>
      <c r="AJ15" s="2" t="s">
        <v>229</v>
      </c>
      <c r="AK15" s="2" t="s">
        <v>229</v>
      </c>
      <c r="AL15" s="2" t="s">
        <v>229</v>
      </c>
      <c r="AM15" s="2" t="s">
        <v>229</v>
      </c>
      <c r="AN15" s="2" t="s">
        <v>229</v>
      </c>
      <c r="AO15" s="2" t="s">
        <v>229</v>
      </c>
      <c r="AP15" s="2" t="s">
        <v>229</v>
      </c>
      <c r="AQ15" s="2" t="s">
        <v>229</v>
      </c>
      <c r="AR15" s="2" t="s">
        <v>229</v>
      </c>
      <c r="AS15" s="2" t="s">
        <v>229</v>
      </c>
      <c r="AT15" s="2" t="s">
        <v>229</v>
      </c>
      <c r="AU15" s="2" t="s">
        <v>229</v>
      </c>
      <c r="AV15" s="2" t="s">
        <v>229</v>
      </c>
      <c r="AW15" s="2" t="s">
        <v>229</v>
      </c>
      <c r="AX15" s="2"/>
      <c r="AY15" s="2"/>
      <c r="AZ15" s="2"/>
      <c r="BA15" s="2"/>
      <c r="BB15" s="2"/>
      <c r="BC15" s="2"/>
      <c r="BD15" s="2"/>
      <c r="BE15" s="2"/>
      <c r="BF15" s="2"/>
      <c r="BG15" s="2"/>
      <c r="BH15" s="2"/>
      <c r="BI15" s="2"/>
      <c r="BJ15" s="2"/>
      <c r="BK15" s="2"/>
      <c r="BL15" s="2"/>
      <c r="BM15" s="2"/>
      <c r="BN15" s="2"/>
      <c r="BO15" s="2"/>
      <c r="BP15" s="2"/>
      <c r="BQ15" s="2"/>
      <c r="BR15" s="2"/>
      <c r="BS15" s="2"/>
      <c r="BT15" s="2"/>
    </row>
    <row r="16" spans="2:72" ht="13.8" x14ac:dyDescent="0.25">
      <c r="B16" s="309"/>
      <c r="C16" s="56" t="s">
        <v>431</v>
      </c>
      <c r="D16" s="29"/>
      <c r="E16" s="2" t="s">
        <v>18</v>
      </c>
      <c r="F16" s="2" t="s">
        <v>229</v>
      </c>
      <c r="G16" s="2" t="s">
        <v>229</v>
      </c>
      <c r="H16" s="2" t="s">
        <v>229</v>
      </c>
      <c r="I16" s="2" t="s">
        <v>229</v>
      </c>
      <c r="J16" s="2" t="s">
        <v>229</v>
      </c>
      <c r="K16" s="2" t="s">
        <v>229</v>
      </c>
      <c r="L16" s="2" t="s">
        <v>229</v>
      </c>
      <c r="M16" s="2" t="s">
        <v>229</v>
      </c>
      <c r="N16" s="2" t="s">
        <v>229</v>
      </c>
      <c r="O16" s="2" t="s">
        <v>229</v>
      </c>
      <c r="P16" s="2" t="s">
        <v>229</v>
      </c>
      <c r="Q16" s="2" t="s">
        <v>229</v>
      </c>
      <c r="R16" s="2" t="s">
        <v>229</v>
      </c>
      <c r="S16" s="2" t="s">
        <v>229</v>
      </c>
      <c r="T16" s="2" t="s">
        <v>229</v>
      </c>
      <c r="U16" s="2" t="s">
        <v>229</v>
      </c>
      <c r="V16" s="2" t="s">
        <v>229</v>
      </c>
      <c r="W16" s="2" t="s">
        <v>229</v>
      </c>
      <c r="X16" s="2" t="s">
        <v>229</v>
      </c>
      <c r="Y16" s="2" t="s">
        <v>229</v>
      </c>
      <c r="Z16" s="2" t="s">
        <v>229</v>
      </c>
      <c r="AA16" s="2" t="s">
        <v>229</v>
      </c>
      <c r="AB16" s="2" t="s">
        <v>229</v>
      </c>
      <c r="AC16" s="2" t="s">
        <v>229</v>
      </c>
      <c r="AD16" s="2" t="s">
        <v>229</v>
      </c>
      <c r="AE16" s="2" t="s">
        <v>229</v>
      </c>
      <c r="AF16" s="2" t="s">
        <v>229</v>
      </c>
      <c r="AG16" s="2" t="s">
        <v>229</v>
      </c>
      <c r="AH16" s="2" t="s">
        <v>229</v>
      </c>
      <c r="AI16" s="2" t="s">
        <v>229</v>
      </c>
      <c r="AJ16" s="2" t="s">
        <v>229</v>
      </c>
      <c r="AK16" s="2" t="s">
        <v>229</v>
      </c>
      <c r="AL16" s="2" t="s">
        <v>229</v>
      </c>
      <c r="AM16" s="2" t="s">
        <v>229</v>
      </c>
      <c r="AN16" s="2" t="s">
        <v>229</v>
      </c>
      <c r="AO16" s="2" t="s">
        <v>229</v>
      </c>
      <c r="AP16" s="2" t="s">
        <v>229</v>
      </c>
      <c r="AQ16" s="2" t="s">
        <v>229</v>
      </c>
      <c r="AR16" s="2" t="s">
        <v>229</v>
      </c>
      <c r="AS16" s="2" t="s">
        <v>229</v>
      </c>
      <c r="AT16" s="2" t="s">
        <v>229</v>
      </c>
      <c r="AU16" s="2" t="s">
        <v>229</v>
      </c>
      <c r="AV16" s="2" t="s">
        <v>229</v>
      </c>
      <c r="AW16" s="2" t="s">
        <v>229</v>
      </c>
      <c r="AX16" s="2"/>
      <c r="AY16" s="2"/>
      <c r="AZ16" s="2"/>
      <c r="BA16" s="2"/>
      <c r="BB16" s="2"/>
      <c r="BC16" s="2"/>
      <c r="BD16" s="2"/>
      <c r="BE16" s="2"/>
      <c r="BF16" s="2"/>
      <c r="BG16" s="2"/>
      <c r="BH16" s="2"/>
      <c r="BI16" s="2"/>
      <c r="BJ16" s="2"/>
      <c r="BK16" s="2"/>
      <c r="BL16" s="2"/>
      <c r="BM16" s="2"/>
      <c r="BN16" s="2"/>
      <c r="BO16" s="2"/>
      <c r="BP16" s="2"/>
      <c r="BQ16" s="2"/>
      <c r="BR16" s="2"/>
      <c r="BS16" s="2"/>
      <c r="BT16" s="2"/>
    </row>
    <row r="17" spans="2:72" ht="13.8" x14ac:dyDescent="0.25">
      <c r="B17" s="309"/>
      <c r="C17" s="56" t="s">
        <v>432</v>
      </c>
      <c r="D17" s="29"/>
      <c r="E17" s="2" t="s">
        <v>19</v>
      </c>
      <c r="F17" s="2" t="s">
        <v>19</v>
      </c>
      <c r="G17" s="2" t="s">
        <v>19</v>
      </c>
      <c r="H17" s="2" t="s">
        <v>19</v>
      </c>
      <c r="I17" s="2" t="s">
        <v>19</v>
      </c>
      <c r="J17" s="2" t="s">
        <v>19</v>
      </c>
      <c r="K17" s="2" t="s">
        <v>19</v>
      </c>
      <c r="L17" s="2" t="s">
        <v>19</v>
      </c>
      <c r="M17" s="2" t="s">
        <v>19</v>
      </c>
      <c r="N17" s="2" t="s">
        <v>19</v>
      </c>
      <c r="O17" s="2" t="s">
        <v>19</v>
      </c>
      <c r="P17" s="2" t="s">
        <v>19</v>
      </c>
      <c r="Q17" s="2" t="s">
        <v>19</v>
      </c>
      <c r="R17" s="2" t="s">
        <v>19</v>
      </c>
      <c r="S17" s="2" t="s">
        <v>19</v>
      </c>
      <c r="T17" s="2" t="s">
        <v>19</v>
      </c>
      <c r="U17" s="2" t="s">
        <v>19</v>
      </c>
      <c r="V17" s="2" t="s">
        <v>19</v>
      </c>
      <c r="W17" s="2" t="s">
        <v>19</v>
      </c>
      <c r="X17" s="2" t="s">
        <v>19</v>
      </c>
      <c r="Y17" s="2" t="s">
        <v>19</v>
      </c>
      <c r="Z17" s="2" t="s">
        <v>19</v>
      </c>
      <c r="AA17" s="2" t="s">
        <v>19</v>
      </c>
      <c r="AB17" s="2" t="s">
        <v>19</v>
      </c>
      <c r="AC17" s="2" t="s">
        <v>19</v>
      </c>
      <c r="AD17" s="2" t="s">
        <v>19</v>
      </c>
      <c r="AE17" s="2" t="s">
        <v>19</v>
      </c>
      <c r="AF17" s="2" t="s">
        <v>19</v>
      </c>
      <c r="AG17" s="2" t="s">
        <v>19</v>
      </c>
      <c r="AH17" s="2" t="s">
        <v>19</v>
      </c>
      <c r="AI17" s="2" t="s">
        <v>19</v>
      </c>
      <c r="AJ17" s="2" t="s">
        <v>19</v>
      </c>
      <c r="AK17" s="2" t="s">
        <v>19</v>
      </c>
      <c r="AL17" s="2" t="s">
        <v>19</v>
      </c>
      <c r="AM17" s="2" t="s">
        <v>19</v>
      </c>
      <c r="AN17" s="2" t="s">
        <v>19</v>
      </c>
      <c r="AO17" s="2" t="s">
        <v>19</v>
      </c>
      <c r="AP17" s="2" t="s">
        <v>19</v>
      </c>
      <c r="AQ17" s="2" t="s">
        <v>19</v>
      </c>
      <c r="AR17" s="2" t="s">
        <v>19</v>
      </c>
      <c r="AS17" s="2" t="s">
        <v>19</v>
      </c>
      <c r="AT17" s="2" t="s">
        <v>19</v>
      </c>
      <c r="AU17" s="2" t="s">
        <v>19</v>
      </c>
      <c r="AV17" s="2" t="s">
        <v>19</v>
      </c>
      <c r="AW17" s="2" t="s">
        <v>19</v>
      </c>
      <c r="AX17" s="2"/>
      <c r="AY17" s="2"/>
      <c r="AZ17" s="2"/>
      <c r="BA17" s="2"/>
      <c r="BB17" s="2"/>
      <c r="BC17" s="2"/>
      <c r="BD17" s="2"/>
      <c r="BE17" s="2"/>
      <c r="BF17" s="2"/>
      <c r="BG17" s="2"/>
      <c r="BH17" s="2"/>
      <c r="BI17" s="2"/>
      <c r="BJ17" s="2"/>
      <c r="BK17" s="2"/>
      <c r="BL17" s="2"/>
      <c r="BM17" s="2"/>
      <c r="BN17" s="2"/>
      <c r="BO17" s="2"/>
      <c r="BP17" s="2"/>
      <c r="BQ17" s="2"/>
      <c r="BR17" s="2"/>
      <c r="BS17" s="2"/>
      <c r="BT17" s="2"/>
    </row>
    <row r="18" spans="2:72" ht="13.8" x14ac:dyDescent="0.25">
      <c r="B18" s="309"/>
      <c r="C18" s="56" t="s">
        <v>433</v>
      </c>
      <c r="D18" s="14"/>
      <c r="E18" s="2" t="s">
        <v>219</v>
      </c>
      <c r="F18" s="2" t="s">
        <v>219</v>
      </c>
      <c r="G18" s="2" t="s">
        <v>219</v>
      </c>
      <c r="H18" s="2" t="s">
        <v>219</v>
      </c>
      <c r="I18" s="2" t="s">
        <v>219</v>
      </c>
      <c r="J18" s="2" t="s">
        <v>219</v>
      </c>
      <c r="K18" s="2" t="s">
        <v>219</v>
      </c>
      <c r="L18" s="2" t="s">
        <v>219</v>
      </c>
      <c r="M18" s="2" t="s">
        <v>219</v>
      </c>
      <c r="N18" s="2" t="s">
        <v>219</v>
      </c>
      <c r="O18" s="2" t="s">
        <v>219</v>
      </c>
      <c r="P18" s="2" t="s">
        <v>219</v>
      </c>
      <c r="Q18" s="2" t="s">
        <v>219</v>
      </c>
      <c r="R18" s="2" t="s">
        <v>219</v>
      </c>
      <c r="S18" s="2" t="s">
        <v>219</v>
      </c>
      <c r="T18" s="2" t="s">
        <v>219</v>
      </c>
      <c r="U18" s="2" t="s">
        <v>219</v>
      </c>
      <c r="V18" s="2" t="s">
        <v>219</v>
      </c>
      <c r="W18" s="2" t="s">
        <v>219</v>
      </c>
      <c r="X18" s="2" t="s">
        <v>219</v>
      </c>
      <c r="Y18" s="2" t="s">
        <v>219</v>
      </c>
      <c r="Z18" s="2" t="s">
        <v>219</v>
      </c>
      <c r="AA18" s="2" t="s">
        <v>219</v>
      </c>
      <c r="AB18" s="2" t="s">
        <v>219</v>
      </c>
      <c r="AC18" s="2" t="s">
        <v>219</v>
      </c>
      <c r="AD18" s="2" t="s">
        <v>219</v>
      </c>
      <c r="AE18" s="2" t="s">
        <v>219</v>
      </c>
      <c r="AF18" s="2" t="s">
        <v>219</v>
      </c>
      <c r="AG18" s="2" t="s">
        <v>219</v>
      </c>
      <c r="AH18" s="2" t="s">
        <v>219</v>
      </c>
      <c r="AI18" s="2" t="s">
        <v>219</v>
      </c>
      <c r="AJ18" s="2" t="s">
        <v>219</v>
      </c>
      <c r="AK18" s="2" t="s">
        <v>219</v>
      </c>
      <c r="AL18" s="2" t="s">
        <v>219</v>
      </c>
      <c r="AM18" s="2" t="s">
        <v>219</v>
      </c>
      <c r="AN18" s="2" t="s">
        <v>219</v>
      </c>
      <c r="AO18" s="2" t="s">
        <v>219</v>
      </c>
      <c r="AP18" s="2" t="s">
        <v>219</v>
      </c>
      <c r="AQ18" s="2" t="s">
        <v>219</v>
      </c>
      <c r="AR18" s="2" t="s">
        <v>219</v>
      </c>
      <c r="AS18" s="2" t="s">
        <v>219</v>
      </c>
      <c r="AT18" s="2" t="s">
        <v>219</v>
      </c>
      <c r="AU18" s="2" t="s">
        <v>219</v>
      </c>
      <c r="AV18" s="2" t="s">
        <v>219</v>
      </c>
      <c r="AW18" s="2" t="s">
        <v>219</v>
      </c>
      <c r="AX18" s="2"/>
      <c r="AY18" s="2"/>
      <c r="AZ18" s="2"/>
      <c r="BA18" s="2"/>
      <c r="BB18" s="2"/>
      <c r="BC18" s="2"/>
      <c r="BD18" s="2"/>
      <c r="BE18" s="2"/>
      <c r="BF18" s="2"/>
      <c r="BG18" s="2"/>
      <c r="BH18" s="2"/>
      <c r="BI18" s="2"/>
      <c r="BJ18" s="2"/>
      <c r="BK18" s="2"/>
      <c r="BL18" s="2"/>
      <c r="BM18" s="2"/>
      <c r="BN18" s="2"/>
      <c r="BO18" s="2"/>
      <c r="BP18" s="2"/>
      <c r="BQ18" s="2"/>
      <c r="BR18" s="2"/>
      <c r="BS18" s="2"/>
      <c r="BT18" s="2"/>
    </row>
    <row r="19" spans="2:72" ht="13.8" x14ac:dyDescent="0.25">
      <c r="B19" s="309"/>
      <c r="C19" s="56" t="s">
        <v>434</v>
      </c>
      <c r="D19" s="14"/>
      <c r="E19" s="2" t="s">
        <v>203</v>
      </c>
      <c r="F19" s="2" t="s">
        <v>203</v>
      </c>
      <c r="G19" s="2" t="s">
        <v>203</v>
      </c>
      <c r="H19" s="2" t="s">
        <v>203</v>
      </c>
      <c r="I19" s="2" t="s">
        <v>203</v>
      </c>
      <c r="J19" s="2" t="s">
        <v>203</v>
      </c>
      <c r="K19" s="2" t="s">
        <v>203</v>
      </c>
      <c r="L19" s="2" t="s">
        <v>203</v>
      </c>
      <c r="M19" s="2" t="s">
        <v>203</v>
      </c>
      <c r="N19" s="2" t="s">
        <v>203</v>
      </c>
      <c r="O19" s="2" t="s">
        <v>203</v>
      </c>
      <c r="P19" s="2" t="s">
        <v>203</v>
      </c>
      <c r="Q19" s="2" t="s">
        <v>203</v>
      </c>
      <c r="R19" s="2" t="s">
        <v>203</v>
      </c>
      <c r="S19" s="2" t="s">
        <v>203</v>
      </c>
      <c r="T19" s="2" t="s">
        <v>203</v>
      </c>
      <c r="U19" s="2" t="s">
        <v>203</v>
      </c>
      <c r="V19" s="2" t="s">
        <v>203</v>
      </c>
      <c r="W19" s="2" t="s">
        <v>203</v>
      </c>
      <c r="X19" s="2" t="s">
        <v>203</v>
      </c>
      <c r="Y19" s="2" t="s">
        <v>203</v>
      </c>
      <c r="Z19" s="2" t="s">
        <v>203</v>
      </c>
      <c r="AA19" s="2" t="s">
        <v>203</v>
      </c>
      <c r="AB19" s="2" t="s">
        <v>203</v>
      </c>
      <c r="AC19" s="2" t="s">
        <v>203</v>
      </c>
      <c r="AD19" s="2" t="s">
        <v>203</v>
      </c>
      <c r="AE19" s="2" t="s">
        <v>203</v>
      </c>
      <c r="AF19" s="2" t="s">
        <v>203</v>
      </c>
      <c r="AG19" s="2" t="s">
        <v>203</v>
      </c>
      <c r="AH19" s="2" t="s">
        <v>203</v>
      </c>
      <c r="AI19" s="2" t="s">
        <v>203</v>
      </c>
      <c r="AJ19" s="2" t="s">
        <v>203</v>
      </c>
      <c r="AK19" s="2" t="s">
        <v>203</v>
      </c>
      <c r="AL19" s="2" t="s">
        <v>203</v>
      </c>
      <c r="AM19" s="2" t="s">
        <v>203</v>
      </c>
      <c r="AN19" s="2" t="s">
        <v>203</v>
      </c>
      <c r="AO19" s="2" t="s">
        <v>203</v>
      </c>
      <c r="AP19" s="2" t="s">
        <v>203</v>
      </c>
      <c r="AQ19" s="2" t="s">
        <v>203</v>
      </c>
      <c r="AR19" s="2" t="s">
        <v>203</v>
      </c>
      <c r="AS19" s="2" t="s">
        <v>203</v>
      </c>
      <c r="AT19" s="2" t="s">
        <v>203</v>
      </c>
      <c r="AU19" s="2" t="s">
        <v>203</v>
      </c>
      <c r="AV19" s="2" t="s">
        <v>203</v>
      </c>
      <c r="AW19" s="2" t="s">
        <v>203</v>
      </c>
      <c r="AX19" s="2"/>
      <c r="AY19" s="2"/>
      <c r="AZ19" s="2"/>
      <c r="BA19" s="2"/>
      <c r="BB19" s="2"/>
      <c r="BC19" s="2"/>
      <c r="BD19" s="2"/>
      <c r="BE19" s="2"/>
      <c r="BF19" s="2"/>
      <c r="BG19" s="2"/>
      <c r="BH19" s="2"/>
      <c r="BI19" s="2"/>
      <c r="BJ19" s="2"/>
      <c r="BK19" s="2"/>
      <c r="BL19" s="2"/>
      <c r="BM19" s="2"/>
      <c r="BN19" s="2"/>
      <c r="BO19" s="2"/>
      <c r="BP19" s="2"/>
      <c r="BQ19" s="2"/>
      <c r="BR19" s="2"/>
      <c r="BS19" s="2"/>
      <c r="BT19" s="2"/>
    </row>
    <row r="20" spans="2:72" ht="13.8" x14ac:dyDescent="0.25">
      <c r="B20" s="309"/>
      <c r="C20" s="56" t="s">
        <v>435</v>
      </c>
      <c r="D20" s="14"/>
      <c r="E20" s="2" t="s">
        <v>37</v>
      </c>
      <c r="F20" s="2" t="s">
        <v>37</v>
      </c>
      <c r="G20" s="2" t="s">
        <v>37</v>
      </c>
      <c r="H20" s="2" t="s">
        <v>37</v>
      </c>
      <c r="I20" s="2" t="s">
        <v>37</v>
      </c>
      <c r="J20" s="2" t="s">
        <v>37</v>
      </c>
      <c r="K20" s="2" t="s">
        <v>37</v>
      </c>
      <c r="L20" s="2" t="s">
        <v>37</v>
      </c>
      <c r="M20" s="2" t="s">
        <v>37</v>
      </c>
      <c r="N20" s="2" t="s">
        <v>37</v>
      </c>
      <c r="O20" s="2" t="s">
        <v>37</v>
      </c>
      <c r="P20" s="2" t="s">
        <v>37</v>
      </c>
      <c r="Q20" s="2" t="s">
        <v>37</v>
      </c>
      <c r="R20" s="2" t="s">
        <v>37</v>
      </c>
      <c r="S20" s="2" t="s">
        <v>37</v>
      </c>
      <c r="T20" s="2" t="s">
        <v>37</v>
      </c>
      <c r="U20" s="2" t="s">
        <v>37</v>
      </c>
      <c r="V20" s="2" t="s">
        <v>37</v>
      </c>
      <c r="W20" s="2" t="s">
        <v>37</v>
      </c>
      <c r="X20" s="2" t="s">
        <v>37</v>
      </c>
      <c r="Y20" s="2" t="s">
        <v>37</v>
      </c>
      <c r="Z20" s="2" t="s">
        <v>37</v>
      </c>
      <c r="AA20" s="2" t="s">
        <v>37</v>
      </c>
      <c r="AB20" s="2" t="s">
        <v>37</v>
      </c>
      <c r="AC20" s="2" t="s">
        <v>37</v>
      </c>
      <c r="AD20" s="2" t="s">
        <v>37</v>
      </c>
      <c r="AE20" s="2" t="s">
        <v>37</v>
      </c>
      <c r="AF20" s="2" t="s">
        <v>37</v>
      </c>
      <c r="AG20" s="2" t="s">
        <v>37</v>
      </c>
      <c r="AH20" s="2" t="s">
        <v>37</v>
      </c>
      <c r="AI20" s="2" t="s">
        <v>37</v>
      </c>
      <c r="AJ20" s="2" t="s">
        <v>37</v>
      </c>
      <c r="AK20" s="2" t="s">
        <v>37</v>
      </c>
      <c r="AL20" s="2" t="s">
        <v>37</v>
      </c>
      <c r="AM20" s="2" t="s">
        <v>37</v>
      </c>
      <c r="AN20" s="2" t="s">
        <v>37</v>
      </c>
      <c r="AO20" s="2" t="s">
        <v>37</v>
      </c>
      <c r="AP20" s="2" t="s">
        <v>37</v>
      </c>
      <c r="AQ20" s="2" t="s">
        <v>37</v>
      </c>
      <c r="AR20" s="2" t="s">
        <v>37</v>
      </c>
      <c r="AS20" s="2" t="s">
        <v>37</v>
      </c>
      <c r="AT20" s="2" t="s">
        <v>37</v>
      </c>
      <c r="AU20" s="2" t="s">
        <v>37</v>
      </c>
      <c r="AV20" s="2" t="s">
        <v>37</v>
      </c>
      <c r="AW20" s="2" t="s">
        <v>37</v>
      </c>
      <c r="AX20" s="2"/>
      <c r="AY20" s="2"/>
      <c r="AZ20" s="2"/>
      <c r="BA20" s="2"/>
      <c r="BB20" s="2"/>
      <c r="BC20" s="2"/>
      <c r="BD20" s="2"/>
      <c r="BE20" s="2"/>
      <c r="BF20" s="2"/>
      <c r="BG20" s="2"/>
      <c r="BH20" s="2"/>
      <c r="BI20" s="2"/>
      <c r="BJ20" s="2"/>
      <c r="BK20" s="2"/>
      <c r="BL20" s="2"/>
      <c r="BM20" s="2"/>
      <c r="BN20" s="2"/>
      <c r="BO20" s="2"/>
      <c r="BP20" s="2"/>
      <c r="BQ20" s="2"/>
      <c r="BR20" s="2"/>
      <c r="BS20" s="2"/>
      <c r="BT20" s="2"/>
    </row>
    <row r="21" spans="2:72" ht="13.8" x14ac:dyDescent="0.25">
      <c r="B21" s="310" t="s">
        <v>0</v>
      </c>
      <c r="C21" s="56" t="s">
        <v>436</v>
      </c>
      <c r="D21" s="29"/>
      <c r="E21" s="1" t="s">
        <v>230</v>
      </c>
      <c r="F21" s="1" t="s">
        <v>231</v>
      </c>
      <c r="G21" s="1" t="s">
        <v>232</v>
      </c>
      <c r="H21" s="1" t="s">
        <v>233</v>
      </c>
      <c r="I21" s="105" t="str">
        <f t="shared" ref="I21:AW21" si="0">I19&amp;", ca. 140 regions, 1900-2008"</f>
        <v>1900-2008, ca. 140 regions, 1900-2008</v>
      </c>
      <c r="J21" s="105" t="str">
        <f t="shared" si="0"/>
        <v>1900-2008, ca. 140 regions, 1900-2008</v>
      </c>
      <c r="K21" s="105" t="str">
        <f t="shared" si="0"/>
        <v>1900-2008, ca. 140 regions, 1900-2008</v>
      </c>
      <c r="L21" s="105" t="str">
        <f t="shared" si="0"/>
        <v>1900-2008, ca. 140 regions, 1900-2008</v>
      </c>
      <c r="M21" s="105" t="str">
        <f t="shared" si="0"/>
        <v>1900-2008, ca. 140 regions, 1900-2008</v>
      </c>
      <c r="N21" s="105" t="str">
        <f t="shared" si="0"/>
        <v>1900-2008, ca. 140 regions, 1900-2008</v>
      </c>
      <c r="O21" s="105" t="str">
        <f t="shared" si="0"/>
        <v>1900-2008, ca. 140 regions, 1900-2008</v>
      </c>
      <c r="P21" s="105" t="str">
        <f t="shared" si="0"/>
        <v>1900-2008, ca. 140 regions, 1900-2008</v>
      </c>
      <c r="Q21" s="105" t="str">
        <f t="shared" si="0"/>
        <v>1900-2008, ca. 140 regions, 1900-2008</v>
      </c>
      <c r="R21" s="105" t="str">
        <f t="shared" si="0"/>
        <v>1900-2008, ca. 140 regions, 1900-2008</v>
      </c>
      <c r="S21" s="105" t="str">
        <f t="shared" si="0"/>
        <v>1900-2008, ca. 140 regions, 1900-2008</v>
      </c>
      <c r="T21" s="105" t="str">
        <f t="shared" si="0"/>
        <v>1900-2008, ca. 140 regions, 1900-2008</v>
      </c>
      <c r="U21" s="105" t="str">
        <f t="shared" si="0"/>
        <v>1900-2008, ca. 140 regions, 1900-2008</v>
      </c>
      <c r="V21" s="105" t="str">
        <f t="shared" si="0"/>
        <v>1900-2008, ca. 140 regions, 1900-2008</v>
      </c>
      <c r="W21" s="105" t="str">
        <f t="shared" si="0"/>
        <v>1900-2008, ca. 140 regions, 1900-2008</v>
      </c>
      <c r="X21" s="105" t="str">
        <f t="shared" si="0"/>
        <v>1900-2008, ca. 140 regions, 1900-2008</v>
      </c>
      <c r="Y21" s="105" t="str">
        <f t="shared" si="0"/>
        <v>1900-2008, ca. 140 regions, 1900-2008</v>
      </c>
      <c r="Z21" s="105" t="str">
        <f t="shared" si="0"/>
        <v>1900-2008, ca. 140 regions, 1900-2008</v>
      </c>
      <c r="AA21" s="105" t="str">
        <f t="shared" si="0"/>
        <v>1900-2008, ca. 140 regions, 1900-2008</v>
      </c>
      <c r="AB21" s="105" t="str">
        <f t="shared" si="0"/>
        <v>1900-2008, ca. 140 regions, 1900-2008</v>
      </c>
      <c r="AC21" s="105" t="str">
        <f t="shared" si="0"/>
        <v>1900-2008, ca. 140 regions, 1900-2008</v>
      </c>
      <c r="AD21" s="105" t="str">
        <f t="shared" si="0"/>
        <v>1900-2008, ca. 140 regions, 1900-2008</v>
      </c>
      <c r="AE21" s="105" t="str">
        <f t="shared" si="0"/>
        <v>1900-2008, ca. 140 regions, 1900-2008</v>
      </c>
      <c r="AF21" s="105" t="str">
        <f t="shared" si="0"/>
        <v>1900-2008, ca. 140 regions, 1900-2008</v>
      </c>
      <c r="AG21" s="105" t="str">
        <f t="shared" si="0"/>
        <v>1900-2008, ca. 140 regions, 1900-2008</v>
      </c>
      <c r="AH21" s="105" t="str">
        <f t="shared" si="0"/>
        <v>1900-2008, ca. 140 regions, 1900-2008</v>
      </c>
      <c r="AI21" s="105" t="str">
        <f t="shared" si="0"/>
        <v>1900-2008, ca. 140 regions, 1900-2008</v>
      </c>
      <c r="AJ21" s="105" t="str">
        <f t="shared" si="0"/>
        <v>1900-2008, ca. 140 regions, 1900-2008</v>
      </c>
      <c r="AK21" s="105" t="str">
        <f t="shared" si="0"/>
        <v>1900-2008, ca. 140 regions, 1900-2008</v>
      </c>
      <c r="AL21" s="105" t="str">
        <f t="shared" si="0"/>
        <v>1900-2008, ca. 140 regions, 1900-2008</v>
      </c>
      <c r="AM21" s="105" t="str">
        <f t="shared" si="0"/>
        <v>1900-2008, ca. 140 regions, 1900-2008</v>
      </c>
      <c r="AN21" s="105" t="str">
        <f t="shared" si="0"/>
        <v>1900-2008, ca. 140 regions, 1900-2008</v>
      </c>
      <c r="AO21" s="105" t="str">
        <f t="shared" si="0"/>
        <v>1900-2008, ca. 140 regions, 1900-2008</v>
      </c>
      <c r="AP21" s="105" t="str">
        <f t="shared" si="0"/>
        <v>1900-2008, ca. 140 regions, 1900-2008</v>
      </c>
      <c r="AQ21" s="105" t="str">
        <f t="shared" si="0"/>
        <v>1900-2008, ca. 140 regions, 1900-2008</v>
      </c>
      <c r="AR21" s="105" t="str">
        <f t="shared" si="0"/>
        <v>1900-2008, ca. 140 regions, 1900-2008</v>
      </c>
      <c r="AS21" s="105" t="str">
        <f t="shared" si="0"/>
        <v>1900-2008, ca. 140 regions, 1900-2008</v>
      </c>
      <c r="AT21" s="105" t="str">
        <f t="shared" si="0"/>
        <v>1900-2008, ca. 140 regions, 1900-2008</v>
      </c>
      <c r="AU21" s="105" t="str">
        <f t="shared" si="0"/>
        <v>1900-2008, ca. 140 regions, 1900-2008</v>
      </c>
      <c r="AV21" s="105" t="str">
        <f t="shared" si="0"/>
        <v>1900-2008, ca. 140 regions, 1900-2008</v>
      </c>
      <c r="AW21" s="105" t="str">
        <f t="shared" si="0"/>
        <v>1900-2008, ca. 140 regions, 1900-2008</v>
      </c>
      <c r="AX21" s="106"/>
      <c r="AY21" s="106"/>
      <c r="AZ21" s="106"/>
      <c r="BA21" s="2"/>
      <c r="BB21" s="2"/>
      <c r="BC21" s="2"/>
      <c r="BD21" s="2"/>
      <c r="BE21" s="2"/>
      <c r="BF21" s="2"/>
      <c r="BG21" s="106"/>
      <c r="BH21" s="106"/>
      <c r="BI21" s="106"/>
      <c r="BJ21" s="106"/>
      <c r="BK21" s="106"/>
      <c r="BL21" s="106"/>
      <c r="BM21" s="106"/>
      <c r="BN21" s="106"/>
      <c r="BO21" s="106"/>
      <c r="BP21" s="106"/>
      <c r="BQ21" s="106"/>
      <c r="BR21" s="106"/>
      <c r="BS21" s="106"/>
      <c r="BT21" s="106"/>
    </row>
    <row r="22" spans="2:72" ht="13.8" x14ac:dyDescent="0.25">
      <c r="B22" s="310"/>
      <c r="C22" s="56" t="s">
        <v>437</v>
      </c>
      <c r="D22" s="14" t="s">
        <v>442</v>
      </c>
      <c r="E22" s="2" t="s">
        <v>221</v>
      </c>
      <c r="F22" s="2" t="s">
        <v>234</v>
      </c>
      <c r="G22" s="2" t="s">
        <v>235</v>
      </c>
      <c r="H22" s="2" t="s">
        <v>236</v>
      </c>
      <c r="I22" s="105" t="str">
        <f t="shared" ref="I22:AW22" si="1">"iron, steel, steel cycle,  "&amp;I19</f>
        <v>iron, steel, steel cycle,  1900-2008</v>
      </c>
      <c r="J22" s="105" t="str">
        <f t="shared" si="1"/>
        <v>iron, steel, steel cycle,  1900-2008</v>
      </c>
      <c r="K22" s="105" t="str">
        <f t="shared" si="1"/>
        <v>iron, steel, steel cycle,  1900-2008</v>
      </c>
      <c r="L22" s="105" t="str">
        <f t="shared" si="1"/>
        <v>iron, steel, steel cycle,  1900-2008</v>
      </c>
      <c r="M22" s="105" t="str">
        <f t="shared" si="1"/>
        <v>iron, steel, steel cycle,  1900-2008</v>
      </c>
      <c r="N22" s="105" t="str">
        <f t="shared" si="1"/>
        <v>iron, steel, steel cycle,  1900-2008</v>
      </c>
      <c r="O22" s="105" t="str">
        <f t="shared" si="1"/>
        <v>iron, steel, steel cycle,  1900-2008</v>
      </c>
      <c r="P22" s="105" t="str">
        <f t="shared" si="1"/>
        <v>iron, steel, steel cycle,  1900-2008</v>
      </c>
      <c r="Q22" s="105" t="str">
        <f t="shared" si="1"/>
        <v>iron, steel, steel cycle,  1900-2008</v>
      </c>
      <c r="R22" s="105" t="str">
        <f t="shared" si="1"/>
        <v>iron, steel, steel cycle,  1900-2008</v>
      </c>
      <c r="S22" s="105" t="str">
        <f t="shared" si="1"/>
        <v>iron, steel, steel cycle,  1900-2008</v>
      </c>
      <c r="T22" s="105" t="str">
        <f t="shared" si="1"/>
        <v>iron, steel, steel cycle,  1900-2008</v>
      </c>
      <c r="U22" s="105" t="str">
        <f t="shared" si="1"/>
        <v>iron, steel, steel cycle,  1900-2008</v>
      </c>
      <c r="V22" s="105" t="str">
        <f t="shared" si="1"/>
        <v>iron, steel, steel cycle,  1900-2008</v>
      </c>
      <c r="W22" s="105" t="str">
        <f t="shared" si="1"/>
        <v>iron, steel, steel cycle,  1900-2008</v>
      </c>
      <c r="X22" s="105" t="str">
        <f t="shared" si="1"/>
        <v>iron, steel, steel cycle,  1900-2008</v>
      </c>
      <c r="Y22" s="105" t="str">
        <f t="shared" si="1"/>
        <v>iron, steel, steel cycle,  1900-2008</v>
      </c>
      <c r="Z22" s="105" t="str">
        <f t="shared" si="1"/>
        <v>iron, steel, steel cycle,  1900-2008</v>
      </c>
      <c r="AA22" s="105" t="str">
        <f t="shared" si="1"/>
        <v>iron, steel, steel cycle,  1900-2008</v>
      </c>
      <c r="AB22" s="105" t="str">
        <f t="shared" si="1"/>
        <v>iron, steel, steel cycle,  1900-2008</v>
      </c>
      <c r="AC22" s="105" t="str">
        <f t="shared" si="1"/>
        <v>iron, steel, steel cycle,  1900-2008</v>
      </c>
      <c r="AD22" s="105" t="str">
        <f t="shared" si="1"/>
        <v>iron, steel, steel cycle,  1900-2008</v>
      </c>
      <c r="AE22" s="105" t="str">
        <f t="shared" si="1"/>
        <v>iron, steel, steel cycle,  1900-2008</v>
      </c>
      <c r="AF22" s="105" t="str">
        <f t="shared" si="1"/>
        <v>iron, steel, steel cycle,  1900-2008</v>
      </c>
      <c r="AG22" s="105" t="str">
        <f t="shared" si="1"/>
        <v>iron, steel, steel cycle,  1900-2008</v>
      </c>
      <c r="AH22" s="105" t="str">
        <f t="shared" si="1"/>
        <v>iron, steel, steel cycle,  1900-2008</v>
      </c>
      <c r="AI22" s="105" t="str">
        <f t="shared" si="1"/>
        <v>iron, steel, steel cycle,  1900-2008</v>
      </c>
      <c r="AJ22" s="105" t="str">
        <f t="shared" si="1"/>
        <v>iron, steel, steel cycle,  1900-2008</v>
      </c>
      <c r="AK22" s="105" t="str">
        <f t="shared" si="1"/>
        <v>iron, steel, steel cycle,  1900-2008</v>
      </c>
      <c r="AL22" s="105" t="str">
        <f t="shared" si="1"/>
        <v>iron, steel, steel cycle,  1900-2008</v>
      </c>
      <c r="AM22" s="105" t="str">
        <f t="shared" si="1"/>
        <v>iron, steel, steel cycle,  1900-2008</v>
      </c>
      <c r="AN22" s="105" t="str">
        <f t="shared" si="1"/>
        <v>iron, steel, steel cycle,  1900-2008</v>
      </c>
      <c r="AO22" s="105" t="str">
        <f t="shared" si="1"/>
        <v>iron, steel, steel cycle,  1900-2008</v>
      </c>
      <c r="AP22" s="105" t="str">
        <f t="shared" si="1"/>
        <v>iron, steel, steel cycle,  1900-2008</v>
      </c>
      <c r="AQ22" s="105" t="str">
        <f t="shared" si="1"/>
        <v>iron, steel, steel cycle,  1900-2008</v>
      </c>
      <c r="AR22" s="105" t="str">
        <f t="shared" si="1"/>
        <v>iron, steel, steel cycle,  1900-2008</v>
      </c>
      <c r="AS22" s="105" t="str">
        <f t="shared" si="1"/>
        <v>iron, steel, steel cycle,  1900-2008</v>
      </c>
      <c r="AT22" s="105" t="str">
        <f t="shared" si="1"/>
        <v>iron, steel, steel cycle,  1900-2008</v>
      </c>
      <c r="AU22" s="105" t="str">
        <f t="shared" si="1"/>
        <v>iron, steel, steel cycle,  1900-2008</v>
      </c>
      <c r="AV22" s="105" t="str">
        <f t="shared" si="1"/>
        <v>iron, steel, steel cycle,  1900-2008</v>
      </c>
      <c r="AW22" s="105" t="str">
        <f t="shared" si="1"/>
        <v>iron, steel, steel cycle,  1900-2008</v>
      </c>
      <c r="AX22" s="106"/>
      <c r="AY22" s="106"/>
      <c r="AZ22" s="106"/>
      <c r="BA22" s="2"/>
      <c r="BB22" s="2"/>
      <c r="BC22" s="2"/>
      <c r="BD22" s="2"/>
      <c r="BE22" s="2"/>
      <c r="BF22" s="2"/>
      <c r="BG22" s="106"/>
      <c r="BH22" s="106"/>
      <c r="BI22" s="106"/>
      <c r="BJ22" s="106"/>
      <c r="BK22" s="106"/>
      <c r="BL22" s="106"/>
      <c r="BM22" s="106"/>
      <c r="BN22" s="106"/>
      <c r="BO22" s="106"/>
      <c r="BP22" s="106"/>
      <c r="BQ22" s="106"/>
      <c r="BR22" s="106"/>
      <c r="BS22" s="106"/>
      <c r="BT22" s="106"/>
    </row>
    <row r="23" spans="2:72" ht="13.8" x14ac:dyDescent="0.25">
      <c r="B23" s="310"/>
      <c r="C23" s="55" t="s">
        <v>461</v>
      </c>
      <c r="D23" s="14" t="s">
        <v>442</v>
      </c>
      <c r="E23" s="2" t="s">
        <v>24</v>
      </c>
      <c r="F23" s="2" t="s">
        <v>24</v>
      </c>
      <c r="G23" s="2" t="s">
        <v>24</v>
      </c>
      <c r="H23" s="2" t="s">
        <v>24</v>
      </c>
      <c r="I23" s="2" t="s">
        <v>24</v>
      </c>
      <c r="J23" s="2" t="s">
        <v>24</v>
      </c>
      <c r="K23" s="2" t="s">
        <v>24</v>
      </c>
      <c r="L23" s="2" t="s">
        <v>24</v>
      </c>
      <c r="M23" s="2" t="s">
        <v>24</v>
      </c>
      <c r="N23" s="2" t="s">
        <v>24</v>
      </c>
      <c r="O23" s="2" t="s">
        <v>24</v>
      </c>
      <c r="P23" s="2" t="s">
        <v>24</v>
      </c>
      <c r="Q23" s="2" t="s">
        <v>24</v>
      </c>
      <c r="R23" s="2" t="s">
        <v>24</v>
      </c>
      <c r="S23" s="2" t="s">
        <v>24</v>
      </c>
      <c r="T23" s="2" t="s">
        <v>24</v>
      </c>
      <c r="U23" s="2" t="s">
        <v>24</v>
      </c>
      <c r="V23" s="2" t="s">
        <v>24</v>
      </c>
      <c r="W23" s="2" t="s">
        <v>24</v>
      </c>
      <c r="X23" s="2" t="s">
        <v>24</v>
      </c>
      <c r="Y23" s="2" t="s">
        <v>24</v>
      </c>
      <c r="Z23" s="2" t="s">
        <v>24</v>
      </c>
      <c r="AA23" s="2" t="s">
        <v>24</v>
      </c>
      <c r="AB23" s="2" t="s">
        <v>24</v>
      </c>
      <c r="AC23" s="2" t="s">
        <v>24</v>
      </c>
      <c r="AD23" s="2" t="s">
        <v>24</v>
      </c>
      <c r="AE23" s="2" t="s">
        <v>24</v>
      </c>
      <c r="AF23" s="2" t="s">
        <v>24</v>
      </c>
      <c r="AG23" s="2" t="s">
        <v>24</v>
      </c>
      <c r="AH23" s="2" t="s">
        <v>24</v>
      </c>
      <c r="AI23" s="2" t="s">
        <v>24</v>
      </c>
      <c r="AJ23" s="2" t="s">
        <v>24</v>
      </c>
      <c r="AK23" s="2" t="s">
        <v>24</v>
      </c>
      <c r="AL23" s="2" t="s">
        <v>24</v>
      </c>
      <c r="AM23" s="2" t="s">
        <v>24</v>
      </c>
      <c r="AN23" s="2" t="s">
        <v>24</v>
      </c>
      <c r="AO23" s="2" t="s">
        <v>24</v>
      </c>
      <c r="AP23" s="2" t="s">
        <v>24</v>
      </c>
      <c r="AQ23" s="2" t="s">
        <v>24</v>
      </c>
      <c r="AR23" s="2" t="s">
        <v>24</v>
      </c>
      <c r="AS23" s="2" t="s">
        <v>24</v>
      </c>
      <c r="AT23" s="2" t="s">
        <v>24</v>
      </c>
      <c r="AU23" s="2" t="s">
        <v>24</v>
      </c>
      <c r="AV23" s="2" t="s">
        <v>24</v>
      </c>
      <c r="AW23" s="2" t="s">
        <v>24</v>
      </c>
      <c r="AX23" s="2"/>
      <c r="AY23" s="2"/>
      <c r="AZ23" s="2"/>
      <c r="BA23" s="2"/>
      <c r="BB23" s="2"/>
      <c r="BC23" s="2"/>
      <c r="BD23" s="2"/>
      <c r="BE23" s="2"/>
      <c r="BF23" s="2"/>
      <c r="BG23" s="2"/>
      <c r="BH23" s="2"/>
      <c r="BI23" s="2"/>
      <c r="BJ23" s="2"/>
      <c r="BK23" s="2"/>
      <c r="BL23" s="2"/>
      <c r="BM23" s="2"/>
      <c r="BN23" s="2"/>
      <c r="BO23" s="2"/>
      <c r="BP23" s="2"/>
      <c r="BQ23" s="2"/>
      <c r="BR23" s="2"/>
      <c r="BS23" s="2"/>
      <c r="BT23" s="2"/>
    </row>
    <row r="24" spans="2:72" ht="13.8" x14ac:dyDescent="0.25">
      <c r="B24" s="310"/>
      <c r="C24" s="55" t="s">
        <v>462</v>
      </c>
      <c r="D24" s="14" t="s">
        <v>442</v>
      </c>
      <c r="E24" s="105">
        <v>0</v>
      </c>
      <c r="F24" s="105">
        <v>0</v>
      </c>
      <c r="G24" s="105">
        <v>0</v>
      </c>
      <c r="H24" s="105">
        <v>0</v>
      </c>
      <c r="I24" s="105">
        <v>0</v>
      </c>
      <c r="J24" s="105">
        <v>0</v>
      </c>
      <c r="K24" s="105">
        <v>0</v>
      </c>
      <c r="L24" s="105">
        <v>0</v>
      </c>
      <c r="M24" s="105">
        <v>0</v>
      </c>
      <c r="N24" s="105">
        <v>0</v>
      </c>
      <c r="O24" s="105">
        <v>0</v>
      </c>
      <c r="P24" s="105">
        <v>0</v>
      </c>
      <c r="Q24" s="105">
        <v>0</v>
      </c>
      <c r="R24" s="105">
        <v>0</v>
      </c>
      <c r="S24" s="105">
        <v>0</v>
      </c>
      <c r="T24" s="105">
        <v>0</v>
      </c>
      <c r="U24" s="105">
        <v>0</v>
      </c>
      <c r="V24" s="105">
        <v>0</v>
      </c>
      <c r="W24" s="105">
        <v>0</v>
      </c>
      <c r="X24" s="105">
        <v>0</v>
      </c>
      <c r="Y24" s="105">
        <v>0</v>
      </c>
      <c r="Z24" s="105">
        <v>0</v>
      </c>
      <c r="AA24" s="105">
        <v>0</v>
      </c>
      <c r="AB24" s="105">
        <v>0</v>
      </c>
      <c r="AC24" s="105">
        <v>0</v>
      </c>
      <c r="AD24" s="105">
        <v>0</v>
      </c>
      <c r="AE24" s="105">
        <v>0</v>
      </c>
      <c r="AF24" s="105">
        <v>0</v>
      </c>
      <c r="AG24" s="105">
        <v>0</v>
      </c>
      <c r="AH24" s="105">
        <v>0</v>
      </c>
      <c r="AI24" s="105">
        <v>0</v>
      </c>
      <c r="AJ24" s="105">
        <v>0</v>
      </c>
      <c r="AK24" s="105">
        <v>0</v>
      </c>
      <c r="AL24" s="105">
        <v>0</v>
      </c>
      <c r="AM24" s="105">
        <v>0</v>
      </c>
      <c r="AN24" s="105">
        <v>0</v>
      </c>
      <c r="AO24" s="105">
        <v>0</v>
      </c>
      <c r="AP24" s="105">
        <v>0</v>
      </c>
      <c r="AQ24" s="105">
        <v>0</v>
      </c>
      <c r="AR24" s="105">
        <v>0</v>
      </c>
      <c r="AS24" s="105">
        <v>0</v>
      </c>
      <c r="AT24" s="105">
        <v>0</v>
      </c>
      <c r="AU24" s="105">
        <v>0</v>
      </c>
      <c r="AV24" s="105">
        <v>0</v>
      </c>
      <c r="AW24" s="105">
        <v>0</v>
      </c>
      <c r="AX24" s="105"/>
      <c r="AY24" s="105"/>
      <c r="AZ24" s="105"/>
      <c r="BA24" s="2"/>
      <c r="BB24" s="2"/>
      <c r="BC24" s="2"/>
      <c r="BD24" s="4"/>
      <c r="BE24" s="4"/>
      <c r="BF24" s="4"/>
      <c r="BG24" s="105"/>
      <c r="BH24" s="105"/>
      <c r="BI24" s="105"/>
      <c r="BJ24" s="105"/>
      <c r="BK24" s="105"/>
      <c r="BL24" s="105"/>
      <c r="BM24" s="105"/>
      <c r="BN24" s="105"/>
      <c r="BO24" s="105"/>
      <c r="BP24" s="105"/>
      <c r="BQ24" s="105"/>
      <c r="BR24" s="105"/>
      <c r="BS24" s="105"/>
      <c r="BT24" s="105"/>
    </row>
    <row r="25" spans="2:72" ht="14.4" x14ac:dyDescent="0.3">
      <c r="B25" s="310"/>
      <c r="C25" s="56" t="s">
        <v>438</v>
      </c>
      <c r="D25" s="29"/>
      <c r="E25" s="6" t="s">
        <v>11</v>
      </c>
      <c r="F25" s="6" t="s">
        <v>11</v>
      </c>
      <c r="G25" s="6" t="s">
        <v>11</v>
      </c>
      <c r="H25" s="6" t="s">
        <v>11</v>
      </c>
      <c r="I25" s="6" t="s">
        <v>11</v>
      </c>
      <c r="J25" s="6" t="s">
        <v>11</v>
      </c>
      <c r="K25" s="6" t="s">
        <v>11</v>
      </c>
      <c r="L25" s="6" t="s">
        <v>11</v>
      </c>
      <c r="M25" s="6" t="s">
        <v>11</v>
      </c>
      <c r="N25" s="6" t="s">
        <v>11</v>
      </c>
      <c r="O25" s="6" t="s">
        <v>11</v>
      </c>
      <c r="P25" s="6" t="s">
        <v>11</v>
      </c>
      <c r="Q25" s="6" t="s">
        <v>11</v>
      </c>
      <c r="R25" s="6" t="s">
        <v>11</v>
      </c>
      <c r="S25" s="6" t="s">
        <v>11</v>
      </c>
      <c r="T25" s="6" t="s">
        <v>11</v>
      </c>
      <c r="U25" s="6" t="s">
        <v>11</v>
      </c>
      <c r="V25" s="6" t="s">
        <v>11</v>
      </c>
      <c r="W25" s="6" t="s">
        <v>11</v>
      </c>
      <c r="X25" s="6" t="s">
        <v>11</v>
      </c>
      <c r="Y25" s="6" t="s">
        <v>11</v>
      </c>
      <c r="Z25" s="6" t="s">
        <v>11</v>
      </c>
      <c r="AA25" s="6" t="s">
        <v>11</v>
      </c>
      <c r="AB25" s="6" t="s">
        <v>11</v>
      </c>
      <c r="AC25" s="6" t="s">
        <v>11</v>
      </c>
      <c r="AD25" s="6" t="s">
        <v>11</v>
      </c>
      <c r="AE25" s="6" t="s">
        <v>11</v>
      </c>
      <c r="AF25" s="6" t="s">
        <v>11</v>
      </c>
      <c r="AG25" s="6" t="s">
        <v>11</v>
      </c>
      <c r="AH25" s="6" t="s">
        <v>11</v>
      </c>
      <c r="AI25" s="6" t="s">
        <v>11</v>
      </c>
      <c r="AJ25" s="6" t="s">
        <v>11</v>
      </c>
      <c r="AK25" s="6" t="s">
        <v>11</v>
      </c>
      <c r="AL25" s="6" t="s">
        <v>11</v>
      </c>
      <c r="AM25" s="6" t="s">
        <v>11</v>
      </c>
      <c r="AN25" s="6" t="s">
        <v>11</v>
      </c>
      <c r="AO25" s="6" t="s">
        <v>11</v>
      </c>
      <c r="AP25" s="6" t="s">
        <v>11</v>
      </c>
      <c r="AQ25" s="6" t="s">
        <v>11</v>
      </c>
      <c r="AR25" s="6" t="s">
        <v>11</v>
      </c>
      <c r="AS25" s="6" t="s">
        <v>11</v>
      </c>
      <c r="AT25" s="6" t="s">
        <v>11</v>
      </c>
      <c r="AU25" s="6" t="s">
        <v>11</v>
      </c>
      <c r="AV25" s="6" t="s">
        <v>11</v>
      </c>
      <c r="AW25" s="6" t="s">
        <v>11</v>
      </c>
      <c r="AX25" s="6"/>
      <c r="AY25" s="6"/>
      <c r="AZ25" s="6"/>
      <c r="BA25" s="2"/>
      <c r="BB25" s="2"/>
      <c r="BC25" s="2"/>
      <c r="BD25" s="6"/>
      <c r="BE25" s="6"/>
      <c r="BF25" s="6"/>
      <c r="BG25" s="6"/>
      <c r="BH25" s="6"/>
      <c r="BI25" s="6"/>
      <c r="BJ25" s="6"/>
      <c r="BK25" s="6"/>
      <c r="BL25" s="6"/>
      <c r="BM25" s="6"/>
      <c r="BN25" s="6"/>
      <c r="BO25" s="6"/>
      <c r="BP25" s="6"/>
      <c r="BQ25" s="6"/>
      <c r="BR25" s="6"/>
      <c r="BS25" s="6"/>
      <c r="BT25" s="6"/>
    </row>
    <row r="26" spans="2:72" ht="14.1" customHeight="1" x14ac:dyDescent="0.25">
      <c r="B26" s="311" t="s">
        <v>7</v>
      </c>
      <c r="C26" s="55" t="s">
        <v>463</v>
      </c>
      <c r="D26" s="14" t="s">
        <v>442</v>
      </c>
      <c r="E26" s="38" t="s">
        <v>697</v>
      </c>
      <c r="F26" s="38" t="s">
        <v>697</v>
      </c>
      <c r="G26" s="38" t="s">
        <v>697</v>
      </c>
      <c r="H26" s="38" t="s">
        <v>697</v>
      </c>
      <c r="I26" s="38" t="s">
        <v>701</v>
      </c>
      <c r="J26" s="38" t="s">
        <v>701</v>
      </c>
      <c r="K26" s="38" t="s">
        <v>701</v>
      </c>
      <c r="L26" s="38" t="s">
        <v>701</v>
      </c>
      <c r="M26" s="38" t="s">
        <v>701</v>
      </c>
      <c r="N26" s="38" t="s">
        <v>701</v>
      </c>
      <c r="O26" s="38" t="s">
        <v>701</v>
      </c>
      <c r="P26" s="38" t="s">
        <v>701</v>
      </c>
      <c r="Q26" s="38" t="s">
        <v>701</v>
      </c>
      <c r="R26" s="38" t="s">
        <v>701</v>
      </c>
      <c r="S26" s="38" t="s">
        <v>701</v>
      </c>
      <c r="T26" s="38" t="s">
        <v>701</v>
      </c>
      <c r="U26" s="38" t="s">
        <v>701</v>
      </c>
      <c r="V26" s="38" t="s">
        <v>701</v>
      </c>
      <c r="W26" s="38" t="s">
        <v>701</v>
      </c>
      <c r="X26" s="38" t="s">
        <v>701</v>
      </c>
      <c r="Y26" s="38" t="s">
        <v>701</v>
      </c>
      <c r="Z26" s="38" t="s">
        <v>701</v>
      </c>
      <c r="AA26" s="38" t="s">
        <v>701</v>
      </c>
      <c r="AB26" s="38" t="s">
        <v>701</v>
      </c>
      <c r="AC26" s="38" t="s">
        <v>701</v>
      </c>
      <c r="AD26" s="38" t="s">
        <v>701</v>
      </c>
      <c r="AE26" s="38" t="s">
        <v>701</v>
      </c>
      <c r="AF26" s="38" t="s">
        <v>701</v>
      </c>
      <c r="AG26" s="38" t="s">
        <v>701</v>
      </c>
      <c r="AH26" s="38" t="s">
        <v>701</v>
      </c>
      <c r="AI26" s="38" t="s">
        <v>701</v>
      </c>
      <c r="AJ26" s="38" t="s">
        <v>701</v>
      </c>
      <c r="AK26" s="38" t="s">
        <v>701</v>
      </c>
      <c r="AL26" s="38" t="s">
        <v>701</v>
      </c>
      <c r="AM26" s="38" t="s">
        <v>701</v>
      </c>
      <c r="AN26" s="38" t="s">
        <v>701</v>
      </c>
      <c r="AO26" s="38" t="s">
        <v>701</v>
      </c>
      <c r="AP26" s="38" t="s">
        <v>701</v>
      </c>
      <c r="AQ26" s="38" t="s">
        <v>701</v>
      </c>
      <c r="AR26" s="38" t="s">
        <v>701</v>
      </c>
      <c r="AS26" s="38" t="s">
        <v>701</v>
      </c>
      <c r="AT26" s="38" t="s">
        <v>701</v>
      </c>
      <c r="AU26" s="38" t="s">
        <v>701</v>
      </c>
      <c r="AV26" s="38" t="s">
        <v>701</v>
      </c>
      <c r="AW26" s="38" t="s">
        <v>701</v>
      </c>
      <c r="AX26" s="38"/>
      <c r="AY26" s="38"/>
      <c r="AZ26" s="38"/>
      <c r="BA26" s="2"/>
      <c r="BB26" s="2"/>
      <c r="BC26" s="2"/>
      <c r="BD26" s="38"/>
      <c r="BE26" s="38"/>
      <c r="BF26" s="38"/>
      <c r="BG26" s="38"/>
      <c r="BH26" s="38"/>
      <c r="BI26" s="38"/>
      <c r="BJ26" s="38"/>
      <c r="BK26" s="38"/>
      <c r="BL26" s="38"/>
      <c r="BM26" s="38"/>
      <c r="BN26" s="38"/>
      <c r="BO26" s="38"/>
      <c r="BP26" s="38"/>
      <c r="BQ26" s="38"/>
      <c r="BR26" s="38"/>
      <c r="BS26" s="38"/>
      <c r="BT26" s="38"/>
    </row>
    <row r="27" spans="2:72" ht="13.8" x14ac:dyDescent="0.25">
      <c r="B27" s="311"/>
      <c r="C27" s="55" t="s">
        <v>464</v>
      </c>
      <c r="D27" s="14" t="s">
        <v>442</v>
      </c>
      <c r="E27" s="42">
        <v>16</v>
      </c>
      <c r="F27" s="42">
        <v>16</v>
      </c>
      <c r="G27" s="42">
        <v>16</v>
      </c>
      <c r="H27" s="42">
        <v>16</v>
      </c>
      <c r="I27" s="42">
        <v>1</v>
      </c>
      <c r="J27" s="42">
        <v>1</v>
      </c>
      <c r="K27" s="42">
        <v>1</v>
      </c>
      <c r="L27" s="42">
        <v>1</v>
      </c>
      <c r="M27" s="42">
        <v>1</v>
      </c>
      <c r="N27" s="42">
        <v>1</v>
      </c>
      <c r="O27" s="42">
        <v>1</v>
      </c>
      <c r="P27" s="42">
        <v>1</v>
      </c>
      <c r="Q27" s="42">
        <v>1</v>
      </c>
      <c r="R27" s="42">
        <v>1</v>
      </c>
      <c r="S27" s="42">
        <v>1</v>
      </c>
      <c r="T27" s="42">
        <v>1</v>
      </c>
      <c r="U27" s="42">
        <v>1</v>
      </c>
      <c r="V27" s="42">
        <v>1</v>
      </c>
      <c r="W27" s="42">
        <v>1</v>
      </c>
      <c r="X27" s="42">
        <v>1</v>
      </c>
      <c r="Y27" s="42">
        <v>1</v>
      </c>
      <c r="Z27" s="42">
        <v>1</v>
      </c>
      <c r="AA27" s="42">
        <v>1</v>
      </c>
      <c r="AB27" s="42">
        <v>1</v>
      </c>
      <c r="AC27" s="42">
        <v>1</v>
      </c>
      <c r="AD27" s="42">
        <v>1</v>
      </c>
      <c r="AE27" s="42">
        <v>1</v>
      </c>
      <c r="AF27" s="42">
        <v>1</v>
      </c>
      <c r="AG27" s="42">
        <v>1</v>
      </c>
      <c r="AH27" s="42">
        <v>1</v>
      </c>
      <c r="AI27" s="42">
        <v>1</v>
      </c>
      <c r="AJ27" s="42">
        <v>1</v>
      </c>
      <c r="AK27" s="42">
        <v>1</v>
      </c>
      <c r="AL27" s="42">
        <v>1</v>
      </c>
      <c r="AM27" s="42">
        <v>1</v>
      </c>
      <c r="AN27" s="42">
        <v>1</v>
      </c>
      <c r="AO27" s="42">
        <v>1</v>
      </c>
      <c r="AP27" s="42">
        <v>1</v>
      </c>
      <c r="AQ27" s="42">
        <v>1</v>
      </c>
      <c r="AR27" s="42">
        <v>1</v>
      </c>
      <c r="AS27" s="42">
        <v>1</v>
      </c>
      <c r="AT27" s="42">
        <v>1</v>
      </c>
      <c r="AU27" s="42">
        <v>1</v>
      </c>
      <c r="AV27" s="42">
        <v>1</v>
      </c>
      <c r="AW27" s="42">
        <v>1</v>
      </c>
      <c r="AX27" s="42"/>
      <c r="AY27" s="42"/>
      <c r="AZ27" s="42"/>
      <c r="BA27" s="2"/>
      <c r="BB27" s="2"/>
      <c r="BC27" s="2"/>
      <c r="BD27" s="42"/>
      <c r="BE27" s="42"/>
      <c r="BF27" s="42"/>
      <c r="BG27" s="42"/>
      <c r="BH27" s="42"/>
      <c r="BI27" s="42"/>
      <c r="BJ27" s="42"/>
      <c r="BK27" s="42"/>
      <c r="BL27" s="42"/>
      <c r="BM27" s="42"/>
      <c r="BN27" s="42"/>
      <c r="BO27" s="42"/>
      <c r="BP27" s="42"/>
      <c r="BQ27" s="42"/>
      <c r="BR27" s="42"/>
      <c r="BS27" s="42"/>
      <c r="BT27" s="42"/>
    </row>
    <row r="28" spans="2:72" ht="13.8" x14ac:dyDescent="0.25">
      <c r="B28" s="311"/>
      <c r="C28" s="55" t="s">
        <v>465</v>
      </c>
      <c r="D28" s="29"/>
      <c r="E28" s="38" t="s">
        <v>701</v>
      </c>
      <c r="F28" s="38" t="s">
        <v>701</v>
      </c>
      <c r="G28" s="38" t="s">
        <v>701</v>
      </c>
      <c r="H28" s="38" t="s">
        <v>701</v>
      </c>
      <c r="I28" s="66" t="s">
        <v>696</v>
      </c>
      <c r="J28" s="66" t="s">
        <v>696</v>
      </c>
      <c r="K28" s="66" t="s">
        <v>696</v>
      </c>
      <c r="L28" s="66" t="s">
        <v>696</v>
      </c>
      <c r="M28" s="66" t="s">
        <v>696</v>
      </c>
      <c r="N28" s="66" t="s">
        <v>696</v>
      </c>
      <c r="O28" s="66" t="s">
        <v>696</v>
      </c>
      <c r="P28" s="66" t="s">
        <v>696</v>
      </c>
      <c r="Q28" s="66" t="s">
        <v>696</v>
      </c>
      <c r="R28" s="66" t="s">
        <v>696</v>
      </c>
      <c r="S28" s="66" t="s">
        <v>696</v>
      </c>
      <c r="T28" s="66" t="s">
        <v>696</v>
      </c>
      <c r="U28" s="66" t="s">
        <v>696</v>
      </c>
      <c r="V28" s="66" t="s">
        <v>696</v>
      </c>
      <c r="W28" s="66" t="s">
        <v>696</v>
      </c>
      <c r="X28" s="66" t="s">
        <v>696</v>
      </c>
      <c r="Y28" s="66" t="s">
        <v>696</v>
      </c>
      <c r="Z28" s="66" t="s">
        <v>696</v>
      </c>
      <c r="AA28" s="66" t="s">
        <v>696</v>
      </c>
      <c r="AB28" s="66" t="s">
        <v>696</v>
      </c>
      <c r="AC28" s="66" t="s">
        <v>696</v>
      </c>
      <c r="AD28" s="66" t="s">
        <v>696</v>
      </c>
      <c r="AE28" s="66" t="s">
        <v>696</v>
      </c>
      <c r="AF28" s="66" t="s">
        <v>696</v>
      </c>
      <c r="AG28" s="66" t="s">
        <v>696</v>
      </c>
      <c r="AH28" s="66" t="s">
        <v>696</v>
      </c>
      <c r="AI28" s="66" t="s">
        <v>696</v>
      </c>
      <c r="AJ28" s="66" t="s">
        <v>696</v>
      </c>
      <c r="AK28" s="66" t="s">
        <v>696</v>
      </c>
      <c r="AL28" s="66" t="s">
        <v>696</v>
      </c>
      <c r="AM28" s="66" t="s">
        <v>696</v>
      </c>
      <c r="AN28" s="66" t="s">
        <v>696</v>
      </c>
      <c r="AO28" s="66" t="s">
        <v>696</v>
      </c>
      <c r="AP28" s="66" t="s">
        <v>696</v>
      </c>
      <c r="AQ28" s="66" t="s">
        <v>696</v>
      </c>
      <c r="AR28" s="66" t="s">
        <v>696</v>
      </c>
      <c r="AS28" s="66" t="s">
        <v>696</v>
      </c>
      <c r="AT28" s="66" t="s">
        <v>696</v>
      </c>
      <c r="AU28" s="66" t="s">
        <v>696</v>
      </c>
      <c r="AV28" s="66" t="s">
        <v>696</v>
      </c>
      <c r="AW28" s="66" t="s">
        <v>696</v>
      </c>
      <c r="AX28" s="66"/>
      <c r="AY28" s="66"/>
      <c r="AZ28" s="66"/>
      <c r="BA28" s="2"/>
      <c r="BB28" s="2"/>
      <c r="BC28" s="2"/>
      <c r="BD28" s="66"/>
      <c r="BE28" s="66"/>
      <c r="BF28" s="66"/>
      <c r="BG28" s="66"/>
      <c r="BH28" s="66"/>
      <c r="BI28" s="66"/>
      <c r="BJ28" s="66"/>
      <c r="BK28" s="66"/>
      <c r="BL28" s="66"/>
      <c r="BM28" s="66"/>
      <c r="BN28" s="66"/>
      <c r="BO28" s="66"/>
      <c r="BP28" s="66"/>
      <c r="BQ28" s="66"/>
      <c r="BR28" s="66"/>
      <c r="BS28" s="66"/>
      <c r="BT28" s="66"/>
    </row>
    <row r="29" spans="2:72" ht="13.8" x14ac:dyDescent="0.25">
      <c r="B29" s="311"/>
      <c r="C29" s="55" t="s">
        <v>466</v>
      </c>
      <c r="D29" s="29"/>
      <c r="E29" s="42">
        <v>1</v>
      </c>
      <c r="F29" s="42">
        <v>1</v>
      </c>
      <c r="G29" s="42">
        <v>1</v>
      </c>
      <c r="H29" s="42">
        <v>1</v>
      </c>
      <c r="I29" s="42">
        <v>23</v>
      </c>
      <c r="J29" s="42">
        <v>23</v>
      </c>
      <c r="K29" s="42">
        <v>23</v>
      </c>
      <c r="L29" s="42">
        <v>23</v>
      </c>
      <c r="M29" s="42">
        <v>23</v>
      </c>
      <c r="N29" s="42">
        <v>23</v>
      </c>
      <c r="O29" s="42">
        <v>23</v>
      </c>
      <c r="P29" s="42">
        <v>23</v>
      </c>
      <c r="Q29" s="42">
        <v>23</v>
      </c>
      <c r="R29" s="42">
        <v>23</v>
      </c>
      <c r="S29" s="42">
        <v>23</v>
      </c>
      <c r="T29" s="42">
        <v>23</v>
      </c>
      <c r="U29" s="42">
        <v>23</v>
      </c>
      <c r="V29" s="42">
        <v>23</v>
      </c>
      <c r="W29" s="42">
        <v>23</v>
      </c>
      <c r="X29" s="42">
        <v>23</v>
      </c>
      <c r="Y29" s="42">
        <v>23</v>
      </c>
      <c r="Z29" s="42">
        <v>23</v>
      </c>
      <c r="AA29" s="42">
        <v>23</v>
      </c>
      <c r="AB29" s="42">
        <v>23</v>
      </c>
      <c r="AC29" s="42">
        <v>23</v>
      </c>
      <c r="AD29" s="42">
        <v>23</v>
      </c>
      <c r="AE29" s="42">
        <v>23</v>
      </c>
      <c r="AF29" s="42">
        <v>23</v>
      </c>
      <c r="AG29" s="42">
        <v>23</v>
      </c>
      <c r="AH29" s="42">
        <v>23</v>
      </c>
      <c r="AI29" s="42">
        <v>23</v>
      </c>
      <c r="AJ29" s="42">
        <v>23</v>
      </c>
      <c r="AK29" s="42">
        <v>23</v>
      </c>
      <c r="AL29" s="42">
        <v>23</v>
      </c>
      <c r="AM29" s="42">
        <v>23</v>
      </c>
      <c r="AN29" s="42">
        <v>23</v>
      </c>
      <c r="AO29" s="42">
        <v>23</v>
      </c>
      <c r="AP29" s="42">
        <v>23</v>
      </c>
      <c r="AQ29" s="42">
        <v>23</v>
      </c>
      <c r="AR29" s="42">
        <v>23</v>
      </c>
      <c r="AS29" s="42">
        <v>23</v>
      </c>
      <c r="AT29" s="42">
        <v>23</v>
      </c>
      <c r="AU29" s="42">
        <v>23</v>
      </c>
      <c r="AV29" s="42">
        <v>23</v>
      </c>
      <c r="AW29" s="42">
        <v>23</v>
      </c>
      <c r="AX29" s="42"/>
      <c r="AY29" s="42"/>
      <c r="AZ29" s="42"/>
      <c r="BA29" s="2"/>
      <c r="BB29" s="2"/>
      <c r="BC29" s="2"/>
      <c r="BD29" s="42"/>
      <c r="BE29" s="42"/>
      <c r="BF29" s="42"/>
      <c r="BG29" s="42"/>
      <c r="BH29" s="42"/>
      <c r="BI29" s="42"/>
      <c r="BJ29" s="42"/>
      <c r="BK29" s="42"/>
      <c r="BL29" s="42"/>
      <c r="BM29" s="42"/>
      <c r="BN29" s="42"/>
      <c r="BO29" s="42"/>
      <c r="BP29" s="42"/>
      <c r="BQ29" s="42"/>
      <c r="BR29" s="42"/>
      <c r="BS29" s="42"/>
      <c r="BT29" s="42"/>
    </row>
    <row r="30" spans="2:72" ht="13.8" x14ac:dyDescent="0.25">
      <c r="B30" s="311"/>
      <c r="C30" s="55" t="s">
        <v>467</v>
      </c>
      <c r="D30" s="29"/>
      <c r="E30" s="38" t="s">
        <v>702</v>
      </c>
      <c r="F30" s="38" t="s">
        <v>702</v>
      </c>
      <c r="G30" s="38" t="s">
        <v>702</v>
      </c>
      <c r="H30" s="38" t="s">
        <v>702</v>
      </c>
      <c r="I30" s="38" t="s">
        <v>699</v>
      </c>
      <c r="J30" s="38" t="s">
        <v>699</v>
      </c>
      <c r="K30" s="38" t="s">
        <v>699</v>
      </c>
      <c r="L30" s="38" t="s">
        <v>699</v>
      </c>
      <c r="M30" s="38" t="s">
        <v>699</v>
      </c>
      <c r="N30" s="38" t="s">
        <v>699</v>
      </c>
      <c r="O30" s="38" t="s">
        <v>699</v>
      </c>
      <c r="P30" s="38" t="s">
        <v>699</v>
      </c>
      <c r="Q30" s="38" t="s">
        <v>699</v>
      </c>
      <c r="R30" s="38" t="s">
        <v>699</v>
      </c>
      <c r="S30" s="38" t="s">
        <v>699</v>
      </c>
      <c r="T30" s="38" t="s">
        <v>699</v>
      </c>
      <c r="U30" s="38" t="s">
        <v>699</v>
      </c>
      <c r="V30" s="38" t="s">
        <v>699</v>
      </c>
      <c r="W30" s="38" t="s">
        <v>699</v>
      </c>
      <c r="X30" s="38" t="s">
        <v>699</v>
      </c>
      <c r="Y30" s="38" t="s">
        <v>699</v>
      </c>
      <c r="Z30" s="38" t="s">
        <v>699</v>
      </c>
      <c r="AA30" s="38" t="s">
        <v>699</v>
      </c>
      <c r="AB30" s="38" t="s">
        <v>699</v>
      </c>
      <c r="AC30" s="38" t="s">
        <v>699</v>
      </c>
      <c r="AD30" s="38" t="s">
        <v>699</v>
      </c>
      <c r="AE30" s="38" t="s">
        <v>699</v>
      </c>
      <c r="AF30" s="38" t="s">
        <v>699</v>
      </c>
      <c r="AG30" s="38" t="s">
        <v>699</v>
      </c>
      <c r="AH30" s="38" t="s">
        <v>699</v>
      </c>
      <c r="AI30" s="38" t="s">
        <v>699</v>
      </c>
      <c r="AJ30" s="38" t="s">
        <v>699</v>
      </c>
      <c r="AK30" s="38" t="s">
        <v>699</v>
      </c>
      <c r="AL30" s="38" t="s">
        <v>699</v>
      </c>
      <c r="AM30" s="38" t="s">
        <v>699</v>
      </c>
      <c r="AN30" s="38" t="s">
        <v>699</v>
      </c>
      <c r="AO30" s="38" t="s">
        <v>699</v>
      </c>
      <c r="AP30" s="38" t="s">
        <v>699</v>
      </c>
      <c r="AQ30" s="38" t="s">
        <v>699</v>
      </c>
      <c r="AR30" s="38" t="s">
        <v>699</v>
      </c>
      <c r="AS30" s="38" t="s">
        <v>699</v>
      </c>
      <c r="AT30" s="38" t="s">
        <v>699</v>
      </c>
      <c r="AU30" s="38" t="s">
        <v>699</v>
      </c>
      <c r="AV30" s="38" t="s">
        <v>699</v>
      </c>
      <c r="AW30" s="38" t="s">
        <v>699</v>
      </c>
      <c r="AX30" s="38"/>
      <c r="AY30" s="38"/>
      <c r="AZ30" s="38"/>
      <c r="BA30" s="2"/>
      <c r="BB30" s="2"/>
      <c r="BC30" s="2"/>
      <c r="BD30" s="38"/>
      <c r="BE30" s="38"/>
      <c r="BF30" s="38"/>
      <c r="BG30" s="38"/>
      <c r="BH30" s="38"/>
      <c r="BI30" s="38"/>
      <c r="BJ30" s="38"/>
      <c r="BK30" s="38"/>
      <c r="BL30" s="38"/>
      <c r="BM30" s="38"/>
      <c r="BN30" s="38"/>
      <c r="BO30" s="38"/>
      <c r="BP30" s="38"/>
      <c r="BQ30" s="38"/>
      <c r="BR30" s="38"/>
      <c r="BS30" s="38"/>
      <c r="BT30" s="38"/>
    </row>
    <row r="31" spans="2:72" ht="13.8" x14ac:dyDescent="0.25">
      <c r="B31" s="311"/>
      <c r="C31" s="55" t="s">
        <v>468</v>
      </c>
      <c r="D31" s="29"/>
      <c r="E31" s="42">
        <v>3</v>
      </c>
      <c r="F31" s="42">
        <v>3</v>
      </c>
      <c r="G31" s="42">
        <v>3</v>
      </c>
      <c r="H31" s="42">
        <v>3</v>
      </c>
      <c r="I31" s="42">
        <v>16</v>
      </c>
      <c r="J31" s="42">
        <v>16</v>
      </c>
      <c r="K31" s="42">
        <v>16</v>
      </c>
      <c r="L31" s="42">
        <v>16</v>
      </c>
      <c r="M31" s="42">
        <v>16</v>
      </c>
      <c r="N31" s="42">
        <v>16</v>
      </c>
      <c r="O31" s="42">
        <v>16</v>
      </c>
      <c r="P31" s="42">
        <v>16</v>
      </c>
      <c r="Q31" s="42">
        <v>16</v>
      </c>
      <c r="R31" s="42">
        <v>16</v>
      </c>
      <c r="S31" s="42">
        <v>16</v>
      </c>
      <c r="T31" s="42">
        <v>16</v>
      </c>
      <c r="U31" s="42">
        <v>16</v>
      </c>
      <c r="V31" s="42">
        <v>16</v>
      </c>
      <c r="W31" s="42">
        <v>16</v>
      </c>
      <c r="X31" s="42">
        <v>16</v>
      </c>
      <c r="Y31" s="42">
        <v>16</v>
      </c>
      <c r="Z31" s="42">
        <v>16</v>
      </c>
      <c r="AA31" s="42">
        <v>16</v>
      </c>
      <c r="AB31" s="42">
        <v>16</v>
      </c>
      <c r="AC31" s="42">
        <v>16</v>
      </c>
      <c r="AD31" s="42">
        <v>16</v>
      </c>
      <c r="AE31" s="42">
        <v>16</v>
      </c>
      <c r="AF31" s="42">
        <v>16</v>
      </c>
      <c r="AG31" s="42">
        <v>16</v>
      </c>
      <c r="AH31" s="42">
        <v>16</v>
      </c>
      <c r="AI31" s="42">
        <v>16</v>
      </c>
      <c r="AJ31" s="42">
        <v>16</v>
      </c>
      <c r="AK31" s="42">
        <v>16</v>
      </c>
      <c r="AL31" s="42">
        <v>16</v>
      </c>
      <c r="AM31" s="42">
        <v>16</v>
      </c>
      <c r="AN31" s="42">
        <v>16</v>
      </c>
      <c r="AO31" s="42">
        <v>16</v>
      </c>
      <c r="AP31" s="42">
        <v>16</v>
      </c>
      <c r="AQ31" s="42">
        <v>16</v>
      </c>
      <c r="AR31" s="42">
        <v>16</v>
      </c>
      <c r="AS31" s="42">
        <v>16</v>
      </c>
      <c r="AT31" s="42">
        <v>16</v>
      </c>
      <c r="AU31" s="42">
        <v>16</v>
      </c>
      <c r="AV31" s="42">
        <v>16</v>
      </c>
      <c r="AW31" s="42">
        <v>16</v>
      </c>
      <c r="AX31" s="42"/>
      <c r="AY31" s="42"/>
      <c r="AZ31" s="42"/>
      <c r="BA31" s="2"/>
      <c r="BB31" s="2"/>
      <c r="BC31" s="2"/>
      <c r="BD31" s="42"/>
      <c r="BE31" s="42"/>
      <c r="BF31" s="42"/>
      <c r="BG31" s="42"/>
      <c r="BH31" s="42"/>
      <c r="BI31" s="42"/>
      <c r="BJ31" s="42"/>
      <c r="BK31" s="42"/>
      <c r="BL31" s="42"/>
      <c r="BM31" s="42"/>
      <c r="BN31" s="42"/>
      <c r="BO31" s="42"/>
      <c r="BP31" s="42"/>
      <c r="BQ31" s="42"/>
      <c r="BR31" s="42"/>
      <c r="BS31" s="42"/>
      <c r="BT31" s="42"/>
    </row>
    <row r="32" spans="2:72" ht="13.8" x14ac:dyDescent="0.25">
      <c r="B32" s="311"/>
      <c r="C32" s="55" t="s">
        <v>469</v>
      </c>
      <c r="D32" s="29"/>
      <c r="E32" s="66" t="s">
        <v>696</v>
      </c>
      <c r="F32" s="66" t="s">
        <v>696</v>
      </c>
      <c r="G32" s="66" t="s">
        <v>696</v>
      </c>
      <c r="H32" s="66" t="s">
        <v>696</v>
      </c>
      <c r="I32" s="88" t="s">
        <v>804</v>
      </c>
      <c r="J32" s="88" t="s">
        <v>804</v>
      </c>
      <c r="K32" s="88" t="s">
        <v>804</v>
      </c>
      <c r="L32" s="88" t="s">
        <v>804</v>
      </c>
      <c r="M32" s="88" t="s">
        <v>804</v>
      </c>
      <c r="N32" s="88" t="s">
        <v>804</v>
      </c>
      <c r="O32" s="88" t="s">
        <v>804</v>
      </c>
      <c r="P32" s="88" t="s">
        <v>804</v>
      </c>
      <c r="Q32" s="88" t="s">
        <v>804</v>
      </c>
      <c r="R32" s="88" t="s">
        <v>804</v>
      </c>
      <c r="S32" s="88" t="s">
        <v>804</v>
      </c>
      <c r="T32" s="88" t="s">
        <v>804</v>
      </c>
      <c r="U32" s="88" t="s">
        <v>804</v>
      </c>
      <c r="V32" s="88" t="s">
        <v>804</v>
      </c>
      <c r="W32" s="88" t="s">
        <v>804</v>
      </c>
      <c r="X32" s="88" t="s">
        <v>804</v>
      </c>
      <c r="Y32" s="88" t="s">
        <v>804</v>
      </c>
      <c r="Z32" s="88" t="s">
        <v>804</v>
      </c>
      <c r="AA32" s="88" t="s">
        <v>804</v>
      </c>
      <c r="AB32" s="88" t="s">
        <v>804</v>
      </c>
      <c r="AC32" s="88" t="s">
        <v>804</v>
      </c>
      <c r="AD32" s="88" t="s">
        <v>804</v>
      </c>
      <c r="AE32" s="88" t="s">
        <v>804</v>
      </c>
      <c r="AF32" s="88" t="s">
        <v>804</v>
      </c>
      <c r="AG32" s="88" t="s">
        <v>804</v>
      </c>
      <c r="AH32" s="88" t="s">
        <v>804</v>
      </c>
      <c r="AI32" s="88" t="s">
        <v>804</v>
      </c>
      <c r="AJ32" s="88" t="s">
        <v>804</v>
      </c>
      <c r="AK32" s="88" t="s">
        <v>804</v>
      </c>
      <c r="AL32" s="88" t="s">
        <v>804</v>
      </c>
      <c r="AM32" s="88" t="s">
        <v>804</v>
      </c>
      <c r="AN32" s="88" t="s">
        <v>804</v>
      </c>
      <c r="AO32" s="88" t="s">
        <v>804</v>
      </c>
      <c r="AP32" s="88" t="s">
        <v>804</v>
      </c>
      <c r="AQ32" s="88" t="s">
        <v>804</v>
      </c>
      <c r="AR32" s="88" t="s">
        <v>804</v>
      </c>
      <c r="AS32" s="88" t="s">
        <v>804</v>
      </c>
      <c r="AT32" s="88" t="s">
        <v>804</v>
      </c>
      <c r="AU32" s="88" t="s">
        <v>804</v>
      </c>
      <c r="AV32" s="88" t="s">
        <v>804</v>
      </c>
      <c r="AW32" s="88" t="s">
        <v>804</v>
      </c>
      <c r="AX32" s="88"/>
      <c r="AY32" s="88"/>
      <c r="AZ32" s="88"/>
      <c r="BA32" s="2"/>
      <c r="BB32" s="2"/>
      <c r="BC32" s="2"/>
      <c r="BD32" s="88"/>
      <c r="BE32" s="88"/>
      <c r="BF32" s="88"/>
      <c r="BG32" s="88"/>
      <c r="BH32" s="88"/>
      <c r="BI32" s="88"/>
      <c r="BJ32" s="88"/>
      <c r="BK32" s="88"/>
      <c r="BL32" s="88"/>
      <c r="BM32" s="88"/>
      <c r="BN32" s="88"/>
      <c r="BO32" s="88"/>
      <c r="BP32" s="88"/>
      <c r="BQ32" s="88"/>
      <c r="BR32" s="88"/>
      <c r="BS32" s="88"/>
      <c r="BT32" s="88"/>
    </row>
    <row r="33" spans="2:72" ht="13.8" x14ac:dyDescent="0.25">
      <c r="B33" s="311"/>
      <c r="C33" s="55" t="s">
        <v>470</v>
      </c>
      <c r="D33" s="29"/>
      <c r="E33" s="42">
        <v>23</v>
      </c>
      <c r="F33" s="42">
        <v>23</v>
      </c>
      <c r="G33" s="42">
        <v>23</v>
      </c>
      <c r="H33" s="42">
        <v>23</v>
      </c>
      <c r="I33" s="28">
        <v>2</v>
      </c>
      <c r="J33" s="28">
        <v>2</v>
      </c>
      <c r="K33" s="28">
        <v>2</v>
      </c>
      <c r="L33" s="28">
        <v>2</v>
      </c>
      <c r="M33" s="28">
        <v>2</v>
      </c>
      <c r="N33" s="28">
        <v>2</v>
      </c>
      <c r="O33" s="28">
        <v>2</v>
      </c>
      <c r="P33" s="28">
        <v>2</v>
      </c>
      <c r="Q33" s="28">
        <v>2</v>
      </c>
      <c r="R33" s="28">
        <v>2</v>
      </c>
      <c r="S33" s="28">
        <v>2</v>
      </c>
      <c r="T33" s="28">
        <v>2</v>
      </c>
      <c r="U33" s="28">
        <v>2</v>
      </c>
      <c r="V33" s="28">
        <v>2</v>
      </c>
      <c r="W33" s="28">
        <v>2</v>
      </c>
      <c r="X33" s="28">
        <v>2</v>
      </c>
      <c r="Y33" s="28">
        <v>2</v>
      </c>
      <c r="Z33" s="28">
        <v>2</v>
      </c>
      <c r="AA33" s="28">
        <v>2</v>
      </c>
      <c r="AB33" s="28">
        <v>2</v>
      </c>
      <c r="AC33" s="28">
        <v>2</v>
      </c>
      <c r="AD33" s="28">
        <v>2</v>
      </c>
      <c r="AE33" s="28">
        <v>2</v>
      </c>
      <c r="AF33" s="28">
        <v>2</v>
      </c>
      <c r="AG33" s="28">
        <v>2</v>
      </c>
      <c r="AH33" s="28">
        <v>2</v>
      </c>
      <c r="AI33" s="28">
        <v>2</v>
      </c>
      <c r="AJ33" s="28">
        <v>2</v>
      </c>
      <c r="AK33" s="28">
        <v>2</v>
      </c>
      <c r="AL33" s="28">
        <v>2</v>
      </c>
      <c r="AM33" s="28">
        <v>2</v>
      </c>
      <c r="AN33" s="28">
        <v>2</v>
      </c>
      <c r="AO33" s="28">
        <v>2</v>
      </c>
      <c r="AP33" s="28">
        <v>2</v>
      </c>
      <c r="AQ33" s="28">
        <v>2</v>
      </c>
      <c r="AR33" s="28">
        <v>2</v>
      </c>
      <c r="AS33" s="28">
        <v>2</v>
      </c>
      <c r="AT33" s="28">
        <v>2</v>
      </c>
      <c r="AU33" s="28">
        <v>2</v>
      </c>
      <c r="AV33" s="28">
        <v>2</v>
      </c>
      <c r="AW33" s="28">
        <v>2</v>
      </c>
      <c r="AX33" s="28"/>
      <c r="AY33" s="28"/>
      <c r="AZ33" s="28"/>
      <c r="BA33" s="2"/>
      <c r="BB33" s="2"/>
      <c r="BC33" s="2"/>
      <c r="BD33" s="28"/>
      <c r="BE33" s="28"/>
      <c r="BF33" s="28"/>
      <c r="BG33" s="28"/>
      <c r="BH33" s="28"/>
      <c r="BI33" s="28"/>
      <c r="BJ33" s="28"/>
      <c r="BK33" s="28"/>
      <c r="BL33" s="28"/>
      <c r="BM33" s="28"/>
      <c r="BN33" s="28"/>
      <c r="BO33" s="28"/>
      <c r="BP33" s="28"/>
      <c r="BQ33" s="28"/>
      <c r="BR33" s="28"/>
      <c r="BS33" s="28"/>
      <c r="BT33" s="28"/>
    </row>
    <row r="34" spans="2:72" ht="13.8" x14ac:dyDescent="0.25">
      <c r="B34" s="311"/>
      <c r="C34" s="55" t="s">
        <v>471</v>
      </c>
      <c r="D34" s="29"/>
      <c r="E34" s="38" t="s">
        <v>698</v>
      </c>
      <c r="F34" s="38" t="s">
        <v>698</v>
      </c>
      <c r="G34" s="38" t="s">
        <v>698</v>
      </c>
      <c r="H34" s="38" t="s">
        <v>698</v>
      </c>
      <c r="I34" s="38" t="s">
        <v>700</v>
      </c>
      <c r="J34" s="38" t="s">
        <v>700</v>
      </c>
      <c r="K34" s="38" t="s">
        <v>700</v>
      </c>
      <c r="L34" s="38" t="s">
        <v>700</v>
      </c>
      <c r="M34" s="38" t="s">
        <v>700</v>
      </c>
      <c r="N34" s="38" t="s">
        <v>700</v>
      </c>
      <c r="O34" s="38" t="s">
        <v>700</v>
      </c>
      <c r="P34" s="38" t="s">
        <v>700</v>
      </c>
      <c r="Q34" s="38" t="s">
        <v>700</v>
      </c>
      <c r="R34" s="38" t="s">
        <v>700</v>
      </c>
      <c r="S34" s="38" t="s">
        <v>700</v>
      </c>
      <c r="T34" s="38" t="s">
        <v>700</v>
      </c>
      <c r="U34" s="38" t="s">
        <v>700</v>
      </c>
      <c r="V34" s="38" t="s">
        <v>700</v>
      </c>
      <c r="W34" s="38" t="s">
        <v>700</v>
      </c>
      <c r="X34" s="38" t="s">
        <v>700</v>
      </c>
      <c r="Y34" s="38" t="s">
        <v>700</v>
      </c>
      <c r="Z34" s="38" t="s">
        <v>700</v>
      </c>
      <c r="AA34" s="38" t="s">
        <v>700</v>
      </c>
      <c r="AB34" s="38" t="s">
        <v>700</v>
      </c>
      <c r="AC34" s="38" t="s">
        <v>700</v>
      </c>
      <c r="AD34" s="38" t="s">
        <v>700</v>
      </c>
      <c r="AE34" s="38" t="s">
        <v>700</v>
      </c>
      <c r="AF34" s="38" t="s">
        <v>700</v>
      </c>
      <c r="AG34" s="38" t="s">
        <v>700</v>
      </c>
      <c r="AH34" s="38" t="s">
        <v>700</v>
      </c>
      <c r="AI34" s="38" t="s">
        <v>700</v>
      </c>
      <c r="AJ34" s="38" t="s">
        <v>700</v>
      </c>
      <c r="AK34" s="38" t="s">
        <v>700</v>
      </c>
      <c r="AL34" s="38" t="s">
        <v>700</v>
      </c>
      <c r="AM34" s="38" t="s">
        <v>700</v>
      </c>
      <c r="AN34" s="38" t="s">
        <v>700</v>
      </c>
      <c r="AO34" s="38" t="s">
        <v>700</v>
      </c>
      <c r="AP34" s="38" t="s">
        <v>700</v>
      </c>
      <c r="AQ34" s="38" t="s">
        <v>700</v>
      </c>
      <c r="AR34" s="38" t="s">
        <v>700</v>
      </c>
      <c r="AS34" s="38" t="s">
        <v>700</v>
      </c>
      <c r="AT34" s="38" t="s">
        <v>700</v>
      </c>
      <c r="AU34" s="38" t="s">
        <v>700</v>
      </c>
      <c r="AV34" s="38" t="s">
        <v>700</v>
      </c>
      <c r="AW34" s="38" t="s">
        <v>700</v>
      </c>
      <c r="AX34" s="38"/>
      <c r="AY34" s="38"/>
      <c r="AZ34" s="38"/>
      <c r="BA34" s="2"/>
      <c r="BB34" s="2"/>
      <c r="BC34" s="2"/>
      <c r="BD34" s="38"/>
      <c r="BE34" s="38"/>
      <c r="BF34" s="38"/>
      <c r="BG34" s="38"/>
      <c r="BH34" s="38"/>
      <c r="BI34" s="38"/>
      <c r="BJ34" s="38"/>
      <c r="BK34" s="38"/>
      <c r="BL34" s="38"/>
      <c r="BM34" s="38"/>
      <c r="BN34" s="38"/>
      <c r="BO34" s="38"/>
      <c r="BP34" s="38"/>
      <c r="BQ34" s="38"/>
      <c r="BR34" s="38"/>
      <c r="BS34" s="38"/>
      <c r="BT34" s="38"/>
    </row>
    <row r="35" spans="2:72" ht="13.8" x14ac:dyDescent="0.25">
      <c r="B35" s="311"/>
      <c r="C35" s="55" t="s">
        <v>472</v>
      </c>
      <c r="D35" s="29"/>
      <c r="E35" s="42">
        <v>2</v>
      </c>
      <c r="F35" s="42">
        <v>2</v>
      </c>
      <c r="G35" s="42">
        <v>2</v>
      </c>
      <c r="H35" s="42">
        <v>2</v>
      </c>
      <c r="I35" s="42">
        <v>16</v>
      </c>
      <c r="J35" s="42">
        <v>16</v>
      </c>
      <c r="K35" s="42">
        <v>16</v>
      </c>
      <c r="L35" s="42">
        <v>16</v>
      </c>
      <c r="M35" s="42">
        <v>16</v>
      </c>
      <c r="N35" s="42">
        <v>16</v>
      </c>
      <c r="O35" s="42">
        <v>16</v>
      </c>
      <c r="P35" s="42">
        <v>16</v>
      </c>
      <c r="Q35" s="42">
        <v>16</v>
      </c>
      <c r="R35" s="42">
        <v>16</v>
      </c>
      <c r="S35" s="42">
        <v>16</v>
      </c>
      <c r="T35" s="42">
        <v>16</v>
      </c>
      <c r="U35" s="42">
        <v>16</v>
      </c>
      <c r="V35" s="42">
        <v>16</v>
      </c>
      <c r="W35" s="42">
        <v>16</v>
      </c>
      <c r="X35" s="42">
        <v>16</v>
      </c>
      <c r="Y35" s="42">
        <v>16</v>
      </c>
      <c r="Z35" s="42">
        <v>16</v>
      </c>
      <c r="AA35" s="42">
        <v>16</v>
      </c>
      <c r="AB35" s="42">
        <v>16</v>
      </c>
      <c r="AC35" s="42">
        <v>16</v>
      </c>
      <c r="AD35" s="42">
        <v>16</v>
      </c>
      <c r="AE35" s="42">
        <v>16</v>
      </c>
      <c r="AF35" s="42">
        <v>16</v>
      </c>
      <c r="AG35" s="42">
        <v>16</v>
      </c>
      <c r="AH35" s="42">
        <v>16</v>
      </c>
      <c r="AI35" s="42">
        <v>16</v>
      </c>
      <c r="AJ35" s="42">
        <v>16</v>
      </c>
      <c r="AK35" s="42">
        <v>16</v>
      </c>
      <c r="AL35" s="42">
        <v>16</v>
      </c>
      <c r="AM35" s="42">
        <v>16</v>
      </c>
      <c r="AN35" s="42">
        <v>16</v>
      </c>
      <c r="AO35" s="42">
        <v>16</v>
      </c>
      <c r="AP35" s="42">
        <v>16</v>
      </c>
      <c r="AQ35" s="42">
        <v>16</v>
      </c>
      <c r="AR35" s="42">
        <v>16</v>
      </c>
      <c r="AS35" s="42">
        <v>16</v>
      </c>
      <c r="AT35" s="42">
        <v>16</v>
      </c>
      <c r="AU35" s="42">
        <v>16</v>
      </c>
      <c r="AV35" s="42">
        <v>16</v>
      </c>
      <c r="AW35" s="42">
        <v>16</v>
      </c>
      <c r="AX35" s="42"/>
      <c r="AY35" s="42"/>
      <c r="AZ35" s="42"/>
      <c r="BA35" s="2"/>
      <c r="BB35" s="2"/>
      <c r="BC35" s="2"/>
      <c r="BD35" s="42"/>
      <c r="BE35" s="42"/>
      <c r="BF35" s="42"/>
      <c r="BG35" s="42"/>
      <c r="BH35" s="42"/>
      <c r="BI35" s="42"/>
      <c r="BJ35" s="42"/>
      <c r="BK35" s="42"/>
      <c r="BL35" s="42"/>
      <c r="BM35" s="42"/>
      <c r="BN35" s="42"/>
      <c r="BO35" s="42"/>
      <c r="BP35" s="42"/>
      <c r="BQ35" s="42"/>
      <c r="BR35" s="42"/>
      <c r="BS35" s="42"/>
      <c r="BT35" s="42"/>
    </row>
    <row r="36" spans="2:72" ht="13.8" x14ac:dyDescent="0.25">
      <c r="B36" s="311"/>
      <c r="C36" s="55" t="s">
        <v>473</v>
      </c>
      <c r="D36" s="29"/>
      <c r="E36" s="38" t="s">
        <v>11</v>
      </c>
      <c r="F36" s="38" t="s">
        <v>11</v>
      </c>
      <c r="G36" s="38" t="s">
        <v>11</v>
      </c>
      <c r="H36" s="38" t="s">
        <v>11</v>
      </c>
      <c r="I36" s="38" t="s">
        <v>805</v>
      </c>
      <c r="J36" s="38" t="s">
        <v>805</v>
      </c>
      <c r="K36" s="38" t="s">
        <v>805</v>
      </c>
      <c r="L36" s="38" t="s">
        <v>805</v>
      </c>
      <c r="M36" s="38" t="s">
        <v>805</v>
      </c>
      <c r="N36" s="38" t="s">
        <v>805</v>
      </c>
      <c r="O36" s="38" t="s">
        <v>805</v>
      </c>
      <c r="P36" s="38" t="s">
        <v>805</v>
      </c>
      <c r="Q36" s="38" t="s">
        <v>805</v>
      </c>
      <c r="R36" s="38" t="s">
        <v>805</v>
      </c>
      <c r="S36" s="38" t="s">
        <v>805</v>
      </c>
      <c r="T36" s="38" t="s">
        <v>805</v>
      </c>
      <c r="U36" s="38" t="s">
        <v>805</v>
      </c>
      <c r="V36" s="38" t="s">
        <v>805</v>
      </c>
      <c r="W36" s="38" t="s">
        <v>805</v>
      </c>
      <c r="X36" s="38" t="s">
        <v>805</v>
      </c>
      <c r="Y36" s="38" t="s">
        <v>805</v>
      </c>
      <c r="Z36" s="38" t="s">
        <v>805</v>
      </c>
      <c r="AA36" s="38" t="s">
        <v>805</v>
      </c>
      <c r="AB36" s="38" t="s">
        <v>805</v>
      </c>
      <c r="AC36" s="38" t="s">
        <v>805</v>
      </c>
      <c r="AD36" s="38" t="s">
        <v>805</v>
      </c>
      <c r="AE36" s="38" t="s">
        <v>805</v>
      </c>
      <c r="AF36" s="38" t="s">
        <v>805</v>
      </c>
      <c r="AG36" s="38" t="s">
        <v>805</v>
      </c>
      <c r="AH36" s="38" t="s">
        <v>805</v>
      </c>
      <c r="AI36" s="38" t="s">
        <v>805</v>
      </c>
      <c r="AJ36" s="38" t="s">
        <v>805</v>
      </c>
      <c r="AK36" s="38" t="s">
        <v>805</v>
      </c>
      <c r="AL36" s="38" t="s">
        <v>805</v>
      </c>
      <c r="AM36" s="38" t="s">
        <v>805</v>
      </c>
      <c r="AN36" s="38" t="s">
        <v>805</v>
      </c>
      <c r="AO36" s="38" t="s">
        <v>805</v>
      </c>
      <c r="AP36" s="38" t="s">
        <v>805</v>
      </c>
      <c r="AQ36" s="38" t="s">
        <v>805</v>
      </c>
      <c r="AR36" s="38" t="s">
        <v>805</v>
      </c>
      <c r="AS36" s="38" t="s">
        <v>805</v>
      </c>
      <c r="AT36" s="38" t="s">
        <v>805</v>
      </c>
      <c r="AU36" s="38" t="s">
        <v>805</v>
      </c>
      <c r="AV36" s="38" t="s">
        <v>805</v>
      </c>
      <c r="AW36" s="38" t="s">
        <v>805</v>
      </c>
      <c r="AX36" s="38"/>
      <c r="AY36" s="38"/>
      <c r="AZ36" s="38"/>
      <c r="BA36" s="2"/>
      <c r="BB36" s="2"/>
      <c r="BC36" s="2"/>
      <c r="BD36" s="38"/>
      <c r="BE36" s="38"/>
      <c r="BF36" s="38"/>
      <c r="BG36" s="38"/>
      <c r="BH36" s="38"/>
      <c r="BI36" s="38"/>
      <c r="BJ36" s="38"/>
      <c r="BK36" s="38"/>
      <c r="BL36" s="38"/>
      <c r="BM36" s="38"/>
      <c r="BN36" s="38"/>
      <c r="BO36" s="38"/>
      <c r="BP36" s="38"/>
      <c r="BQ36" s="38"/>
      <c r="BR36" s="38"/>
      <c r="BS36" s="38"/>
      <c r="BT36" s="38"/>
    </row>
    <row r="37" spans="2:72" ht="13.8" x14ac:dyDescent="0.25">
      <c r="B37" s="311"/>
      <c r="C37" s="55" t="s">
        <v>474</v>
      </c>
      <c r="D37" s="29"/>
      <c r="E37" s="38" t="s">
        <v>11</v>
      </c>
      <c r="F37" s="38" t="s">
        <v>11</v>
      </c>
      <c r="G37" s="38" t="s">
        <v>11</v>
      </c>
      <c r="H37" s="38" t="s">
        <v>11</v>
      </c>
      <c r="I37" s="42">
        <v>2</v>
      </c>
      <c r="J37" s="42">
        <v>2</v>
      </c>
      <c r="K37" s="42">
        <v>2</v>
      </c>
      <c r="L37" s="42">
        <v>2</v>
      </c>
      <c r="M37" s="42">
        <v>2</v>
      </c>
      <c r="N37" s="42">
        <v>2</v>
      </c>
      <c r="O37" s="42">
        <v>2</v>
      </c>
      <c r="P37" s="42">
        <v>2</v>
      </c>
      <c r="Q37" s="42">
        <v>2</v>
      </c>
      <c r="R37" s="42">
        <v>2</v>
      </c>
      <c r="S37" s="42">
        <v>2</v>
      </c>
      <c r="T37" s="42">
        <v>2</v>
      </c>
      <c r="U37" s="42">
        <v>2</v>
      </c>
      <c r="V37" s="42">
        <v>2</v>
      </c>
      <c r="W37" s="42">
        <v>2</v>
      </c>
      <c r="X37" s="42">
        <v>2</v>
      </c>
      <c r="Y37" s="42">
        <v>2</v>
      </c>
      <c r="Z37" s="42">
        <v>2</v>
      </c>
      <c r="AA37" s="42">
        <v>2</v>
      </c>
      <c r="AB37" s="42">
        <v>2</v>
      </c>
      <c r="AC37" s="42">
        <v>2</v>
      </c>
      <c r="AD37" s="42">
        <v>2</v>
      </c>
      <c r="AE37" s="42">
        <v>2</v>
      </c>
      <c r="AF37" s="42">
        <v>2</v>
      </c>
      <c r="AG37" s="42">
        <v>2</v>
      </c>
      <c r="AH37" s="42">
        <v>2</v>
      </c>
      <c r="AI37" s="42">
        <v>2</v>
      </c>
      <c r="AJ37" s="42">
        <v>2</v>
      </c>
      <c r="AK37" s="42">
        <v>2</v>
      </c>
      <c r="AL37" s="42">
        <v>2</v>
      </c>
      <c r="AM37" s="42">
        <v>2</v>
      </c>
      <c r="AN37" s="42">
        <v>2</v>
      </c>
      <c r="AO37" s="42">
        <v>2</v>
      </c>
      <c r="AP37" s="42">
        <v>2</v>
      </c>
      <c r="AQ37" s="42">
        <v>2</v>
      </c>
      <c r="AR37" s="42">
        <v>2</v>
      </c>
      <c r="AS37" s="42">
        <v>2</v>
      </c>
      <c r="AT37" s="42">
        <v>2</v>
      </c>
      <c r="AU37" s="42">
        <v>2</v>
      </c>
      <c r="AV37" s="42">
        <v>2</v>
      </c>
      <c r="AW37" s="42">
        <v>2</v>
      </c>
      <c r="AX37" s="42"/>
      <c r="AY37" s="42"/>
      <c r="AZ37" s="42"/>
      <c r="BA37" s="2"/>
      <c r="BB37" s="2"/>
      <c r="BC37" s="2"/>
      <c r="BD37" s="42"/>
      <c r="BE37" s="42"/>
      <c r="BF37" s="42"/>
      <c r="BG37" s="42"/>
      <c r="BH37" s="42"/>
      <c r="BI37" s="42"/>
      <c r="BJ37" s="42"/>
      <c r="BK37" s="42"/>
      <c r="BL37" s="42"/>
      <c r="BM37" s="42"/>
      <c r="BN37" s="42"/>
      <c r="BO37" s="42"/>
      <c r="BP37" s="42"/>
      <c r="BQ37" s="42"/>
      <c r="BR37" s="42"/>
      <c r="BS37" s="42"/>
      <c r="BT37" s="42"/>
    </row>
    <row r="38" spans="2:72" ht="13.8" x14ac:dyDescent="0.25">
      <c r="B38" s="311"/>
      <c r="C38" s="55" t="s">
        <v>475</v>
      </c>
      <c r="D38" s="29"/>
      <c r="E38" s="38" t="s">
        <v>11</v>
      </c>
      <c r="F38" s="38" t="s">
        <v>11</v>
      </c>
      <c r="G38" s="38" t="s">
        <v>11</v>
      </c>
      <c r="H38" s="38" t="s">
        <v>11</v>
      </c>
      <c r="I38" s="38" t="s">
        <v>702</v>
      </c>
      <c r="J38" s="38" t="s">
        <v>702</v>
      </c>
      <c r="K38" s="38" t="s">
        <v>702</v>
      </c>
      <c r="L38" s="38" t="s">
        <v>702</v>
      </c>
      <c r="M38" s="38" t="s">
        <v>702</v>
      </c>
      <c r="N38" s="38" t="s">
        <v>702</v>
      </c>
      <c r="O38" s="38" t="s">
        <v>702</v>
      </c>
      <c r="P38" s="38" t="s">
        <v>702</v>
      </c>
      <c r="Q38" s="38" t="s">
        <v>702</v>
      </c>
      <c r="R38" s="38" t="s">
        <v>702</v>
      </c>
      <c r="S38" s="38" t="s">
        <v>702</v>
      </c>
      <c r="T38" s="38" t="s">
        <v>702</v>
      </c>
      <c r="U38" s="38" t="s">
        <v>702</v>
      </c>
      <c r="V38" s="38" t="s">
        <v>702</v>
      </c>
      <c r="W38" s="38" t="s">
        <v>702</v>
      </c>
      <c r="X38" s="38" t="s">
        <v>702</v>
      </c>
      <c r="Y38" s="38" t="s">
        <v>702</v>
      </c>
      <c r="Z38" s="38" t="s">
        <v>702</v>
      </c>
      <c r="AA38" s="38" t="s">
        <v>702</v>
      </c>
      <c r="AB38" s="38" t="s">
        <v>702</v>
      </c>
      <c r="AC38" s="38" t="s">
        <v>702</v>
      </c>
      <c r="AD38" s="38" t="s">
        <v>702</v>
      </c>
      <c r="AE38" s="38" t="s">
        <v>702</v>
      </c>
      <c r="AF38" s="38" t="s">
        <v>702</v>
      </c>
      <c r="AG38" s="38" t="s">
        <v>702</v>
      </c>
      <c r="AH38" s="38" t="s">
        <v>702</v>
      </c>
      <c r="AI38" s="38" t="s">
        <v>702</v>
      </c>
      <c r="AJ38" s="38" t="s">
        <v>702</v>
      </c>
      <c r="AK38" s="38" t="s">
        <v>702</v>
      </c>
      <c r="AL38" s="38" t="s">
        <v>702</v>
      </c>
      <c r="AM38" s="38" t="s">
        <v>702</v>
      </c>
      <c r="AN38" s="38" t="s">
        <v>702</v>
      </c>
      <c r="AO38" s="38" t="s">
        <v>702</v>
      </c>
      <c r="AP38" s="38" t="s">
        <v>702</v>
      </c>
      <c r="AQ38" s="38" t="s">
        <v>702</v>
      </c>
      <c r="AR38" s="38" t="s">
        <v>702</v>
      </c>
      <c r="AS38" s="38" t="s">
        <v>702</v>
      </c>
      <c r="AT38" s="38" t="s">
        <v>702</v>
      </c>
      <c r="AU38" s="38" t="s">
        <v>702</v>
      </c>
      <c r="AV38" s="38" t="s">
        <v>702</v>
      </c>
      <c r="AW38" s="38" t="s">
        <v>702</v>
      </c>
      <c r="AX38" s="38"/>
      <c r="AY38" s="38"/>
      <c r="AZ38" s="38"/>
      <c r="BA38" s="2"/>
      <c r="BB38" s="2"/>
      <c r="BC38" s="2"/>
      <c r="BD38" s="38"/>
      <c r="BE38" s="38"/>
      <c r="BF38" s="38"/>
      <c r="BG38" s="38"/>
      <c r="BH38" s="38"/>
      <c r="BI38" s="38"/>
      <c r="BJ38" s="38"/>
      <c r="BK38" s="38"/>
      <c r="BL38" s="38"/>
      <c r="BM38" s="38"/>
      <c r="BN38" s="38"/>
      <c r="BO38" s="38"/>
      <c r="BP38" s="38"/>
      <c r="BQ38" s="38"/>
      <c r="BR38" s="38"/>
      <c r="BS38" s="38"/>
      <c r="BT38" s="38"/>
    </row>
    <row r="39" spans="2:72" ht="13.8" x14ac:dyDescent="0.25">
      <c r="B39" s="311"/>
      <c r="C39" s="55" t="s">
        <v>476</v>
      </c>
      <c r="D39" s="29"/>
      <c r="E39" s="38" t="s">
        <v>11</v>
      </c>
      <c r="F39" s="38" t="s">
        <v>11</v>
      </c>
      <c r="G39" s="38" t="s">
        <v>11</v>
      </c>
      <c r="H39" s="38" t="s">
        <v>11</v>
      </c>
      <c r="I39" s="38">
        <v>3</v>
      </c>
      <c r="J39" s="38">
        <v>3</v>
      </c>
      <c r="K39" s="38">
        <v>3</v>
      </c>
      <c r="L39" s="38">
        <v>3</v>
      </c>
      <c r="M39" s="38">
        <v>3</v>
      </c>
      <c r="N39" s="38">
        <v>3</v>
      </c>
      <c r="O39" s="38">
        <v>3</v>
      </c>
      <c r="P39" s="38">
        <v>3</v>
      </c>
      <c r="Q39" s="38">
        <v>3</v>
      </c>
      <c r="R39" s="38">
        <v>3</v>
      </c>
      <c r="S39" s="38">
        <v>3</v>
      </c>
      <c r="T39" s="38">
        <v>3</v>
      </c>
      <c r="U39" s="38">
        <v>3</v>
      </c>
      <c r="V39" s="38">
        <v>3</v>
      </c>
      <c r="W39" s="38">
        <v>3</v>
      </c>
      <c r="X39" s="38">
        <v>3</v>
      </c>
      <c r="Y39" s="38">
        <v>3</v>
      </c>
      <c r="Z39" s="38">
        <v>3</v>
      </c>
      <c r="AA39" s="38">
        <v>3</v>
      </c>
      <c r="AB39" s="38">
        <v>3</v>
      </c>
      <c r="AC39" s="38">
        <v>3</v>
      </c>
      <c r="AD39" s="38">
        <v>3</v>
      </c>
      <c r="AE39" s="38">
        <v>3</v>
      </c>
      <c r="AF39" s="38">
        <v>3</v>
      </c>
      <c r="AG39" s="38">
        <v>3</v>
      </c>
      <c r="AH39" s="38">
        <v>3</v>
      </c>
      <c r="AI39" s="38">
        <v>3</v>
      </c>
      <c r="AJ39" s="38">
        <v>3</v>
      </c>
      <c r="AK39" s="38">
        <v>3</v>
      </c>
      <c r="AL39" s="38">
        <v>3</v>
      </c>
      <c r="AM39" s="38">
        <v>3</v>
      </c>
      <c r="AN39" s="38">
        <v>3</v>
      </c>
      <c r="AO39" s="38">
        <v>3</v>
      </c>
      <c r="AP39" s="38">
        <v>3</v>
      </c>
      <c r="AQ39" s="38">
        <v>3</v>
      </c>
      <c r="AR39" s="38">
        <v>3</v>
      </c>
      <c r="AS39" s="38">
        <v>3</v>
      </c>
      <c r="AT39" s="38">
        <v>3</v>
      </c>
      <c r="AU39" s="38">
        <v>3</v>
      </c>
      <c r="AV39" s="38">
        <v>3</v>
      </c>
      <c r="AW39" s="38">
        <v>3</v>
      </c>
      <c r="AX39" s="38"/>
      <c r="AY39" s="38"/>
      <c r="AZ39" s="38"/>
      <c r="BA39" s="2"/>
      <c r="BB39" s="2"/>
      <c r="BC39" s="2"/>
      <c r="BD39" s="38"/>
      <c r="BE39" s="38"/>
      <c r="BF39" s="38"/>
      <c r="BG39" s="38"/>
      <c r="BH39" s="38"/>
      <c r="BI39" s="38"/>
      <c r="BJ39" s="38"/>
      <c r="BK39" s="38"/>
      <c r="BL39" s="38"/>
      <c r="BM39" s="38"/>
      <c r="BN39" s="38"/>
      <c r="BO39" s="38"/>
      <c r="BP39" s="38"/>
      <c r="BQ39" s="38"/>
      <c r="BR39" s="38"/>
      <c r="BS39" s="38"/>
      <c r="BT39" s="38"/>
    </row>
    <row r="40" spans="2:72" ht="13.8" x14ac:dyDescent="0.25">
      <c r="B40" s="311"/>
      <c r="C40" s="55" t="s">
        <v>477</v>
      </c>
      <c r="D40" s="29"/>
      <c r="E40" s="38" t="s">
        <v>11</v>
      </c>
      <c r="F40" s="38" t="s">
        <v>11</v>
      </c>
      <c r="G40" s="38" t="s">
        <v>11</v>
      </c>
      <c r="H40" s="38" t="s">
        <v>11</v>
      </c>
      <c r="I40" s="38" t="s">
        <v>11</v>
      </c>
      <c r="J40" s="38" t="s">
        <v>11</v>
      </c>
      <c r="K40" s="38" t="s">
        <v>11</v>
      </c>
      <c r="L40" s="38" t="s">
        <v>11</v>
      </c>
      <c r="M40" s="38" t="s">
        <v>11</v>
      </c>
      <c r="N40" s="38" t="s">
        <v>11</v>
      </c>
      <c r="O40" s="38" t="s">
        <v>11</v>
      </c>
      <c r="P40" s="38" t="s">
        <v>11</v>
      </c>
      <c r="Q40" s="38" t="s">
        <v>11</v>
      </c>
      <c r="R40" s="38" t="s">
        <v>11</v>
      </c>
      <c r="S40" s="38" t="s">
        <v>11</v>
      </c>
      <c r="T40" s="38" t="s">
        <v>11</v>
      </c>
      <c r="U40" s="38" t="s">
        <v>11</v>
      </c>
      <c r="V40" s="38" t="s">
        <v>11</v>
      </c>
      <c r="W40" s="38" t="s">
        <v>11</v>
      </c>
      <c r="X40" s="38" t="s">
        <v>11</v>
      </c>
      <c r="Y40" s="38" t="s">
        <v>11</v>
      </c>
      <c r="Z40" s="38" t="s">
        <v>11</v>
      </c>
      <c r="AA40" s="38" t="s">
        <v>11</v>
      </c>
      <c r="AB40" s="38" t="s">
        <v>11</v>
      </c>
      <c r="AC40" s="38" t="s">
        <v>11</v>
      </c>
      <c r="AD40" s="38" t="s">
        <v>11</v>
      </c>
      <c r="AE40" s="38" t="s">
        <v>11</v>
      </c>
      <c r="AF40" s="38" t="s">
        <v>11</v>
      </c>
      <c r="AG40" s="38" t="s">
        <v>11</v>
      </c>
      <c r="AH40" s="38" t="s">
        <v>11</v>
      </c>
      <c r="AI40" s="38" t="s">
        <v>11</v>
      </c>
      <c r="AJ40" s="38" t="s">
        <v>11</v>
      </c>
      <c r="AK40" s="38" t="s">
        <v>11</v>
      </c>
      <c r="AL40" s="38" t="s">
        <v>11</v>
      </c>
      <c r="AM40" s="38" t="s">
        <v>11</v>
      </c>
      <c r="AN40" s="38" t="s">
        <v>11</v>
      </c>
      <c r="AO40" s="38" t="s">
        <v>11</v>
      </c>
      <c r="AP40" s="38" t="s">
        <v>11</v>
      </c>
      <c r="AQ40" s="38" t="s">
        <v>11</v>
      </c>
      <c r="AR40" s="38" t="s">
        <v>11</v>
      </c>
      <c r="AS40" s="38" t="s">
        <v>11</v>
      </c>
      <c r="AT40" s="38" t="s">
        <v>11</v>
      </c>
      <c r="AU40" s="38" t="s">
        <v>11</v>
      </c>
      <c r="AV40" s="38" t="s">
        <v>11</v>
      </c>
      <c r="AW40" s="38" t="s">
        <v>11</v>
      </c>
      <c r="AX40" s="38"/>
      <c r="AY40" s="38"/>
      <c r="AZ40" s="38"/>
      <c r="BA40" s="2"/>
      <c r="BB40" s="2"/>
      <c r="BC40" s="2"/>
      <c r="BD40" s="38"/>
      <c r="BE40" s="38"/>
      <c r="BF40" s="38"/>
      <c r="BG40" s="38"/>
      <c r="BH40" s="38"/>
      <c r="BI40" s="38"/>
      <c r="BJ40" s="38"/>
      <c r="BK40" s="38"/>
      <c r="BL40" s="38"/>
      <c r="BM40" s="38"/>
      <c r="BN40" s="38"/>
      <c r="BO40" s="38"/>
      <c r="BP40" s="38"/>
      <c r="BQ40" s="38"/>
      <c r="BR40" s="38"/>
      <c r="BS40" s="38"/>
      <c r="BT40" s="38"/>
    </row>
    <row r="41" spans="2:72" ht="13.8" x14ac:dyDescent="0.25">
      <c r="B41" s="311"/>
      <c r="C41" s="55" t="s">
        <v>478</v>
      </c>
      <c r="D41" s="29"/>
      <c r="E41" s="38" t="s">
        <v>11</v>
      </c>
      <c r="F41" s="38" t="s">
        <v>11</v>
      </c>
      <c r="G41" s="38" t="s">
        <v>11</v>
      </c>
      <c r="H41" s="38" t="s">
        <v>11</v>
      </c>
      <c r="I41" s="38" t="s">
        <v>11</v>
      </c>
      <c r="J41" s="38" t="s">
        <v>11</v>
      </c>
      <c r="K41" s="38" t="s">
        <v>11</v>
      </c>
      <c r="L41" s="38" t="s">
        <v>11</v>
      </c>
      <c r="M41" s="38" t="s">
        <v>11</v>
      </c>
      <c r="N41" s="38" t="s">
        <v>11</v>
      </c>
      <c r="O41" s="38" t="s">
        <v>11</v>
      </c>
      <c r="P41" s="38" t="s">
        <v>11</v>
      </c>
      <c r="Q41" s="38" t="s">
        <v>11</v>
      </c>
      <c r="R41" s="38" t="s">
        <v>11</v>
      </c>
      <c r="S41" s="38" t="s">
        <v>11</v>
      </c>
      <c r="T41" s="38" t="s">
        <v>11</v>
      </c>
      <c r="U41" s="38" t="s">
        <v>11</v>
      </c>
      <c r="V41" s="38" t="s">
        <v>11</v>
      </c>
      <c r="W41" s="38" t="s">
        <v>11</v>
      </c>
      <c r="X41" s="38" t="s">
        <v>11</v>
      </c>
      <c r="Y41" s="38" t="s">
        <v>11</v>
      </c>
      <c r="Z41" s="38" t="s">
        <v>11</v>
      </c>
      <c r="AA41" s="38" t="s">
        <v>11</v>
      </c>
      <c r="AB41" s="38" t="s">
        <v>11</v>
      </c>
      <c r="AC41" s="38" t="s">
        <v>11</v>
      </c>
      <c r="AD41" s="38" t="s">
        <v>11</v>
      </c>
      <c r="AE41" s="38" t="s">
        <v>11</v>
      </c>
      <c r="AF41" s="38" t="s">
        <v>11</v>
      </c>
      <c r="AG41" s="38" t="s">
        <v>11</v>
      </c>
      <c r="AH41" s="38" t="s">
        <v>11</v>
      </c>
      <c r="AI41" s="38" t="s">
        <v>11</v>
      </c>
      <c r="AJ41" s="38" t="s">
        <v>11</v>
      </c>
      <c r="AK41" s="38" t="s">
        <v>11</v>
      </c>
      <c r="AL41" s="38" t="s">
        <v>11</v>
      </c>
      <c r="AM41" s="38" t="s">
        <v>11</v>
      </c>
      <c r="AN41" s="38" t="s">
        <v>11</v>
      </c>
      <c r="AO41" s="38" t="s">
        <v>11</v>
      </c>
      <c r="AP41" s="38" t="s">
        <v>11</v>
      </c>
      <c r="AQ41" s="38" t="s">
        <v>11</v>
      </c>
      <c r="AR41" s="38" t="s">
        <v>11</v>
      </c>
      <c r="AS41" s="38" t="s">
        <v>11</v>
      </c>
      <c r="AT41" s="38" t="s">
        <v>11</v>
      </c>
      <c r="AU41" s="38" t="s">
        <v>11</v>
      </c>
      <c r="AV41" s="38" t="s">
        <v>11</v>
      </c>
      <c r="AW41" s="38" t="s">
        <v>11</v>
      </c>
      <c r="AX41" s="38"/>
      <c r="AY41" s="38"/>
      <c r="AZ41" s="38"/>
      <c r="BA41" s="2"/>
      <c r="BB41" s="2"/>
      <c r="BC41" s="2"/>
      <c r="BD41" s="38"/>
      <c r="BE41" s="38"/>
      <c r="BF41" s="38"/>
      <c r="BG41" s="38"/>
      <c r="BH41" s="38"/>
      <c r="BI41" s="38"/>
      <c r="BJ41" s="38"/>
      <c r="BK41" s="38"/>
      <c r="BL41" s="38"/>
      <c r="BM41" s="38"/>
      <c r="BN41" s="38"/>
      <c r="BO41" s="38"/>
      <c r="BP41" s="38"/>
      <c r="BQ41" s="38"/>
      <c r="BR41" s="38"/>
      <c r="BS41" s="38"/>
      <c r="BT41" s="38"/>
    </row>
    <row r="42" spans="2:72" ht="13.8" x14ac:dyDescent="0.25">
      <c r="B42" s="311"/>
      <c r="C42" s="55" t="s">
        <v>479</v>
      </c>
      <c r="D42" s="29"/>
      <c r="E42" s="38" t="s">
        <v>11</v>
      </c>
      <c r="F42" s="38" t="s">
        <v>11</v>
      </c>
      <c r="G42" s="38" t="s">
        <v>11</v>
      </c>
      <c r="H42" s="38" t="s">
        <v>11</v>
      </c>
      <c r="I42" s="38" t="s">
        <v>11</v>
      </c>
      <c r="J42" s="38" t="s">
        <v>11</v>
      </c>
      <c r="K42" s="38" t="s">
        <v>11</v>
      </c>
      <c r="L42" s="38" t="s">
        <v>11</v>
      </c>
      <c r="M42" s="38" t="s">
        <v>11</v>
      </c>
      <c r="N42" s="38" t="s">
        <v>11</v>
      </c>
      <c r="O42" s="38" t="s">
        <v>11</v>
      </c>
      <c r="P42" s="38" t="s">
        <v>11</v>
      </c>
      <c r="Q42" s="38" t="s">
        <v>11</v>
      </c>
      <c r="R42" s="38" t="s">
        <v>11</v>
      </c>
      <c r="S42" s="38" t="s">
        <v>11</v>
      </c>
      <c r="T42" s="38" t="s">
        <v>11</v>
      </c>
      <c r="U42" s="38" t="s">
        <v>11</v>
      </c>
      <c r="V42" s="38" t="s">
        <v>11</v>
      </c>
      <c r="W42" s="38" t="s">
        <v>11</v>
      </c>
      <c r="X42" s="38" t="s">
        <v>11</v>
      </c>
      <c r="Y42" s="38" t="s">
        <v>11</v>
      </c>
      <c r="Z42" s="38" t="s">
        <v>11</v>
      </c>
      <c r="AA42" s="38" t="s">
        <v>11</v>
      </c>
      <c r="AB42" s="38" t="s">
        <v>11</v>
      </c>
      <c r="AC42" s="38" t="s">
        <v>11</v>
      </c>
      <c r="AD42" s="38" t="s">
        <v>11</v>
      </c>
      <c r="AE42" s="38" t="s">
        <v>11</v>
      </c>
      <c r="AF42" s="38" t="s">
        <v>11</v>
      </c>
      <c r="AG42" s="38" t="s">
        <v>11</v>
      </c>
      <c r="AH42" s="38" t="s">
        <v>11</v>
      </c>
      <c r="AI42" s="38" t="s">
        <v>11</v>
      </c>
      <c r="AJ42" s="38" t="s">
        <v>11</v>
      </c>
      <c r="AK42" s="38" t="s">
        <v>11</v>
      </c>
      <c r="AL42" s="38" t="s">
        <v>11</v>
      </c>
      <c r="AM42" s="38" t="s">
        <v>11</v>
      </c>
      <c r="AN42" s="38" t="s">
        <v>11</v>
      </c>
      <c r="AO42" s="38" t="s">
        <v>11</v>
      </c>
      <c r="AP42" s="38" t="s">
        <v>11</v>
      </c>
      <c r="AQ42" s="38" t="s">
        <v>11</v>
      </c>
      <c r="AR42" s="38" t="s">
        <v>11</v>
      </c>
      <c r="AS42" s="38" t="s">
        <v>11</v>
      </c>
      <c r="AT42" s="38" t="s">
        <v>11</v>
      </c>
      <c r="AU42" s="38" t="s">
        <v>11</v>
      </c>
      <c r="AV42" s="38" t="s">
        <v>11</v>
      </c>
      <c r="AW42" s="38" t="s">
        <v>11</v>
      </c>
      <c r="AX42" s="38"/>
      <c r="AY42" s="38"/>
      <c r="AZ42" s="38"/>
      <c r="BA42" s="2"/>
      <c r="BB42" s="2"/>
      <c r="BC42" s="2"/>
      <c r="BD42" s="38"/>
      <c r="BE42" s="38"/>
      <c r="BF42" s="38"/>
      <c r="BG42" s="38"/>
      <c r="BH42" s="38"/>
      <c r="BI42" s="38"/>
      <c r="BJ42" s="38"/>
      <c r="BK42" s="38"/>
      <c r="BL42" s="38"/>
      <c r="BM42" s="38"/>
      <c r="BN42" s="38"/>
      <c r="BO42" s="38"/>
      <c r="BP42" s="38"/>
      <c r="BQ42" s="38"/>
      <c r="BR42" s="38"/>
      <c r="BS42" s="38"/>
      <c r="BT42" s="38"/>
    </row>
    <row r="43" spans="2:72" ht="13.8" x14ac:dyDescent="0.25">
      <c r="B43" s="311"/>
      <c r="C43" s="55" t="s">
        <v>480</v>
      </c>
      <c r="D43" s="29"/>
      <c r="E43" s="38" t="s">
        <v>11</v>
      </c>
      <c r="F43" s="38" t="s">
        <v>11</v>
      </c>
      <c r="G43" s="38" t="s">
        <v>11</v>
      </c>
      <c r="H43" s="38" t="s">
        <v>11</v>
      </c>
      <c r="I43" s="38" t="s">
        <v>11</v>
      </c>
      <c r="J43" s="38" t="s">
        <v>11</v>
      </c>
      <c r="K43" s="38" t="s">
        <v>11</v>
      </c>
      <c r="L43" s="38" t="s">
        <v>11</v>
      </c>
      <c r="M43" s="38" t="s">
        <v>11</v>
      </c>
      <c r="N43" s="38" t="s">
        <v>11</v>
      </c>
      <c r="O43" s="38" t="s">
        <v>11</v>
      </c>
      <c r="P43" s="38" t="s">
        <v>11</v>
      </c>
      <c r="Q43" s="38" t="s">
        <v>11</v>
      </c>
      <c r="R43" s="38" t="s">
        <v>11</v>
      </c>
      <c r="S43" s="38" t="s">
        <v>11</v>
      </c>
      <c r="T43" s="38" t="s">
        <v>11</v>
      </c>
      <c r="U43" s="38" t="s">
        <v>11</v>
      </c>
      <c r="V43" s="38" t="s">
        <v>11</v>
      </c>
      <c r="W43" s="38" t="s">
        <v>11</v>
      </c>
      <c r="X43" s="38" t="s">
        <v>11</v>
      </c>
      <c r="Y43" s="38" t="s">
        <v>11</v>
      </c>
      <c r="Z43" s="38" t="s">
        <v>11</v>
      </c>
      <c r="AA43" s="38" t="s">
        <v>11</v>
      </c>
      <c r="AB43" s="38" t="s">
        <v>11</v>
      </c>
      <c r="AC43" s="38" t="s">
        <v>11</v>
      </c>
      <c r="AD43" s="38" t="s">
        <v>11</v>
      </c>
      <c r="AE43" s="38" t="s">
        <v>11</v>
      </c>
      <c r="AF43" s="38" t="s">
        <v>11</v>
      </c>
      <c r="AG43" s="38" t="s">
        <v>11</v>
      </c>
      <c r="AH43" s="38" t="s">
        <v>11</v>
      </c>
      <c r="AI43" s="38" t="s">
        <v>11</v>
      </c>
      <c r="AJ43" s="38" t="s">
        <v>11</v>
      </c>
      <c r="AK43" s="38" t="s">
        <v>11</v>
      </c>
      <c r="AL43" s="38" t="s">
        <v>11</v>
      </c>
      <c r="AM43" s="38" t="s">
        <v>11</v>
      </c>
      <c r="AN43" s="38" t="s">
        <v>11</v>
      </c>
      <c r="AO43" s="38" t="s">
        <v>11</v>
      </c>
      <c r="AP43" s="38" t="s">
        <v>11</v>
      </c>
      <c r="AQ43" s="38" t="s">
        <v>11</v>
      </c>
      <c r="AR43" s="38" t="s">
        <v>11</v>
      </c>
      <c r="AS43" s="38" t="s">
        <v>11</v>
      </c>
      <c r="AT43" s="38" t="s">
        <v>11</v>
      </c>
      <c r="AU43" s="38" t="s">
        <v>11</v>
      </c>
      <c r="AV43" s="38" t="s">
        <v>11</v>
      </c>
      <c r="AW43" s="38" t="s">
        <v>11</v>
      </c>
      <c r="AX43" s="38"/>
      <c r="AY43" s="38"/>
      <c r="AZ43" s="38"/>
      <c r="BA43" s="2"/>
      <c r="BB43" s="2"/>
      <c r="BC43" s="2"/>
      <c r="BD43" s="38"/>
      <c r="BE43" s="38"/>
      <c r="BF43" s="38"/>
      <c r="BG43" s="38"/>
      <c r="BH43" s="38"/>
      <c r="BI43" s="38"/>
      <c r="BJ43" s="38"/>
      <c r="BK43" s="38"/>
      <c r="BL43" s="38"/>
      <c r="BM43" s="38"/>
      <c r="BN43" s="38"/>
      <c r="BO43" s="38"/>
      <c r="BP43" s="38"/>
      <c r="BQ43" s="38"/>
      <c r="BR43" s="38"/>
      <c r="BS43" s="38"/>
      <c r="BT43" s="38"/>
    </row>
    <row r="44" spans="2:72" ht="13.8" x14ac:dyDescent="0.25">
      <c r="B44" s="311"/>
      <c r="C44" s="55" t="s">
        <v>481</v>
      </c>
      <c r="D44" s="29"/>
      <c r="E44" s="38" t="s">
        <v>11</v>
      </c>
      <c r="F44" s="38" t="s">
        <v>11</v>
      </c>
      <c r="G44" s="38" t="s">
        <v>11</v>
      </c>
      <c r="H44" s="38" t="s">
        <v>11</v>
      </c>
      <c r="I44" s="38" t="s">
        <v>11</v>
      </c>
      <c r="J44" s="38" t="s">
        <v>11</v>
      </c>
      <c r="K44" s="38" t="s">
        <v>11</v>
      </c>
      <c r="L44" s="38" t="s">
        <v>11</v>
      </c>
      <c r="M44" s="38" t="s">
        <v>11</v>
      </c>
      <c r="N44" s="38" t="s">
        <v>11</v>
      </c>
      <c r="O44" s="38" t="s">
        <v>11</v>
      </c>
      <c r="P44" s="38" t="s">
        <v>11</v>
      </c>
      <c r="Q44" s="38" t="s">
        <v>11</v>
      </c>
      <c r="R44" s="38" t="s">
        <v>11</v>
      </c>
      <c r="S44" s="38" t="s">
        <v>11</v>
      </c>
      <c r="T44" s="38" t="s">
        <v>11</v>
      </c>
      <c r="U44" s="38" t="s">
        <v>11</v>
      </c>
      <c r="V44" s="38" t="s">
        <v>11</v>
      </c>
      <c r="W44" s="38" t="s">
        <v>11</v>
      </c>
      <c r="X44" s="38" t="s">
        <v>11</v>
      </c>
      <c r="Y44" s="38" t="s">
        <v>11</v>
      </c>
      <c r="Z44" s="38" t="s">
        <v>11</v>
      </c>
      <c r="AA44" s="38" t="s">
        <v>11</v>
      </c>
      <c r="AB44" s="38" t="s">
        <v>11</v>
      </c>
      <c r="AC44" s="38" t="s">
        <v>11</v>
      </c>
      <c r="AD44" s="38" t="s">
        <v>11</v>
      </c>
      <c r="AE44" s="38" t="s">
        <v>11</v>
      </c>
      <c r="AF44" s="38" t="s">
        <v>11</v>
      </c>
      <c r="AG44" s="38" t="s">
        <v>11</v>
      </c>
      <c r="AH44" s="38" t="s">
        <v>11</v>
      </c>
      <c r="AI44" s="38" t="s">
        <v>11</v>
      </c>
      <c r="AJ44" s="38" t="s">
        <v>11</v>
      </c>
      <c r="AK44" s="38" t="s">
        <v>11</v>
      </c>
      <c r="AL44" s="38" t="s">
        <v>11</v>
      </c>
      <c r="AM44" s="38" t="s">
        <v>11</v>
      </c>
      <c r="AN44" s="38" t="s">
        <v>11</v>
      </c>
      <c r="AO44" s="38" t="s">
        <v>11</v>
      </c>
      <c r="AP44" s="38" t="s">
        <v>11</v>
      </c>
      <c r="AQ44" s="38" t="s">
        <v>11</v>
      </c>
      <c r="AR44" s="38" t="s">
        <v>11</v>
      </c>
      <c r="AS44" s="38" t="s">
        <v>11</v>
      </c>
      <c r="AT44" s="38" t="s">
        <v>11</v>
      </c>
      <c r="AU44" s="38" t="s">
        <v>11</v>
      </c>
      <c r="AV44" s="38" t="s">
        <v>11</v>
      </c>
      <c r="AW44" s="38" t="s">
        <v>11</v>
      </c>
      <c r="AX44" s="38"/>
      <c r="AY44" s="38"/>
      <c r="AZ44" s="38"/>
      <c r="BA44" s="2"/>
      <c r="BB44" s="2"/>
      <c r="BC44" s="2"/>
      <c r="BD44" s="38"/>
      <c r="BE44" s="38"/>
      <c r="BF44" s="38"/>
      <c r="BG44" s="38"/>
      <c r="BH44" s="38"/>
      <c r="BI44" s="38"/>
      <c r="BJ44" s="38"/>
      <c r="BK44" s="38"/>
      <c r="BL44" s="38"/>
      <c r="BM44" s="38"/>
      <c r="BN44" s="38"/>
      <c r="BO44" s="38"/>
      <c r="BP44" s="38"/>
      <c r="BQ44" s="38"/>
      <c r="BR44" s="38"/>
      <c r="BS44" s="38"/>
      <c r="BT44" s="38"/>
    </row>
    <row r="45" spans="2:72" ht="13.8" x14ac:dyDescent="0.25">
      <c r="B45" s="311"/>
      <c r="C45" s="55" t="s">
        <v>482</v>
      </c>
      <c r="D45" s="29"/>
      <c r="E45" s="38" t="s">
        <v>11</v>
      </c>
      <c r="F45" s="38" t="s">
        <v>11</v>
      </c>
      <c r="G45" s="38" t="s">
        <v>11</v>
      </c>
      <c r="H45" s="38" t="s">
        <v>11</v>
      </c>
      <c r="I45" s="38" t="s">
        <v>11</v>
      </c>
      <c r="J45" s="38" t="s">
        <v>11</v>
      </c>
      <c r="K45" s="38" t="s">
        <v>11</v>
      </c>
      <c r="L45" s="38" t="s">
        <v>11</v>
      </c>
      <c r="M45" s="38" t="s">
        <v>11</v>
      </c>
      <c r="N45" s="38" t="s">
        <v>11</v>
      </c>
      <c r="O45" s="38" t="s">
        <v>11</v>
      </c>
      <c r="P45" s="38" t="s">
        <v>11</v>
      </c>
      <c r="Q45" s="38" t="s">
        <v>11</v>
      </c>
      <c r="R45" s="38" t="s">
        <v>11</v>
      </c>
      <c r="S45" s="38" t="s">
        <v>11</v>
      </c>
      <c r="T45" s="38" t="s">
        <v>11</v>
      </c>
      <c r="U45" s="38" t="s">
        <v>11</v>
      </c>
      <c r="V45" s="38" t="s">
        <v>11</v>
      </c>
      <c r="W45" s="38" t="s">
        <v>11</v>
      </c>
      <c r="X45" s="38" t="s">
        <v>11</v>
      </c>
      <c r="Y45" s="38" t="s">
        <v>11</v>
      </c>
      <c r="Z45" s="38" t="s">
        <v>11</v>
      </c>
      <c r="AA45" s="38" t="s">
        <v>11</v>
      </c>
      <c r="AB45" s="38" t="s">
        <v>11</v>
      </c>
      <c r="AC45" s="38" t="s">
        <v>11</v>
      </c>
      <c r="AD45" s="38" t="s">
        <v>11</v>
      </c>
      <c r="AE45" s="38" t="s">
        <v>11</v>
      </c>
      <c r="AF45" s="38" t="s">
        <v>11</v>
      </c>
      <c r="AG45" s="38" t="s">
        <v>11</v>
      </c>
      <c r="AH45" s="38" t="s">
        <v>11</v>
      </c>
      <c r="AI45" s="38" t="s">
        <v>11</v>
      </c>
      <c r="AJ45" s="38" t="s">
        <v>11</v>
      </c>
      <c r="AK45" s="38" t="s">
        <v>11</v>
      </c>
      <c r="AL45" s="38" t="s">
        <v>11</v>
      </c>
      <c r="AM45" s="38" t="s">
        <v>11</v>
      </c>
      <c r="AN45" s="38" t="s">
        <v>11</v>
      </c>
      <c r="AO45" s="38" t="s">
        <v>11</v>
      </c>
      <c r="AP45" s="38" t="s">
        <v>11</v>
      </c>
      <c r="AQ45" s="38" t="s">
        <v>11</v>
      </c>
      <c r="AR45" s="38" t="s">
        <v>11</v>
      </c>
      <c r="AS45" s="38" t="s">
        <v>11</v>
      </c>
      <c r="AT45" s="38" t="s">
        <v>11</v>
      </c>
      <c r="AU45" s="38" t="s">
        <v>11</v>
      </c>
      <c r="AV45" s="38" t="s">
        <v>11</v>
      </c>
      <c r="AW45" s="38" t="s">
        <v>11</v>
      </c>
      <c r="AX45" s="38"/>
      <c r="AY45" s="38"/>
      <c r="AZ45" s="38"/>
      <c r="BA45" s="2"/>
      <c r="BB45" s="2"/>
      <c r="BC45" s="2"/>
      <c r="BD45" s="38"/>
      <c r="BE45" s="38"/>
      <c r="BF45" s="38"/>
      <c r="BG45" s="38"/>
      <c r="BH45" s="38"/>
      <c r="BI45" s="38"/>
      <c r="BJ45" s="38"/>
      <c r="BK45" s="38"/>
      <c r="BL45" s="38"/>
      <c r="BM45" s="38"/>
      <c r="BN45" s="38"/>
      <c r="BO45" s="38"/>
      <c r="BP45" s="38"/>
      <c r="BQ45" s="38"/>
      <c r="BR45" s="38"/>
      <c r="BS45" s="38"/>
      <c r="BT45" s="38"/>
    </row>
    <row r="46" spans="2:72" ht="13.8" x14ac:dyDescent="0.25">
      <c r="B46" s="311"/>
      <c r="C46" s="55" t="s">
        <v>483</v>
      </c>
      <c r="D46" s="29"/>
      <c r="E46" s="38" t="s">
        <v>11</v>
      </c>
      <c r="F46" s="38" t="s">
        <v>11</v>
      </c>
      <c r="G46" s="38" t="s">
        <v>11</v>
      </c>
      <c r="H46" s="38" t="s">
        <v>11</v>
      </c>
      <c r="I46" s="38" t="s">
        <v>11</v>
      </c>
      <c r="J46" s="38" t="s">
        <v>11</v>
      </c>
      <c r="K46" s="38" t="s">
        <v>11</v>
      </c>
      <c r="L46" s="38" t="s">
        <v>11</v>
      </c>
      <c r="M46" s="38" t="s">
        <v>11</v>
      </c>
      <c r="N46" s="38" t="s">
        <v>11</v>
      </c>
      <c r="O46" s="38" t="s">
        <v>11</v>
      </c>
      <c r="P46" s="38" t="s">
        <v>11</v>
      </c>
      <c r="Q46" s="38" t="s">
        <v>11</v>
      </c>
      <c r="R46" s="38" t="s">
        <v>11</v>
      </c>
      <c r="S46" s="38" t="s">
        <v>11</v>
      </c>
      <c r="T46" s="38" t="s">
        <v>11</v>
      </c>
      <c r="U46" s="38" t="s">
        <v>11</v>
      </c>
      <c r="V46" s="38" t="s">
        <v>11</v>
      </c>
      <c r="W46" s="38" t="s">
        <v>11</v>
      </c>
      <c r="X46" s="38" t="s">
        <v>11</v>
      </c>
      <c r="Y46" s="38" t="s">
        <v>11</v>
      </c>
      <c r="Z46" s="38" t="s">
        <v>11</v>
      </c>
      <c r="AA46" s="38" t="s">
        <v>11</v>
      </c>
      <c r="AB46" s="38" t="s">
        <v>11</v>
      </c>
      <c r="AC46" s="38" t="s">
        <v>11</v>
      </c>
      <c r="AD46" s="38" t="s">
        <v>11</v>
      </c>
      <c r="AE46" s="38" t="s">
        <v>11</v>
      </c>
      <c r="AF46" s="38" t="s">
        <v>11</v>
      </c>
      <c r="AG46" s="38" t="s">
        <v>11</v>
      </c>
      <c r="AH46" s="38" t="s">
        <v>11</v>
      </c>
      <c r="AI46" s="38" t="s">
        <v>11</v>
      </c>
      <c r="AJ46" s="38" t="s">
        <v>11</v>
      </c>
      <c r="AK46" s="38" t="s">
        <v>11</v>
      </c>
      <c r="AL46" s="38" t="s">
        <v>11</v>
      </c>
      <c r="AM46" s="38" t="s">
        <v>11</v>
      </c>
      <c r="AN46" s="38" t="s">
        <v>11</v>
      </c>
      <c r="AO46" s="38" t="s">
        <v>11</v>
      </c>
      <c r="AP46" s="38" t="s">
        <v>11</v>
      </c>
      <c r="AQ46" s="38" t="s">
        <v>11</v>
      </c>
      <c r="AR46" s="38" t="s">
        <v>11</v>
      </c>
      <c r="AS46" s="38" t="s">
        <v>11</v>
      </c>
      <c r="AT46" s="38" t="s">
        <v>11</v>
      </c>
      <c r="AU46" s="38" t="s">
        <v>11</v>
      </c>
      <c r="AV46" s="38" t="s">
        <v>11</v>
      </c>
      <c r="AW46" s="38" t="s">
        <v>11</v>
      </c>
      <c r="AX46" s="38"/>
      <c r="AY46" s="38"/>
      <c r="AZ46" s="38"/>
      <c r="BA46" s="2"/>
      <c r="BB46" s="2"/>
      <c r="BC46" s="2"/>
      <c r="BD46" s="38"/>
      <c r="BE46" s="38"/>
      <c r="BF46" s="38"/>
      <c r="BG46" s="38"/>
      <c r="BH46" s="38"/>
      <c r="BI46" s="38"/>
      <c r="BJ46" s="38"/>
      <c r="BK46" s="38"/>
      <c r="BL46" s="38"/>
      <c r="BM46" s="38"/>
      <c r="BN46" s="38"/>
      <c r="BO46" s="38"/>
      <c r="BP46" s="38"/>
      <c r="BQ46" s="38"/>
      <c r="BR46" s="38"/>
      <c r="BS46" s="38"/>
      <c r="BT46" s="38"/>
    </row>
    <row r="47" spans="2:72" ht="13.8" x14ac:dyDescent="0.25">
      <c r="B47" s="311"/>
      <c r="C47" s="55" t="s">
        <v>484</v>
      </c>
      <c r="D47" s="29"/>
      <c r="E47" s="38" t="s">
        <v>11</v>
      </c>
      <c r="F47" s="38" t="s">
        <v>11</v>
      </c>
      <c r="G47" s="38" t="s">
        <v>11</v>
      </c>
      <c r="H47" s="38" t="s">
        <v>11</v>
      </c>
      <c r="I47" s="38" t="s">
        <v>11</v>
      </c>
      <c r="J47" s="38" t="s">
        <v>11</v>
      </c>
      <c r="K47" s="38" t="s">
        <v>11</v>
      </c>
      <c r="L47" s="38" t="s">
        <v>11</v>
      </c>
      <c r="M47" s="38" t="s">
        <v>11</v>
      </c>
      <c r="N47" s="38" t="s">
        <v>11</v>
      </c>
      <c r="O47" s="38" t="s">
        <v>11</v>
      </c>
      <c r="P47" s="38" t="s">
        <v>11</v>
      </c>
      <c r="Q47" s="38" t="s">
        <v>11</v>
      </c>
      <c r="R47" s="38" t="s">
        <v>11</v>
      </c>
      <c r="S47" s="38" t="s">
        <v>11</v>
      </c>
      <c r="T47" s="38" t="s">
        <v>11</v>
      </c>
      <c r="U47" s="38" t="s">
        <v>11</v>
      </c>
      <c r="V47" s="38" t="s">
        <v>11</v>
      </c>
      <c r="W47" s="38" t="s">
        <v>11</v>
      </c>
      <c r="X47" s="38" t="s">
        <v>11</v>
      </c>
      <c r="Y47" s="38" t="s">
        <v>11</v>
      </c>
      <c r="Z47" s="38" t="s">
        <v>11</v>
      </c>
      <c r="AA47" s="38" t="s">
        <v>11</v>
      </c>
      <c r="AB47" s="38" t="s">
        <v>11</v>
      </c>
      <c r="AC47" s="38" t="s">
        <v>11</v>
      </c>
      <c r="AD47" s="38" t="s">
        <v>11</v>
      </c>
      <c r="AE47" s="38" t="s">
        <v>11</v>
      </c>
      <c r="AF47" s="38" t="s">
        <v>11</v>
      </c>
      <c r="AG47" s="38" t="s">
        <v>11</v>
      </c>
      <c r="AH47" s="38" t="s">
        <v>11</v>
      </c>
      <c r="AI47" s="38" t="s">
        <v>11</v>
      </c>
      <c r="AJ47" s="38" t="s">
        <v>11</v>
      </c>
      <c r="AK47" s="38" t="s">
        <v>11</v>
      </c>
      <c r="AL47" s="38" t="s">
        <v>11</v>
      </c>
      <c r="AM47" s="38" t="s">
        <v>11</v>
      </c>
      <c r="AN47" s="38" t="s">
        <v>11</v>
      </c>
      <c r="AO47" s="38" t="s">
        <v>11</v>
      </c>
      <c r="AP47" s="38" t="s">
        <v>11</v>
      </c>
      <c r="AQ47" s="38" t="s">
        <v>11</v>
      </c>
      <c r="AR47" s="38" t="s">
        <v>11</v>
      </c>
      <c r="AS47" s="38" t="s">
        <v>11</v>
      </c>
      <c r="AT47" s="38" t="s">
        <v>11</v>
      </c>
      <c r="AU47" s="38" t="s">
        <v>11</v>
      </c>
      <c r="AV47" s="38" t="s">
        <v>11</v>
      </c>
      <c r="AW47" s="38" t="s">
        <v>11</v>
      </c>
      <c r="AX47" s="38"/>
      <c r="AY47" s="38"/>
      <c r="AZ47" s="38"/>
      <c r="BA47" s="2"/>
      <c r="BB47" s="2"/>
      <c r="BC47" s="2"/>
      <c r="BD47" s="38"/>
      <c r="BE47" s="38"/>
      <c r="BF47" s="38"/>
      <c r="BG47" s="38"/>
      <c r="BH47" s="38"/>
      <c r="BI47" s="38"/>
      <c r="BJ47" s="38"/>
      <c r="BK47" s="38"/>
      <c r="BL47" s="38"/>
      <c r="BM47" s="38"/>
      <c r="BN47" s="38"/>
      <c r="BO47" s="38"/>
      <c r="BP47" s="38"/>
      <c r="BQ47" s="38"/>
      <c r="BR47" s="38"/>
      <c r="BS47" s="38"/>
      <c r="BT47" s="38"/>
    </row>
    <row r="48" spans="2:72" ht="13.8" x14ac:dyDescent="0.25">
      <c r="B48" s="311"/>
      <c r="C48" s="55" t="s">
        <v>485</v>
      </c>
      <c r="D48" s="29"/>
      <c r="E48" s="38" t="s">
        <v>11</v>
      </c>
      <c r="F48" s="38" t="s">
        <v>11</v>
      </c>
      <c r="G48" s="38" t="s">
        <v>11</v>
      </c>
      <c r="H48" s="38" t="s">
        <v>11</v>
      </c>
      <c r="I48" s="38" t="s">
        <v>11</v>
      </c>
      <c r="J48" s="38" t="s">
        <v>11</v>
      </c>
      <c r="K48" s="38" t="s">
        <v>11</v>
      </c>
      <c r="L48" s="38" t="s">
        <v>11</v>
      </c>
      <c r="M48" s="38" t="s">
        <v>11</v>
      </c>
      <c r="N48" s="38" t="s">
        <v>11</v>
      </c>
      <c r="O48" s="38" t="s">
        <v>11</v>
      </c>
      <c r="P48" s="38" t="s">
        <v>11</v>
      </c>
      <c r="Q48" s="38" t="s">
        <v>11</v>
      </c>
      <c r="R48" s="38" t="s">
        <v>11</v>
      </c>
      <c r="S48" s="38" t="s">
        <v>11</v>
      </c>
      <c r="T48" s="38" t="s">
        <v>11</v>
      </c>
      <c r="U48" s="38" t="s">
        <v>11</v>
      </c>
      <c r="V48" s="38" t="s">
        <v>11</v>
      </c>
      <c r="W48" s="38" t="s">
        <v>11</v>
      </c>
      <c r="X48" s="38" t="s">
        <v>11</v>
      </c>
      <c r="Y48" s="38" t="s">
        <v>11</v>
      </c>
      <c r="Z48" s="38" t="s">
        <v>11</v>
      </c>
      <c r="AA48" s="38" t="s">
        <v>11</v>
      </c>
      <c r="AB48" s="38" t="s">
        <v>11</v>
      </c>
      <c r="AC48" s="38" t="s">
        <v>11</v>
      </c>
      <c r="AD48" s="38" t="s">
        <v>11</v>
      </c>
      <c r="AE48" s="38" t="s">
        <v>11</v>
      </c>
      <c r="AF48" s="38" t="s">
        <v>11</v>
      </c>
      <c r="AG48" s="38" t="s">
        <v>11</v>
      </c>
      <c r="AH48" s="38" t="s">
        <v>11</v>
      </c>
      <c r="AI48" s="38" t="s">
        <v>11</v>
      </c>
      <c r="AJ48" s="38" t="s">
        <v>11</v>
      </c>
      <c r="AK48" s="38" t="s">
        <v>11</v>
      </c>
      <c r="AL48" s="38" t="s">
        <v>11</v>
      </c>
      <c r="AM48" s="38" t="s">
        <v>11</v>
      </c>
      <c r="AN48" s="38" t="s">
        <v>11</v>
      </c>
      <c r="AO48" s="38" t="s">
        <v>11</v>
      </c>
      <c r="AP48" s="38" t="s">
        <v>11</v>
      </c>
      <c r="AQ48" s="38" t="s">
        <v>11</v>
      </c>
      <c r="AR48" s="38" t="s">
        <v>11</v>
      </c>
      <c r="AS48" s="38" t="s">
        <v>11</v>
      </c>
      <c r="AT48" s="38" t="s">
        <v>11</v>
      </c>
      <c r="AU48" s="38" t="s">
        <v>11</v>
      </c>
      <c r="AV48" s="38" t="s">
        <v>11</v>
      </c>
      <c r="AW48" s="38" t="s">
        <v>11</v>
      </c>
      <c r="AX48" s="38"/>
      <c r="AY48" s="38"/>
      <c r="AZ48" s="38"/>
      <c r="BA48" s="2"/>
      <c r="BB48" s="2"/>
      <c r="BC48" s="2"/>
      <c r="BD48" s="38"/>
      <c r="BE48" s="38"/>
      <c r="BF48" s="38"/>
      <c r="BG48" s="38"/>
      <c r="BH48" s="38"/>
      <c r="BI48" s="38"/>
      <c r="BJ48" s="38"/>
      <c r="BK48" s="38"/>
      <c r="BL48" s="38"/>
      <c r="BM48" s="38"/>
      <c r="BN48" s="38"/>
      <c r="BO48" s="38"/>
      <c r="BP48" s="38"/>
      <c r="BQ48" s="38"/>
      <c r="BR48" s="38"/>
      <c r="BS48" s="38"/>
      <c r="BT48" s="38"/>
    </row>
    <row r="49" spans="2:72" ht="13.8" x14ac:dyDescent="0.25">
      <c r="B49" s="311"/>
      <c r="C49" s="55" t="s">
        <v>486</v>
      </c>
      <c r="D49" s="29"/>
      <c r="E49" s="38" t="s">
        <v>11</v>
      </c>
      <c r="F49" s="38" t="s">
        <v>11</v>
      </c>
      <c r="G49" s="38" t="s">
        <v>11</v>
      </c>
      <c r="H49" s="38" t="s">
        <v>11</v>
      </c>
      <c r="I49" s="38" t="s">
        <v>11</v>
      </c>
      <c r="J49" s="38" t="s">
        <v>11</v>
      </c>
      <c r="K49" s="38" t="s">
        <v>11</v>
      </c>
      <c r="L49" s="38" t="s">
        <v>11</v>
      </c>
      <c r="M49" s="38" t="s">
        <v>11</v>
      </c>
      <c r="N49" s="38" t="s">
        <v>11</v>
      </c>
      <c r="O49" s="38" t="s">
        <v>11</v>
      </c>
      <c r="P49" s="38" t="s">
        <v>11</v>
      </c>
      <c r="Q49" s="38" t="s">
        <v>11</v>
      </c>
      <c r="R49" s="38" t="s">
        <v>11</v>
      </c>
      <c r="S49" s="38" t="s">
        <v>11</v>
      </c>
      <c r="T49" s="38" t="s">
        <v>11</v>
      </c>
      <c r="U49" s="38" t="s">
        <v>11</v>
      </c>
      <c r="V49" s="38" t="s">
        <v>11</v>
      </c>
      <c r="W49" s="38" t="s">
        <v>11</v>
      </c>
      <c r="X49" s="38" t="s">
        <v>11</v>
      </c>
      <c r="Y49" s="38" t="s">
        <v>11</v>
      </c>
      <c r="Z49" s="38" t="s">
        <v>11</v>
      </c>
      <c r="AA49" s="38" t="s">
        <v>11</v>
      </c>
      <c r="AB49" s="38" t="s">
        <v>11</v>
      </c>
      <c r="AC49" s="38" t="s">
        <v>11</v>
      </c>
      <c r="AD49" s="38" t="s">
        <v>11</v>
      </c>
      <c r="AE49" s="38" t="s">
        <v>11</v>
      </c>
      <c r="AF49" s="38" t="s">
        <v>11</v>
      </c>
      <c r="AG49" s="38" t="s">
        <v>11</v>
      </c>
      <c r="AH49" s="38" t="s">
        <v>11</v>
      </c>
      <c r="AI49" s="38" t="s">
        <v>11</v>
      </c>
      <c r="AJ49" s="38" t="s">
        <v>11</v>
      </c>
      <c r="AK49" s="38" t="s">
        <v>11</v>
      </c>
      <c r="AL49" s="38" t="s">
        <v>11</v>
      </c>
      <c r="AM49" s="38" t="s">
        <v>11</v>
      </c>
      <c r="AN49" s="38" t="s">
        <v>11</v>
      </c>
      <c r="AO49" s="38" t="s">
        <v>11</v>
      </c>
      <c r="AP49" s="38" t="s">
        <v>11</v>
      </c>
      <c r="AQ49" s="38" t="s">
        <v>11</v>
      </c>
      <c r="AR49" s="38" t="s">
        <v>11</v>
      </c>
      <c r="AS49" s="38" t="s">
        <v>11</v>
      </c>
      <c r="AT49" s="38" t="s">
        <v>11</v>
      </c>
      <c r="AU49" s="38" t="s">
        <v>11</v>
      </c>
      <c r="AV49" s="38" t="s">
        <v>11</v>
      </c>
      <c r="AW49" s="38" t="s">
        <v>11</v>
      </c>
      <c r="AX49" s="38"/>
      <c r="AY49" s="38"/>
      <c r="AZ49" s="38"/>
      <c r="BA49" s="2"/>
      <c r="BB49" s="2"/>
      <c r="BC49" s="2"/>
      <c r="BD49" s="38"/>
      <c r="BE49" s="38"/>
      <c r="BF49" s="38"/>
      <c r="BG49" s="38"/>
      <c r="BH49" s="38"/>
      <c r="BI49" s="38"/>
      <c r="BJ49" s="38"/>
      <c r="BK49" s="38"/>
      <c r="BL49" s="38"/>
      <c r="BM49" s="38"/>
      <c r="BN49" s="38"/>
      <c r="BO49" s="38"/>
      <c r="BP49" s="38"/>
      <c r="BQ49" s="38"/>
      <c r="BR49" s="38"/>
      <c r="BS49" s="38"/>
      <c r="BT49" s="38"/>
    </row>
    <row r="50" spans="2:72" ht="13.8" x14ac:dyDescent="0.25">
      <c r="B50" s="311"/>
      <c r="C50" s="55" t="s">
        <v>487</v>
      </c>
      <c r="D50" s="14" t="s">
        <v>442</v>
      </c>
      <c r="E50" s="2" t="s">
        <v>866</v>
      </c>
      <c r="F50" s="2" t="s">
        <v>866</v>
      </c>
      <c r="G50" s="2" t="s">
        <v>866</v>
      </c>
      <c r="H50" s="2" t="s">
        <v>866</v>
      </c>
      <c r="I50" s="2" t="s">
        <v>869</v>
      </c>
      <c r="J50" s="2" t="s">
        <v>869</v>
      </c>
      <c r="K50" s="2" t="s">
        <v>869</v>
      </c>
      <c r="L50" s="2" t="s">
        <v>869</v>
      </c>
      <c r="M50" s="2" t="s">
        <v>869</v>
      </c>
      <c r="N50" s="2" t="s">
        <v>869</v>
      </c>
      <c r="O50" s="2" t="s">
        <v>869</v>
      </c>
      <c r="P50" s="2" t="s">
        <v>869</v>
      </c>
      <c r="Q50" s="2" t="s">
        <v>869</v>
      </c>
      <c r="R50" s="2" t="s">
        <v>869</v>
      </c>
      <c r="S50" s="2" t="s">
        <v>869</v>
      </c>
      <c r="T50" s="2" t="s">
        <v>869</v>
      </c>
      <c r="U50" s="2" t="s">
        <v>869</v>
      </c>
      <c r="V50" s="2" t="s">
        <v>869</v>
      </c>
      <c r="W50" s="2" t="s">
        <v>869</v>
      </c>
      <c r="X50" s="2" t="s">
        <v>869</v>
      </c>
      <c r="Y50" s="2" t="s">
        <v>869</v>
      </c>
      <c r="Z50" s="2" t="s">
        <v>869</v>
      </c>
      <c r="AA50" s="2" t="s">
        <v>869</v>
      </c>
      <c r="AB50" s="2" t="s">
        <v>869</v>
      </c>
      <c r="AC50" s="2" t="s">
        <v>869</v>
      </c>
      <c r="AD50" s="2" t="s">
        <v>869</v>
      </c>
      <c r="AE50" s="2" t="s">
        <v>869</v>
      </c>
      <c r="AF50" s="2" t="s">
        <v>869</v>
      </c>
      <c r="AG50" s="2" t="s">
        <v>869</v>
      </c>
      <c r="AH50" s="2" t="s">
        <v>869</v>
      </c>
      <c r="AI50" s="2" t="s">
        <v>869</v>
      </c>
      <c r="AJ50" s="2" t="s">
        <v>869</v>
      </c>
      <c r="AK50" s="2" t="s">
        <v>869</v>
      </c>
      <c r="AL50" s="2" t="s">
        <v>869</v>
      </c>
      <c r="AM50" s="2" t="s">
        <v>869</v>
      </c>
      <c r="AN50" s="2" t="s">
        <v>869</v>
      </c>
      <c r="AO50" s="2" t="s">
        <v>869</v>
      </c>
      <c r="AP50" s="2" t="s">
        <v>869</v>
      </c>
      <c r="AQ50" s="2" t="s">
        <v>869</v>
      </c>
      <c r="AR50" s="2" t="s">
        <v>869</v>
      </c>
      <c r="AS50" s="2" t="s">
        <v>869</v>
      </c>
      <c r="AT50" s="2" t="s">
        <v>869</v>
      </c>
      <c r="AU50" s="2" t="s">
        <v>869</v>
      </c>
      <c r="AV50" s="2" t="s">
        <v>869</v>
      </c>
      <c r="AW50" s="2" t="s">
        <v>869</v>
      </c>
      <c r="AX50" s="2"/>
      <c r="AY50" s="2"/>
      <c r="AZ50" s="2"/>
      <c r="BA50" s="2"/>
      <c r="BB50" s="2"/>
      <c r="BC50" s="2"/>
      <c r="BD50" s="2"/>
      <c r="BE50" s="2"/>
      <c r="BF50" s="2"/>
      <c r="BG50" s="2"/>
      <c r="BH50" s="2"/>
      <c r="BI50" s="2"/>
      <c r="BJ50" s="2"/>
      <c r="BK50" s="2"/>
      <c r="BL50" s="2"/>
      <c r="BM50" s="2"/>
      <c r="BN50" s="2"/>
      <c r="BO50" s="2"/>
      <c r="BP50" s="2"/>
      <c r="BQ50" s="2"/>
      <c r="BR50" s="2"/>
      <c r="BS50" s="2"/>
      <c r="BT50" s="2"/>
    </row>
    <row r="51" spans="2:72" ht="13.8" x14ac:dyDescent="0.25">
      <c r="B51" s="311"/>
      <c r="C51" s="55" t="s">
        <v>488</v>
      </c>
      <c r="D51" s="14" t="s">
        <v>442</v>
      </c>
      <c r="E51" s="2" t="s">
        <v>222</v>
      </c>
      <c r="F51" s="2" t="s">
        <v>237</v>
      </c>
      <c r="G51" s="2" t="s">
        <v>238</v>
      </c>
      <c r="H51" s="2" t="s">
        <v>239</v>
      </c>
      <c r="I51" s="2" t="s">
        <v>870</v>
      </c>
      <c r="J51" s="2" t="s">
        <v>870</v>
      </c>
      <c r="K51" s="2" t="s">
        <v>870</v>
      </c>
      <c r="L51" s="2" t="s">
        <v>870</v>
      </c>
      <c r="M51" s="2" t="s">
        <v>870</v>
      </c>
      <c r="N51" s="2" t="s">
        <v>870</v>
      </c>
      <c r="O51" s="2" t="s">
        <v>870</v>
      </c>
      <c r="P51" s="2" t="s">
        <v>870</v>
      </c>
      <c r="Q51" s="2" t="s">
        <v>870</v>
      </c>
      <c r="R51" s="2" t="s">
        <v>870</v>
      </c>
      <c r="S51" s="2" t="s">
        <v>870</v>
      </c>
      <c r="T51" s="2" t="s">
        <v>870</v>
      </c>
      <c r="U51" s="2" t="s">
        <v>870</v>
      </c>
      <c r="V51" s="2" t="s">
        <v>870</v>
      </c>
      <c r="W51" s="2" t="s">
        <v>870</v>
      </c>
      <c r="X51" s="2" t="s">
        <v>870</v>
      </c>
      <c r="Y51" s="2" t="s">
        <v>870</v>
      </c>
      <c r="Z51" s="2" t="s">
        <v>870</v>
      </c>
      <c r="AA51" s="2" t="s">
        <v>870</v>
      </c>
      <c r="AB51" s="2" t="s">
        <v>870</v>
      </c>
      <c r="AC51" s="2" t="s">
        <v>870</v>
      </c>
      <c r="AD51" s="2" t="s">
        <v>870</v>
      </c>
      <c r="AE51" s="2" t="s">
        <v>870</v>
      </c>
      <c r="AF51" s="2" t="s">
        <v>870</v>
      </c>
      <c r="AG51" s="2" t="s">
        <v>870</v>
      </c>
      <c r="AH51" s="2" t="s">
        <v>870</v>
      </c>
      <c r="AI51" s="2" t="s">
        <v>870</v>
      </c>
      <c r="AJ51" s="2" t="s">
        <v>870</v>
      </c>
      <c r="AK51" s="2" t="s">
        <v>870</v>
      </c>
      <c r="AL51" s="2" t="s">
        <v>870</v>
      </c>
      <c r="AM51" s="2" t="s">
        <v>870</v>
      </c>
      <c r="AN51" s="2" t="s">
        <v>870</v>
      </c>
      <c r="AO51" s="2" t="s">
        <v>870</v>
      </c>
      <c r="AP51" s="2" t="s">
        <v>870</v>
      </c>
      <c r="AQ51" s="2" t="s">
        <v>870</v>
      </c>
      <c r="AR51" s="2" t="s">
        <v>870</v>
      </c>
      <c r="AS51" s="2" t="s">
        <v>870</v>
      </c>
      <c r="AT51" s="2" t="s">
        <v>870</v>
      </c>
      <c r="AU51" s="2" t="s">
        <v>870</v>
      </c>
      <c r="AV51" s="2" t="s">
        <v>870</v>
      </c>
      <c r="AW51" s="2" t="s">
        <v>870</v>
      </c>
      <c r="AX51" s="2"/>
      <c r="AY51" s="2"/>
      <c r="AZ51" s="2"/>
      <c r="BA51" s="2"/>
      <c r="BB51" s="2"/>
      <c r="BC51" s="2"/>
      <c r="BD51" s="2"/>
      <c r="BE51" s="2"/>
      <c r="BF51" s="2"/>
      <c r="BG51" s="2"/>
      <c r="BH51" s="2"/>
      <c r="BI51" s="2"/>
      <c r="BJ51" s="2"/>
      <c r="BK51" s="2"/>
      <c r="BL51" s="2"/>
      <c r="BM51" s="2"/>
      <c r="BN51" s="2"/>
      <c r="BO51" s="2"/>
      <c r="BP51" s="2"/>
      <c r="BQ51" s="2"/>
      <c r="BR51" s="2"/>
      <c r="BS51" s="2"/>
      <c r="BT51" s="2"/>
    </row>
    <row r="52" spans="2:72" ht="13.8" x14ac:dyDescent="0.25">
      <c r="B52" s="311"/>
      <c r="C52" s="55" t="s">
        <v>489</v>
      </c>
      <c r="D52" s="14" t="s">
        <v>442</v>
      </c>
      <c r="E52" s="5" t="s">
        <v>38</v>
      </c>
      <c r="F52" s="2" t="s">
        <v>240</v>
      </c>
      <c r="G52" s="2" t="s">
        <v>240</v>
      </c>
      <c r="H52" s="2" t="s">
        <v>240</v>
      </c>
      <c r="I52" s="2" t="s">
        <v>871</v>
      </c>
      <c r="J52" s="2" t="s">
        <v>871</v>
      </c>
      <c r="K52" s="2" t="s">
        <v>871</v>
      </c>
      <c r="L52" s="2" t="s">
        <v>871</v>
      </c>
      <c r="M52" s="2" t="s">
        <v>871</v>
      </c>
      <c r="N52" s="2" t="s">
        <v>871</v>
      </c>
      <c r="O52" s="2" t="s">
        <v>871</v>
      </c>
      <c r="P52" s="2" t="s">
        <v>871</v>
      </c>
      <c r="Q52" s="2" t="s">
        <v>871</v>
      </c>
      <c r="R52" s="2" t="s">
        <v>871</v>
      </c>
      <c r="S52" s="2" t="s">
        <v>871</v>
      </c>
      <c r="T52" s="2" t="s">
        <v>871</v>
      </c>
      <c r="U52" s="2" t="s">
        <v>871</v>
      </c>
      <c r="V52" s="2" t="s">
        <v>871</v>
      </c>
      <c r="W52" s="2" t="s">
        <v>871</v>
      </c>
      <c r="X52" s="2" t="s">
        <v>871</v>
      </c>
      <c r="Y52" s="2" t="s">
        <v>871</v>
      </c>
      <c r="Z52" s="2" t="s">
        <v>871</v>
      </c>
      <c r="AA52" s="2" t="s">
        <v>871</v>
      </c>
      <c r="AB52" s="2" t="s">
        <v>871</v>
      </c>
      <c r="AC52" s="2" t="s">
        <v>871</v>
      </c>
      <c r="AD52" s="2" t="s">
        <v>871</v>
      </c>
      <c r="AE52" s="2" t="s">
        <v>871</v>
      </c>
      <c r="AF52" s="2" t="s">
        <v>871</v>
      </c>
      <c r="AG52" s="2" t="s">
        <v>871</v>
      </c>
      <c r="AH52" s="2" t="s">
        <v>871</v>
      </c>
      <c r="AI52" s="2" t="s">
        <v>871</v>
      </c>
      <c r="AJ52" s="2" t="s">
        <v>871</v>
      </c>
      <c r="AK52" s="2" t="s">
        <v>871</v>
      </c>
      <c r="AL52" s="2" t="s">
        <v>871</v>
      </c>
      <c r="AM52" s="2" t="s">
        <v>871</v>
      </c>
      <c r="AN52" s="2" t="s">
        <v>871</v>
      </c>
      <c r="AO52" s="2" t="s">
        <v>871</v>
      </c>
      <c r="AP52" s="2" t="s">
        <v>871</v>
      </c>
      <c r="AQ52" s="2" t="s">
        <v>871</v>
      </c>
      <c r="AR52" s="2" t="s">
        <v>871</v>
      </c>
      <c r="AS52" s="2" t="s">
        <v>871</v>
      </c>
      <c r="AT52" s="2" t="s">
        <v>871</v>
      </c>
      <c r="AU52" s="2" t="s">
        <v>871</v>
      </c>
      <c r="AV52" s="2" t="s">
        <v>871</v>
      </c>
      <c r="AW52" s="2" t="s">
        <v>871</v>
      </c>
      <c r="AX52" s="2"/>
      <c r="AY52" s="2"/>
      <c r="AZ52" s="2"/>
      <c r="BA52" s="2"/>
      <c r="BB52" s="2"/>
      <c r="BC52" s="2"/>
      <c r="BD52" s="2"/>
      <c r="BE52" s="2"/>
      <c r="BF52" s="2"/>
      <c r="BG52" s="2"/>
      <c r="BH52" s="2"/>
      <c r="BI52" s="2"/>
      <c r="BJ52" s="2"/>
      <c r="BK52" s="2"/>
      <c r="BL52" s="2"/>
      <c r="BM52" s="2"/>
      <c r="BN52" s="2"/>
      <c r="BO52" s="2"/>
      <c r="BP52" s="2"/>
      <c r="BQ52" s="2"/>
      <c r="BR52" s="2"/>
      <c r="BS52" s="2"/>
      <c r="BT52" s="2"/>
    </row>
    <row r="53" spans="2:72" ht="14.1" customHeight="1" x14ac:dyDescent="0.25">
      <c r="B53" s="312" t="s">
        <v>8</v>
      </c>
      <c r="C53" s="54" t="s">
        <v>439</v>
      </c>
      <c r="D53" s="14" t="s">
        <v>442</v>
      </c>
      <c r="E53" s="105" t="s">
        <v>207</v>
      </c>
      <c r="F53" s="105" t="s">
        <v>207</v>
      </c>
      <c r="G53" s="105" t="s">
        <v>207</v>
      </c>
      <c r="H53" s="105" t="s">
        <v>207</v>
      </c>
      <c r="I53" s="105" t="s">
        <v>207</v>
      </c>
      <c r="J53" s="105" t="s">
        <v>207</v>
      </c>
      <c r="K53" s="105" t="s">
        <v>207</v>
      </c>
      <c r="L53" s="105" t="s">
        <v>207</v>
      </c>
      <c r="M53" s="105" t="s">
        <v>207</v>
      </c>
      <c r="N53" s="105" t="s">
        <v>207</v>
      </c>
      <c r="O53" s="105" t="s">
        <v>207</v>
      </c>
      <c r="P53" s="105" t="s">
        <v>207</v>
      </c>
      <c r="Q53" s="105" t="s">
        <v>207</v>
      </c>
      <c r="R53" s="105" t="s">
        <v>207</v>
      </c>
      <c r="S53" s="105" t="s">
        <v>207</v>
      </c>
      <c r="T53" s="105" t="s">
        <v>207</v>
      </c>
      <c r="U53" s="105" t="s">
        <v>207</v>
      </c>
      <c r="V53" s="105" t="s">
        <v>207</v>
      </c>
      <c r="W53" s="105" t="s">
        <v>207</v>
      </c>
      <c r="X53" s="105" t="s">
        <v>207</v>
      </c>
      <c r="Y53" s="105" t="s">
        <v>207</v>
      </c>
      <c r="Z53" s="105" t="s">
        <v>207</v>
      </c>
      <c r="AA53" s="105" t="s">
        <v>207</v>
      </c>
      <c r="AB53" s="105" t="s">
        <v>207</v>
      </c>
      <c r="AC53" s="105" t="s">
        <v>207</v>
      </c>
      <c r="AD53" s="105" t="s">
        <v>207</v>
      </c>
      <c r="AE53" s="105" t="s">
        <v>207</v>
      </c>
      <c r="AF53" s="105" t="s">
        <v>207</v>
      </c>
      <c r="AG53" s="105" t="s">
        <v>207</v>
      </c>
      <c r="AH53" s="105" t="s">
        <v>207</v>
      </c>
      <c r="AI53" s="105" t="s">
        <v>207</v>
      </c>
      <c r="AJ53" s="105" t="s">
        <v>207</v>
      </c>
      <c r="AK53" s="105" t="s">
        <v>207</v>
      </c>
      <c r="AL53" s="105" t="s">
        <v>207</v>
      </c>
      <c r="AM53" s="105" t="s">
        <v>207</v>
      </c>
      <c r="AN53" s="105" t="s">
        <v>207</v>
      </c>
      <c r="AO53" s="105" t="s">
        <v>207</v>
      </c>
      <c r="AP53" s="105" t="s">
        <v>207</v>
      </c>
      <c r="AQ53" s="105" t="s">
        <v>207</v>
      </c>
      <c r="AR53" s="105" t="s">
        <v>207</v>
      </c>
      <c r="AS53" s="105" t="s">
        <v>207</v>
      </c>
      <c r="AT53" s="105" t="s">
        <v>207</v>
      </c>
      <c r="AU53" s="105" t="s">
        <v>207</v>
      </c>
      <c r="AV53" s="105" t="s">
        <v>207</v>
      </c>
      <c r="AW53" s="105" t="s">
        <v>207</v>
      </c>
      <c r="AX53" s="105"/>
      <c r="AY53" s="105"/>
      <c r="AZ53" s="105"/>
      <c r="BA53" s="2"/>
      <c r="BB53" s="2"/>
      <c r="BC53" s="2"/>
      <c r="BD53" s="4"/>
      <c r="BE53" s="4"/>
      <c r="BF53" s="4"/>
      <c r="BG53" s="105"/>
      <c r="BH53" s="105"/>
      <c r="BI53" s="105"/>
      <c r="BJ53" s="105"/>
      <c r="BK53" s="105"/>
      <c r="BL53" s="105"/>
      <c r="BM53" s="105"/>
      <c r="BN53" s="105"/>
      <c r="BO53" s="105"/>
      <c r="BP53" s="105"/>
      <c r="BQ53" s="105"/>
      <c r="BR53" s="105"/>
      <c r="BS53" s="105"/>
      <c r="BT53" s="105"/>
    </row>
    <row r="54" spans="2:72" ht="13.8" x14ac:dyDescent="0.25">
      <c r="B54" s="312"/>
      <c r="C54" s="54" t="s">
        <v>440</v>
      </c>
      <c r="D54" s="14" t="s">
        <v>442</v>
      </c>
      <c r="E54" s="5" t="s">
        <v>61</v>
      </c>
      <c r="F54" s="5" t="s">
        <v>61</v>
      </c>
      <c r="G54" s="5" t="s">
        <v>61</v>
      </c>
      <c r="H54" s="5" t="s">
        <v>61</v>
      </c>
      <c r="I54" s="5" t="s">
        <v>61</v>
      </c>
      <c r="J54" s="5" t="s">
        <v>61</v>
      </c>
      <c r="K54" s="5" t="s">
        <v>61</v>
      </c>
      <c r="L54" s="5" t="s">
        <v>61</v>
      </c>
      <c r="M54" s="5" t="s">
        <v>61</v>
      </c>
      <c r="N54" s="5" t="s">
        <v>61</v>
      </c>
      <c r="O54" s="5" t="s">
        <v>61</v>
      </c>
      <c r="P54" s="5" t="s">
        <v>61</v>
      </c>
      <c r="Q54" s="5" t="s">
        <v>61</v>
      </c>
      <c r="R54" s="5" t="s">
        <v>61</v>
      </c>
      <c r="S54" s="5" t="s">
        <v>61</v>
      </c>
      <c r="T54" s="5" t="s">
        <v>61</v>
      </c>
      <c r="U54" s="5" t="s">
        <v>61</v>
      </c>
      <c r="V54" s="5" t="s">
        <v>61</v>
      </c>
      <c r="W54" s="5" t="s">
        <v>61</v>
      </c>
      <c r="X54" s="5" t="s">
        <v>61</v>
      </c>
      <c r="Y54" s="5" t="s">
        <v>61</v>
      </c>
      <c r="Z54" s="5" t="s">
        <v>61</v>
      </c>
      <c r="AA54" s="5" t="s">
        <v>61</v>
      </c>
      <c r="AB54" s="5" t="s">
        <v>61</v>
      </c>
      <c r="AC54" s="5" t="s">
        <v>61</v>
      </c>
      <c r="AD54" s="5" t="s">
        <v>61</v>
      </c>
      <c r="AE54" s="5" t="s">
        <v>61</v>
      </c>
      <c r="AF54" s="5" t="s">
        <v>61</v>
      </c>
      <c r="AG54" s="5" t="s">
        <v>61</v>
      </c>
      <c r="AH54" s="5" t="s">
        <v>61</v>
      </c>
      <c r="AI54" s="5" t="s">
        <v>61</v>
      </c>
      <c r="AJ54" s="5" t="s">
        <v>61</v>
      </c>
      <c r="AK54" s="5" t="s">
        <v>61</v>
      </c>
      <c r="AL54" s="5" t="s">
        <v>61</v>
      </c>
      <c r="AM54" s="5" t="s">
        <v>61</v>
      </c>
      <c r="AN54" s="5" t="s">
        <v>61</v>
      </c>
      <c r="AO54" s="5" t="s">
        <v>61</v>
      </c>
      <c r="AP54" s="5" t="s">
        <v>61</v>
      </c>
      <c r="AQ54" s="5" t="s">
        <v>61</v>
      </c>
      <c r="AR54" s="5" t="s">
        <v>61</v>
      </c>
      <c r="AS54" s="5" t="s">
        <v>61</v>
      </c>
      <c r="AT54" s="5" t="s">
        <v>61</v>
      </c>
      <c r="AU54" s="5" t="s">
        <v>61</v>
      </c>
      <c r="AV54" s="5" t="s">
        <v>61</v>
      </c>
      <c r="AW54" s="5" t="s">
        <v>61</v>
      </c>
      <c r="AX54" s="5"/>
      <c r="AY54" s="5"/>
      <c r="AZ54" s="5"/>
      <c r="BA54" s="2"/>
      <c r="BB54" s="2"/>
      <c r="BC54" s="2"/>
      <c r="BD54" s="2"/>
      <c r="BE54" s="2"/>
      <c r="BF54" s="2"/>
      <c r="BG54" s="5"/>
      <c r="BH54" s="5"/>
      <c r="BI54" s="5"/>
      <c r="BJ54" s="5"/>
      <c r="BK54" s="5"/>
      <c r="BL54" s="5"/>
      <c r="BM54" s="5"/>
      <c r="BN54" s="5"/>
      <c r="BO54" s="5"/>
      <c r="BP54" s="5"/>
      <c r="BQ54" s="5"/>
      <c r="BR54" s="5"/>
      <c r="BS54" s="5"/>
      <c r="BT54" s="5"/>
    </row>
    <row r="55" spans="2:72" ht="13.8" x14ac:dyDescent="0.25">
      <c r="B55" s="312"/>
      <c r="C55" s="13" t="s">
        <v>441</v>
      </c>
      <c r="D55" s="40" t="s">
        <v>442</v>
      </c>
      <c r="E55" s="5" t="s">
        <v>40</v>
      </c>
      <c r="F55" s="5" t="s">
        <v>40</v>
      </c>
      <c r="G55" s="5" t="s">
        <v>40</v>
      </c>
      <c r="H55" s="5" t="s">
        <v>40</v>
      </c>
      <c r="I55" s="5" t="s">
        <v>40</v>
      </c>
      <c r="J55" s="5" t="s">
        <v>40</v>
      </c>
      <c r="K55" s="5" t="s">
        <v>40</v>
      </c>
      <c r="L55" s="5" t="s">
        <v>40</v>
      </c>
      <c r="M55" s="5" t="s">
        <v>40</v>
      </c>
      <c r="N55" s="5" t="s">
        <v>40</v>
      </c>
      <c r="O55" s="5" t="s">
        <v>40</v>
      </c>
      <c r="P55" s="5" t="s">
        <v>40</v>
      </c>
      <c r="Q55" s="5" t="s">
        <v>40</v>
      </c>
      <c r="R55" s="5" t="s">
        <v>40</v>
      </c>
      <c r="S55" s="5" t="s">
        <v>40</v>
      </c>
      <c r="T55" s="5" t="s">
        <v>40</v>
      </c>
      <c r="U55" s="5" t="s">
        <v>40</v>
      </c>
      <c r="V55" s="5" t="s">
        <v>40</v>
      </c>
      <c r="W55" s="5" t="s">
        <v>40</v>
      </c>
      <c r="X55" s="5" t="s">
        <v>40</v>
      </c>
      <c r="Y55" s="5" t="s">
        <v>40</v>
      </c>
      <c r="Z55" s="5" t="s">
        <v>40</v>
      </c>
      <c r="AA55" s="5" t="s">
        <v>40</v>
      </c>
      <c r="AB55" s="5" t="s">
        <v>40</v>
      </c>
      <c r="AC55" s="5" t="s">
        <v>40</v>
      </c>
      <c r="AD55" s="5" t="s">
        <v>40</v>
      </c>
      <c r="AE55" s="5" t="s">
        <v>40</v>
      </c>
      <c r="AF55" s="5" t="s">
        <v>40</v>
      </c>
      <c r="AG55" s="5" t="s">
        <v>40</v>
      </c>
      <c r="AH55" s="5" t="s">
        <v>40</v>
      </c>
      <c r="AI55" s="5" t="s">
        <v>40</v>
      </c>
      <c r="AJ55" s="5" t="s">
        <v>40</v>
      </c>
      <c r="AK55" s="5" t="s">
        <v>40</v>
      </c>
      <c r="AL55" s="5" t="s">
        <v>40</v>
      </c>
      <c r="AM55" s="5" t="s">
        <v>40</v>
      </c>
      <c r="AN55" s="5" t="s">
        <v>40</v>
      </c>
      <c r="AO55" s="5" t="s">
        <v>40</v>
      </c>
      <c r="AP55" s="5" t="s">
        <v>40</v>
      </c>
      <c r="AQ55" s="5" t="s">
        <v>40</v>
      </c>
      <c r="AR55" s="5" t="s">
        <v>40</v>
      </c>
      <c r="AS55" s="5" t="s">
        <v>40</v>
      </c>
      <c r="AT55" s="5" t="s">
        <v>40</v>
      </c>
      <c r="AU55" s="5" t="s">
        <v>40</v>
      </c>
      <c r="AV55" s="5" t="s">
        <v>40</v>
      </c>
      <c r="AW55" s="5" t="s">
        <v>40</v>
      </c>
      <c r="AX55" s="5"/>
      <c r="AY55" s="5"/>
      <c r="AZ55" s="5"/>
      <c r="BA55" s="2"/>
      <c r="BB55" s="2"/>
      <c r="BC55" s="2"/>
      <c r="BD55" s="2"/>
      <c r="BE55" s="2"/>
      <c r="BF55" s="2"/>
      <c r="BG55" s="5"/>
      <c r="BH55" s="5"/>
      <c r="BI55" s="5"/>
      <c r="BJ55" s="5"/>
      <c r="BK55" s="5"/>
      <c r="BL55" s="5"/>
      <c r="BM55" s="5"/>
      <c r="BN55" s="5"/>
      <c r="BO55" s="5"/>
      <c r="BP55" s="5"/>
      <c r="BQ55" s="5"/>
      <c r="BR55" s="5"/>
      <c r="BS55" s="5"/>
      <c r="BT55" s="5"/>
    </row>
    <row r="56" spans="2:72" ht="13.8" x14ac:dyDescent="0.25">
      <c r="B56" s="312"/>
      <c r="C56" s="13" t="s">
        <v>490</v>
      </c>
      <c r="D56" s="29"/>
      <c r="E56" s="3" t="s">
        <v>11</v>
      </c>
      <c r="F56" s="3" t="s">
        <v>11</v>
      </c>
      <c r="G56" s="3" t="s">
        <v>11</v>
      </c>
      <c r="H56" s="3" t="s">
        <v>11</v>
      </c>
      <c r="I56" s="3" t="s">
        <v>11</v>
      </c>
      <c r="J56" s="3" t="s">
        <v>11</v>
      </c>
      <c r="K56" s="3" t="s">
        <v>11</v>
      </c>
      <c r="L56" s="3" t="s">
        <v>11</v>
      </c>
      <c r="M56" s="3" t="s">
        <v>11</v>
      </c>
      <c r="N56" s="3" t="s">
        <v>11</v>
      </c>
      <c r="O56" s="3" t="s">
        <v>11</v>
      </c>
      <c r="P56" s="3" t="s">
        <v>11</v>
      </c>
      <c r="Q56" s="3" t="s">
        <v>11</v>
      </c>
      <c r="R56" s="3" t="s">
        <v>11</v>
      </c>
      <c r="S56" s="3" t="s">
        <v>11</v>
      </c>
      <c r="T56" s="3" t="s">
        <v>11</v>
      </c>
      <c r="U56" s="3" t="s">
        <v>11</v>
      </c>
      <c r="V56" s="3" t="s">
        <v>11</v>
      </c>
      <c r="W56" s="3" t="s">
        <v>11</v>
      </c>
      <c r="X56" s="3" t="s">
        <v>11</v>
      </c>
      <c r="Y56" s="3" t="s">
        <v>11</v>
      </c>
      <c r="Z56" s="3" t="s">
        <v>11</v>
      </c>
      <c r="AA56" s="3" t="s">
        <v>11</v>
      </c>
      <c r="AB56" s="3" t="s">
        <v>11</v>
      </c>
      <c r="AC56" s="3" t="s">
        <v>11</v>
      </c>
      <c r="AD56" s="3" t="s">
        <v>11</v>
      </c>
      <c r="AE56" s="3" t="s">
        <v>11</v>
      </c>
      <c r="AF56" s="3" t="s">
        <v>11</v>
      </c>
      <c r="AG56" s="3" t="s">
        <v>11</v>
      </c>
      <c r="AH56" s="3" t="s">
        <v>11</v>
      </c>
      <c r="AI56" s="3" t="s">
        <v>11</v>
      </c>
      <c r="AJ56" s="3" t="s">
        <v>11</v>
      </c>
      <c r="AK56" s="3" t="s">
        <v>11</v>
      </c>
      <c r="AL56" s="3" t="s">
        <v>11</v>
      </c>
      <c r="AM56" s="3" t="s">
        <v>11</v>
      </c>
      <c r="AN56" s="3" t="s">
        <v>11</v>
      </c>
      <c r="AO56" s="3" t="s">
        <v>11</v>
      </c>
      <c r="AP56" s="3" t="s">
        <v>11</v>
      </c>
      <c r="AQ56" s="3" t="s">
        <v>11</v>
      </c>
      <c r="AR56" s="3" t="s">
        <v>11</v>
      </c>
      <c r="AS56" s="3" t="s">
        <v>11</v>
      </c>
      <c r="AT56" s="3" t="s">
        <v>11</v>
      </c>
      <c r="AU56" s="3" t="s">
        <v>11</v>
      </c>
      <c r="AV56" s="3" t="s">
        <v>11</v>
      </c>
      <c r="AW56" s="3" t="s">
        <v>11</v>
      </c>
      <c r="AX56" s="3"/>
      <c r="AY56" s="3"/>
      <c r="AZ56" s="3"/>
      <c r="BA56" s="2"/>
      <c r="BB56" s="3"/>
      <c r="BC56" s="3"/>
      <c r="BD56" s="3"/>
      <c r="BE56" s="3"/>
      <c r="BF56" s="3"/>
      <c r="BG56" s="3"/>
      <c r="BH56" s="3"/>
      <c r="BI56" s="3"/>
      <c r="BJ56" s="3"/>
      <c r="BK56" s="3"/>
      <c r="BL56" s="3"/>
      <c r="BM56" s="3"/>
      <c r="BN56" s="3"/>
      <c r="BO56" s="3"/>
      <c r="BP56" s="3"/>
      <c r="BQ56" s="3"/>
      <c r="BR56" s="3"/>
      <c r="BS56" s="3"/>
      <c r="BT56" s="3"/>
    </row>
    <row r="57" spans="2:72" ht="13.8" x14ac:dyDescent="0.25">
      <c r="B57" s="312"/>
      <c r="C57" s="56" t="s">
        <v>491</v>
      </c>
      <c r="D57" s="40" t="s">
        <v>442</v>
      </c>
      <c r="E57" s="2" t="s">
        <v>864</v>
      </c>
      <c r="F57" s="2" t="s">
        <v>864</v>
      </c>
      <c r="G57" s="2" t="s">
        <v>864</v>
      </c>
      <c r="H57" s="2" t="s">
        <v>864</v>
      </c>
      <c r="I57" s="2" t="s">
        <v>864</v>
      </c>
      <c r="J57" s="2" t="s">
        <v>864</v>
      </c>
      <c r="K57" s="2" t="s">
        <v>864</v>
      </c>
      <c r="L57" s="2" t="s">
        <v>864</v>
      </c>
      <c r="M57" s="2" t="s">
        <v>864</v>
      </c>
      <c r="N57" s="2" t="s">
        <v>864</v>
      </c>
      <c r="O57" s="2" t="s">
        <v>864</v>
      </c>
      <c r="P57" s="2" t="s">
        <v>864</v>
      </c>
      <c r="Q57" s="2" t="s">
        <v>864</v>
      </c>
      <c r="R57" s="2" t="s">
        <v>864</v>
      </c>
      <c r="S57" s="2" t="s">
        <v>864</v>
      </c>
      <c r="T57" s="2" t="s">
        <v>864</v>
      </c>
      <c r="U57" s="2" t="s">
        <v>864</v>
      </c>
      <c r="V57" s="2" t="s">
        <v>864</v>
      </c>
      <c r="W57" s="2" t="s">
        <v>864</v>
      </c>
      <c r="X57" s="2" t="s">
        <v>864</v>
      </c>
      <c r="Y57" s="2" t="s">
        <v>864</v>
      </c>
      <c r="Z57" s="2" t="s">
        <v>864</v>
      </c>
      <c r="AA57" s="2" t="s">
        <v>864</v>
      </c>
      <c r="AB57" s="2" t="s">
        <v>864</v>
      </c>
      <c r="AC57" s="2" t="s">
        <v>864</v>
      </c>
      <c r="AD57" s="2" t="s">
        <v>864</v>
      </c>
      <c r="AE57" s="2" t="s">
        <v>864</v>
      </c>
      <c r="AF57" s="2" t="s">
        <v>864</v>
      </c>
      <c r="AG57" s="2" t="s">
        <v>864</v>
      </c>
      <c r="AH57" s="2" t="s">
        <v>864</v>
      </c>
      <c r="AI57" s="2" t="s">
        <v>864</v>
      </c>
      <c r="AJ57" s="2" t="s">
        <v>864</v>
      </c>
      <c r="AK57" s="2" t="s">
        <v>864</v>
      </c>
      <c r="AL57" s="2" t="s">
        <v>864</v>
      </c>
      <c r="AM57" s="2" t="s">
        <v>864</v>
      </c>
      <c r="AN57" s="2" t="s">
        <v>864</v>
      </c>
      <c r="AO57" s="2" t="s">
        <v>864</v>
      </c>
      <c r="AP57" s="2" t="s">
        <v>864</v>
      </c>
      <c r="AQ57" s="2" t="s">
        <v>864</v>
      </c>
      <c r="AR57" s="2" t="s">
        <v>864</v>
      </c>
      <c r="AS57" s="2" t="s">
        <v>864</v>
      </c>
      <c r="AT57" s="2" t="s">
        <v>864</v>
      </c>
      <c r="AU57" s="2" t="s">
        <v>864</v>
      </c>
      <c r="AV57" s="2" t="s">
        <v>864</v>
      </c>
      <c r="AW57" s="2" t="s">
        <v>864</v>
      </c>
      <c r="AX57" s="2"/>
      <c r="AY57" s="2"/>
      <c r="AZ57" s="2"/>
      <c r="BA57" s="2"/>
      <c r="BB57" s="2"/>
      <c r="BC57" s="2"/>
      <c r="BD57" s="2"/>
      <c r="BE57" s="2"/>
      <c r="BF57" s="2"/>
      <c r="BG57" s="2"/>
      <c r="BH57" s="2"/>
      <c r="BI57" s="2"/>
      <c r="BJ57" s="2"/>
      <c r="BK57" s="2"/>
      <c r="BL57" s="2"/>
      <c r="BM57" s="2"/>
      <c r="BN57" s="2"/>
      <c r="BO57" s="2"/>
      <c r="BP57" s="2"/>
      <c r="BQ57" s="2"/>
      <c r="BR57" s="2"/>
      <c r="BS57" s="2"/>
      <c r="BT57" s="2"/>
    </row>
    <row r="58" spans="2:72" ht="13.8" x14ac:dyDescent="0.25">
      <c r="B58" s="312"/>
      <c r="C58" s="13" t="s">
        <v>444</v>
      </c>
      <c r="D58" s="29"/>
      <c r="E58" s="7" t="s">
        <v>42</v>
      </c>
      <c r="F58" s="7" t="s">
        <v>42</v>
      </c>
      <c r="G58" s="7" t="s">
        <v>42</v>
      </c>
      <c r="H58" s="7" t="s">
        <v>42</v>
      </c>
      <c r="I58" s="7" t="s">
        <v>42</v>
      </c>
      <c r="J58" s="7" t="s">
        <v>42</v>
      </c>
      <c r="K58" s="7" t="s">
        <v>42</v>
      </c>
      <c r="L58" s="7" t="s">
        <v>42</v>
      </c>
      <c r="M58" s="7" t="s">
        <v>42</v>
      </c>
      <c r="N58" s="7" t="s">
        <v>42</v>
      </c>
      <c r="O58" s="7" t="s">
        <v>42</v>
      </c>
      <c r="P58" s="7" t="s">
        <v>42</v>
      </c>
      <c r="Q58" s="7" t="s">
        <v>42</v>
      </c>
      <c r="R58" s="7" t="s">
        <v>42</v>
      </c>
      <c r="S58" s="7" t="s">
        <v>42</v>
      </c>
      <c r="T58" s="7" t="s">
        <v>42</v>
      </c>
      <c r="U58" s="7" t="s">
        <v>42</v>
      </c>
      <c r="V58" s="7" t="s">
        <v>42</v>
      </c>
      <c r="W58" s="7" t="s">
        <v>42</v>
      </c>
      <c r="X58" s="7" t="s">
        <v>42</v>
      </c>
      <c r="Y58" s="7" t="s">
        <v>42</v>
      </c>
      <c r="Z58" s="7" t="s">
        <v>42</v>
      </c>
      <c r="AA58" s="7" t="s">
        <v>42</v>
      </c>
      <c r="AB58" s="7" t="s">
        <v>42</v>
      </c>
      <c r="AC58" s="7" t="s">
        <v>42</v>
      </c>
      <c r="AD58" s="7" t="s">
        <v>42</v>
      </c>
      <c r="AE58" s="7" t="s">
        <v>42</v>
      </c>
      <c r="AF58" s="7" t="s">
        <v>42</v>
      </c>
      <c r="AG58" s="7" t="s">
        <v>42</v>
      </c>
      <c r="AH58" s="7" t="s">
        <v>42</v>
      </c>
      <c r="AI58" s="7" t="s">
        <v>42</v>
      </c>
      <c r="AJ58" s="7" t="s">
        <v>42</v>
      </c>
      <c r="AK58" s="7" t="s">
        <v>42</v>
      </c>
      <c r="AL58" s="7" t="s">
        <v>42</v>
      </c>
      <c r="AM58" s="7" t="s">
        <v>42</v>
      </c>
      <c r="AN58" s="7" t="s">
        <v>42</v>
      </c>
      <c r="AO58" s="7" t="s">
        <v>42</v>
      </c>
      <c r="AP58" s="7" t="s">
        <v>42</v>
      </c>
      <c r="AQ58" s="7" t="s">
        <v>42</v>
      </c>
      <c r="AR58" s="7" t="s">
        <v>42</v>
      </c>
      <c r="AS58" s="7" t="s">
        <v>42</v>
      </c>
      <c r="AT58" s="7" t="s">
        <v>42</v>
      </c>
      <c r="AU58" s="7" t="s">
        <v>42</v>
      </c>
      <c r="AV58" s="7" t="s">
        <v>42</v>
      </c>
      <c r="AW58" s="7" t="s">
        <v>42</v>
      </c>
      <c r="AX58" s="7"/>
      <c r="AY58" s="7"/>
      <c r="AZ58" s="7"/>
      <c r="BA58" s="7"/>
      <c r="BB58" s="7"/>
      <c r="BC58" s="7"/>
      <c r="BD58" s="7"/>
      <c r="BE58" s="7"/>
      <c r="BF58" s="7"/>
      <c r="BG58" s="7"/>
      <c r="BH58" s="7"/>
      <c r="BI58" s="7"/>
      <c r="BJ58" s="7"/>
      <c r="BK58" s="7"/>
      <c r="BL58" s="7"/>
      <c r="BM58" s="7"/>
      <c r="BN58" s="7"/>
      <c r="BO58" s="7"/>
      <c r="BP58" s="7"/>
      <c r="BQ58" s="7"/>
      <c r="BR58" s="7"/>
      <c r="BS58" s="7"/>
      <c r="BT58" s="7"/>
    </row>
    <row r="59" spans="2:72" ht="13.8" x14ac:dyDescent="0.25">
      <c r="B59" s="312"/>
      <c r="C59" s="13" t="s">
        <v>445</v>
      </c>
      <c r="D59" s="40" t="s">
        <v>442</v>
      </c>
      <c r="E59" s="5" t="s">
        <v>43</v>
      </c>
      <c r="F59" s="5" t="s">
        <v>43</v>
      </c>
      <c r="G59" s="5" t="s">
        <v>43</v>
      </c>
      <c r="H59" s="5" t="s">
        <v>43</v>
      </c>
      <c r="I59" s="5" t="s">
        <v>43</v>
      </c>
      <c r="J59" s="5" t="s">
        <v>43</v>
      </c>
      <c r="K59" s="5" t="s">
        <v>872</v>
      </c>
      <c r="L59" s="5" t="s">
        <v>872</v>
      </c>
      <c r="M59" s="5" t="s">
        <v>872</v>
      </c>
      <c r="N59" s="5" t="s">
        <v>872</v>
      </c>
      <c r="O59" s="5" t="s">
        <v>872</v>
      </c>
      <c r="P59" s="5" t="s">
        <v>872</v>
      </c>
      <c r="Q59" s="5" t="s">
        <v>872</v>
      </c>
      <c r="R59" s="5" t="s">
        <v>872</v>
      </c>
      <c r="S59" s="5" t="s">
        <v>872</v>
      </c>
      <c r="T59" s="5" t="s">
        <v>872</v>
      </c>
      <c r="U59" s="5" t="s">
        <v>872</v>
      </c>
      <c r="V59" s="5" t="s">
        <v>872</v>
      </c>
      <c r="W59" s="5" t="s">
        <v>872</v>
      </c>
      <c r="X59" s="5" t="s">
        <v>872</v>
      </c>
      <c r="Y59" s="5" t="s">
        <v>872</v>
      </c>
      <c r="Z59" s="5" t="s">
        <v>872</v>
      </c>
      <c r="AA59" s="5" t="s">
        <v>872</v>
      </c>
      <c r="AB59" s="5" t="s">
        <v>872</v>
      </c>
      <c r="AC59" s="5" t="s">
        <v>872</v>
      </c>
      <c r="AD59" s="5" t="s">
        <v>872</v>
      </c>
      <c r="AE59" s="5" t="s">
        <v>872</v>
      </c>
      <c r="AF59" s="5" t="s">
        <v>872</v>
      </c>
      <c r="AG59" s="5" t="s">
        <v>872</v>
      </c>
      <c r="AH59" s="5" t="s">
        <v>872</v>
      </c>
      <c r="AI59" s="5" t="s">
        <v>872</v>
      </c>
      <c r="AJ59" s="5" t="s">
        <v>872</v>
      </c>
      <c r="AK59" s="5" t="s">
        <v>872</v>
      </c>
      <c r="AL59" s="5" t="s">
        <v>872</v>
      </c>
      <c r="AM59" s="5" t="s">
        <v>872</v>
      </c>
      <c r="AN59" s="5" t="s">
        <v>872</v>
      </c>
      <c r="AO59" s="5" t="s">
        <v>872</v>
      </c>
      <c r="AP59" s="5" t="s">
        <v>872</v>
      </c>
      <c r="AQ59" s="5" t="s">
        <v>872</v>
      </c>
      <c r="AR59" s="5" t="s">
        <v>872</v>
      </c>
      <c r="AS59" s="5" t="s">
        <v>872</v>
      </c>
      <c r="AT59" s="5" t="s">
        <v>872</v>
      </c>
      <c r="AU59" s="5" t="s">
        <v>872</v>
      </c>
      <c r="AV59" s="5" t="s">
        <v>872</v>
      </c>
      <c r="AW59" s="5" t="s">
        <v>872</v>
      </c>
      <c r="AX59" s="5"/>
      <c r="AY59" s="5"/>
      <c r="AZ59" s="5"/>
      <c r="BA59" s="5"/>
      <c r="BB59" s="5"/>
      <c r="BC59" s="5"/>
      <c r="BD59" s="5"/>
      <c r="BE59" s="5"/>
      <c r="BF59" s="5"/>
      <c r="BG59" s="5"/>
      <c r="BH59" s="5"/>
      <c r="BI59" s="5"/>
      <c r="BJ59" s="5"/>
      <c r="BK59" s="5"/>
      <c r="BL59" s="5"/>
      <c r="BM59" s="5"/>
      <c r="BN59" s="5"/>
      <c r="BO59" s="5"/>
      <c r="BP59" s="5"/>
      <c r="BQ59" s="5"/>
      <c r="BR59" s="5"/>
      <c r="BS59" s="5"/>
      <c r="BT59" s="5"/>
    </row>
    <row r="60" spans="2:72" x14ac:dyDescent="0.25">
      <c r="B60" s="312"/>
      <c r="C60" s="54" t="s">
        <v>492</v>
      </c>
      <c r="D60" s="14" t="s">
        <v>442</v>
      </c>
      <c r="E60" s="12">
        <v>1</v>
      </c>
      <c r="F60" s="12">
        <v>1</v>
      </c>
      <c r="G60" s="12">
        <v>1</v>
      </c>
      <c r="H60" s="12">
        <v>1</v>
      </c>
      <c r="I60" s="12">
        <v>1</v>
      </c>
      <c r="J60" s="12">
        <v>1</v>
      </c>
      <c r="K60" s="12">
        <v>1</v>
      </c>
      <c r="L60" s="12">
        <v>1</v>
      </c>
      <c r="M60" s="12">
        <v>1</v>
      </c>
      <c r="N60" s="12">
        <v>1</v>
      </c>
      <c r="O60" s="12">
        <v>1</v>
      </c>
      <c r="P60" s="12">
        <v>1</v>
      </c>
      <c r="Q60" s="12">
        <v>1</v>
      </c>
      <c r="R60" s="12">
        <v>1</v>
      </c>
      <c r="S60" s="12">
        <v>1</v>
      </c>
      <c r="T60" s="12">
        <v>1</v>
      </c>
      <c r="U60" s="12">
        <v>1</v>
      </c>
      <c r="V60" s="12">
        <v>1</v>
      </c>
      <c r="W60" s="12">
        <v>1</v>
      </c>
      <c r="X60" s="12">
        <v>1</v>
      </c>
      <c r="Y60" s="12">
        <v>1</v>
      </c>
      <c r="Z60" s="12">
        <v>1</v>
      </c>
      <c r="AA60" s="12">
        <v>1</v>
      </c>
      <c r="AB60" s="12">
        <v>1</v>
      </c>
      <c r="AC60" s="12">
        <v>1</v>
      </c>
      <c r="AD60" s="12">
        <v>1</v>
      </c>
      <c r="AE60" s="12">
        <v>1</v>
      </c>
      <c r="AF60" s="12">
        <v>1</v>
      </c>
      <c r="AG60" s="12">
        <v>1</v>
      </c>
      <c r="AH60" s="12">
        <v>1</v>
      </c>
      <c r="AI60" s="12">
        <v>1</v>
      </c>
      <c r="AJ60" s="12">
        <v>1</v>
      </c>
      <c r="AK60" s="12">
        <v>1</v>
      </c>
      <c r="AL60" s="12">
        <v>1</v>
      </c>
      <c r="AM60" s="12">
        <v>1</v>
      </c>
      <c r="AN60" s="12">
        <v>1</v>
      </c>
      <c r="AO60" s="12">
        <v>1</v>
      </c>
      <c r="AP60" s="12">
        <v>1</v>
      </c>
      <c r="AQ60" s="12">
        <v>1</v>
      </c>
      <c r="AR60" s="12">
        <v>1</v>
      </c>
      <c r="AS60" s="12">
        <v>1</v>
      </c>
      <c r="AT60" s="12">
        <v>1</v>
      </c>
      <c r="AU60" s="12">
        <v>1</v>
      </c>
      <c r="AV60" s="12">
        <v>1</v>
      </c>
      <c r="AW60" s="12">
        <v>1</v>
      </c>
      <c r="AX60" s="12"/>
      <c r="AY60" s="12"/>
      <c r="AZ60" s="12"/>
      <c r="BA60" s="12"/>
      <c r="BB60" s="12"/>
      <c r="BC60" s="12"/>
      <c r="BD60" s="12"/>
      <c r="BE60" s="12"/>
      <c r="BF60" s="12"/>
      <c r="BG60" s="12"/>
      <c r="BH60" s="12"/>
      <c r="BI60" s="12"/>
      <c r="BJ60" s="12"/>
      <c r="BK60" s="12"/>
      <c r="BL60" s="12"/>
      <c r="BM60" s="12"/>
      <c r="BN60" s="12"/>
      <c r="BO60" s="12"/>
      <c r="BP60" s="12"/>
      <c r="BQ60" s="12"/>
      <c r="BR60" s="12"/>
      <c r="BS60" s="12"/>
      <c r="BT60" s="12"/>
    </row>
    <row r="61" spans="2:72" ht="14.1" customHeight="1" x14ac:dyDescent="0.25">
      <c r="B61" s="313" t="s">
        <v>342</v>
      </c>
      <c r="C61" s="13" t="s">
        <v>493</v>
      </c>
      <c r="D61" s="29"/>
      <c r="E61" s="9">
        <v>43266</v>
      </c>
      <c r="F61" s="9">
        <v>43266</v>
      </c>
      <c r="G61" s="9">
        <v>43266</v>
      </c>
      <c r="H61" s="9">
        <v>43266</v>
      </c>
      <c r="I61" s="9">
        <v>43266</v>
      </c>
      <c r="J61" s="9">
        <v>43266</v>
      </c>
      <c r="K61" s="9">
        <v>43266</v>
      </c>
      <c r="L61" s="9">
        <v>43266</v>
      </c>
      <c r="M61" s="9">
        <v>43266</v>
      </c>
      <c r="N61" s="9">
        <v>43266</v>
      </c>
      <c r="O61" s="9">
        <v>43266</v>
      </c>
      <c r="P61" s="9">
        <v>43266</v>
      </c>
      <c r="Q61" s="9">
        <v>43266</v>
      </c>
      <c r="R61" s="9">
        <v>43266</v>
      </c>
      <c r="S61" s="9">
        <v>43266</v>
      </c>
      <c r="T61" s="9">
        <v>43266</v>
      </c>
      <c r="U61" s="9">
        <v>43266</v>
      </c>
      <c r="V61" s="9">
        <v>43266</v>
      </c>
      <c r="W61" s="9">
        <v>43266</v>
      </c>
      <c r="X61" s="9">
        <v>43266</v>
      </c>
      <c r="Y61" s="9">
        <v>43266</v>
      </c>
      <c r="Z61" s="9">
        <v>43266</v>
      </c>
      <c r="AA61" s="9">
        <v>43266</v>
      </c>
      <c r="AB61" s="9">
        <v>43266</v>
      </c>
      <c r="AC61" s="9">
        <v>43266</v>
      </c>
      <c r="AD61" s="9">
        <v>43266</v>
      </c>
      <c r="AE61" s="9">
        <v>43266</v>
      </c>
      <c r="AF61" s="9">
        <v>43266</v>
      </c>
      <c r="AG61" s="9">
        <v>43266</v>
      </c>
      <c r="AH61" s="9">
        <v>43266</v>
      </c>
      <c r="AI61" s="9">
        <v>43266</v>
      </c>
      <c r="AJ61" s="9">
        <v>43266</v>
      </c>
      <c r="AK61" s="9">
        <v>43266</v>
      </c>
      <c r="AL61" s="9">
        <v>43266</v>
      </c>
      <c r="AM61" s="9">
        <v>43266</v>
      </c>
      <c r="AN61" s="9">
        <v>43266</v>
      </c>
      <c r="AO61" s="9">
        <v>43266</v>
      </c>
      <c r="AP61" s="9">
        <v>43266</v>
      </c>
      <c r="AQ61" s="9">
        <v>43266</v>
      </c>
      <c r="AR61" s="9">
        <v>43266</v>
      </c>
      <c r="AS61" s="9">
        <v>43266</v>
      </c>
      <c r="AT61" s="9">
        <v>43266</v>
      </c>
      <c r="AU61" s="9">
        <v>43266</v>
      </c>
      <c r="AV61" s="9">
        <v>43266</v>
      </c>
      <c r="AW61" s="9">
        <v>43266</v>
      </c>
      <c r="AX61" s="9"/>
      <c r="AY61" s="9"/>
      <c r="AZ61" s="9"/>
      <c r="BA61" s="9"/>
      <c r="BB61" s="9"/>
      <c r="BC61" s="9"/>
      <c r="BD61" s="9"/>
      <c r="BE61" s="9"/>
      <c r="BF61" s="9"/>
      <c r="BG61" s="9"/>
      <c r="BH61" s="9"/>
      <c r="BI61" s="9"/>
      <c r="BJ61" s="9"/>
      <c r="BK61" s="9"/>
      <c r="BL61" s="9"/>
      <c r="BM61" s="9"/>
      <c r="BN61" s="9"/>
      <c r="BO61" s="9"/>
      <c r="BP61" s="9"/>
      <c r="BQ61" s="9"/>
      <c r="BR61" s="9"/>
      <c r="BS61" s="9"/>
      <c r="BT61" s="9"/>
    </row>
    <row r="62" spans="2:72" ht="13.8" x14ac:dyDescent="0.25">
      <c r="B62" s="313"/>
      <c r="C62" s="13" t="s">
        <v>446</v>
      </c>
      <c r="D62" s="14" t="s">
        <v>442</v>
      </c>
      <c r="E62" s="9">
        <v>43315</v>
      </c>
      <c r="F62" s="9">
        <v>43315</v>
      </c>
      <c r="G62" s="9">
        <v>43315</v>
      </c>
      <c r="H62" s="9">
        <v>43315</v>
      </c>
      <c r="I62" s="9">
        <v>43315</v>
      </c>
      <c r="J62" s="9">
        <v>43315</v>
      </c>
      <c r="K62" s="9">
        <v>43315</v>
      </c>
      <c r="L62" s="9">
        <v>43315</v>
      </c>
      <c r="M62" s="9">
        <v>43315</v>
      </c>
      <c r="N62" s="9">
        <v>43315</v>
      </c>
      <c r="O62" s="9">
        <v>43315</v>
      </c>
      <c r="P62" s="9">
        <v>43315</v>
      </c>
      <c r="Q62" s="9">
        <v>43315</v>
      </c>
      <c r="R62" s="9">
        <v>43315</v>
      </c>
      <c r="S62" s="9">
        <v>43315</v>
      </c>
      <c r="T62" s="9">
        <v>43315</v>
      </c>
      <c r="U62" s="9">
        <v>43315</v>
      </c>
      <c r="V62" s="9">
        <v>43315</v>
      </c>
      <c r="W62" s="9">
        <v>43315</v>
      </c>
      <c r="X62" s="9">
        <v>43315</v>
      </c>
      <c r="Y62" s="9">
        <v>43315</v>
      </c>
      <c r="Z62" s="9">
        <v>43315</v>
      </c>
      <c r="AA62" s="9">
        <v>43315</v>
      </c>
      <c r="AB62" s="9">
        <v>43315</v>
      </c>
      <c r="AC62" s="9">
        <v>43315</v>
      </c>
      <c r="AD62" s="9">
        <v>43315</v>
      </c>
      <c r="AE62" s="9">
        <v>43315</v>
      </c>
      <c r="AF62" s="9">
        <v>43315</v>
      </c>
      <c r="AG62" s="9">
        <v>43315</v>
      </c>
      <c r="AH62" s="9">
        <v>43315</v>
      </c>
      <c r="AI62" s="9">
        <v>43315</v>
      </c>
      <c r="AJ62" s="9">
        <v>43315</v>
      </c>
      <c r="AK62" s="9">
        <v>43315</v>
      </c>
      <c r="AL62" s="9">
        <v>43315</v>
      </c>
      <c r="AM62" s="9">
        <v>43315</v>
      </c>
      <c r="AN62" s="9">
        <v>43315</v>
      </c>
      <c r="AO62" s="9">
        <v>43315</v>
      </c>
      <c r="AP62" s="9">
        <v>43315</v>
      </c>
      <c r="AQ62" s="9">
        <v>43315</v>
      </c>
      <c r="AR62" s="9">
        <v>43315</v>
      </c>
      <c r="AS62" s="9">
        <v>43315</v>
      </c>
      <c r="AT62" s="9">
        <v>43315</v>
      </c>
      <c r="AU62" s="9">
        <v>43315</v>
      </c>
      <c r="AV62" s="9">
        <v>43315</v>
      </c>
      <c r="AW62" s="9">
        <v>43315</v>
      </c>
      <c r="AX62" s="9"/>
      <c r="AY62" s="9"/>
      <c r="AZ62" s="9"/>
      <c r="BA62" s="9"/>
      <c r="BB62" s="9"/>
      <c r="BC62" s="9"/>
      <c r="BD62" s="9"/>
      <c r="BE62" s="9"/>
      <c r="BF62" s="9"/>
      <c r="BG62" s="9"/>
      <c r="BH62" s="9"/>
      <c r="BI62" s="9"/>
      <c r="BJ62" s="9"/>
      <c r="BK62" s="9"/>
      <c r="BL62" s="9"/>
      <c r="BM62" s="9"/>
      <c r="BN62" s="9"/>
      <c r="BO62" s="9"/>
      <c r="BP62" s="9"/>
      <c r="BQ62" s="9"/>
      <c r="BR62" s="9"/>
      <c r="BS62" s="9"/>
      <c r="BT62" s="9"/>
    </row>
    <row r="63" spans="2:72" ht="13.8" x14ac:dyDescent="0.25">
      <c r="B63" s="313"/>
      <c r="C63" s="13" t="s">
        <v>447</v>
      </c>
      <c r="D63" s="14" t="s">
        <v>442</v>
      </c>
      <c r="E63" s="2" t="s">
        <v>30</v>
      </c>
      <c r="F63" s="5" t="s">
        <v>30</v>
      </c>
      <c r="G63" s="5" t="s">
        <v>30</v>
      </c>
      <c r="H63" s="5" t="s">
        <v>30</v>
      </c>
      <c r="I63" s="5" t="s">
        <v>30</v>
      </c>
      <c r="J63" s="5" t="s">
        <v>30</v>
      </c>
      <c r="K63" s="5" t="s">
        <v>30</v>
      </c>
      <c r="L63" s="5" t="s">
        <v>30</v>
      </c>
      <c r="M63" s="5" t="s">
        <v>30</v>
      </c>
      <c r="N63" s="5" t="s">
        <v>30</v>
      </c>
      <c r="O63" s="5" t="s">
        <v>30</v>
      </c>
      <c r="P63" s="5" t="s">
        <v>30</v>
      </c>
      <c r="Q63" s="5" t="s">
        <v>30</v>
      </c>
      <c r="R63" s="5" t="s">
        <v>30</v>
      </c>
      <c r="S63" s="5" t="s">
        <v>30</v>
      </c>
      <c r="T63" s="5" t="s">
        <v>30</v>
      </c>
      <c r="U63" s="5" t="s">
        <v>30</v>
      </c>
      <c r="V63" s="5" t="s">
        <v>30</v>
      </c>
      <c r="W63" s="5" t="s">
        <v>30</v>
      </c>
      <c r="X63" s="5" t="s">
        <v>30</v>
      </c>
      <c r="Y63" s="5" t="s">
        <v>30</v>
      </c>
      <c r="Z63" s="5" t="s">
        <v>30</v>
      </c>
      <c r="AA63" s="5" t="s">
        <v>30</v>
      </c>
      <c r="AB63" s="5" t="s">
        <v>30</v>
      </c>
      <c r="AC63" s="5" t="s">
        <v>30</v>
      </c>
      <c r="AD63" s="5" t="s">
        <v>30</v>
      </c>
      <c r="AE63" s="5" t="s">
        <v>30</v>
      </c>
      <c r="AF63" s="5" t="s">
        <v>30</v>
      </c>
      <c r="AG63" s="5" t="s">
        <v>30</v>
      </c>
      <c r="AH63" s="5" t="s">
        <v>30</v>
      </c>
      <c r="AI63" s="5" t="s">
        <v>30</v>
      </c>
      <c r="AJ63" s="5" t="s">
        <v>30</v>
      </c>
      <c r="AK63" s="5" t="s">
        <v>30</v>
      </c>
      <c r="AL63" s="5" t="s">
        <v>30</v>
      </c>
      <c r="AM63" s="5" t="s">
        <v>30</v>
      </c>
      <c r="AN63" s="5" t="s">
        <v>30</v>
      </c>
      <c r="AO63" s="5" t="s">
        <v>30</v>
      </c>
      <c r="AP63" s="5" t="s">
        <v>30</v>
      </c>
      <c r="AQ63" s="5" t="s">
        <v>30</v>
      </c>
      <c r="AR63" s="5" t="s">
        <v>30</v>
      </c>
      <c r="AS63" s="5" t="s">
        <v>30</v>
      </c>
      <c r="AT63" s="5" t="s">
        <v>30</v>
      </c>
      <c r="AU63" s="5" t="s">
        <v>30</v>
      </c>
      <c r="AV63" s="5" t="s">
        <v>30</v>
      </c>
      <c r="AW63" s="5" t="s">
        <v>30</v>
      </c>
      <c r="AX63" s="5"/>
      <c r="AY63" s="5"/>
      <c r="AZ63" s="5"/>
      <c r="BA63" s="5"/>
      <c r="BB63" s="5"/>
      <c r="BC63" s="5"/>
      <c r="BD63" s="5"/>
      <c r="BE63" s="5"/>
      <c r="BF63" s="5"/>
      <c r="BG63" s="5"/>
      <c r="BH63" s="5"/>
      <c r="BI63" s="5"/>
      <c r="BJ63" s="5"/>
      <c r="BK63" s="5"/>
      <c r="BL63" s="5"/>
      <c r="BM63" s="5"/>
      <c r="BN63" s="5"/>
      <c r="BO63" s="5"/>
      <c r="BP63" s="5"/>
      <c r="BQ63" s="5"/>
      <c r="BR63" s="5"/>
      <c r="BS63" s="5"/>
      <c r="BT63" s="5"/>
    </row>
    <row r="64" spans="2:72" ht="13.8" x14ac:dyDescent="0.25">
      <c r="B64" s="313"/>
      <c r="C64" s="13" t="s">
        <v>494</v>
      </c>
      <c r="D64" s="40" t="s">
        <v>442</v>
      </c>
      <c r="E64" s="2" t="s">
        <v>865</v>
      </c>
      <c r="F64" s="2" t="s">
        <v>865</v>
      </c>
      <c r="G64" s="2" t="s">
        <v>865</v>
      </c>
      <c r="H64" s="2" t="s">
        <v>865</v>
      </c>
      <c r="I64" s="2" t="s">
        <v>865</v>
      </c>
      <c r="J64" s="2" t="s">
        <v>865</v>
      </c>
      <c r="K64" s="2" t="s">
        <v>865</v>
      </c>
      <c r="L64" s="2" t="s">
        <v>865</v>
      </c>
      <c r="M64" s="2" t="s">
        <v>865</v>
      </c>
      <c r="N64" s="2" t="s">
        <v>865</v>
      </c>
      <c r="O64" s="2" t="s">
        <v>865</v>
      </c>
      <c r="P64" s="2" t="s">
        <v>865</v>
      </c>
      <c r="Q64" s="2" t="s">
        <v>865</v>
      </c>
      <c r="R64" s="2" t="s">
        <v>865</v>
      </c>
      <c r="S64" s="2" t="s">
        <v>865</v>
      </c>
      <c r="T64" s="2" t="s">
        <v>865</v>
      </c>
      <c r="U64" s="2" t="s">
        <v>865</v>
      </c>
      <c r="V64" s="2" t="s">
        <v>865</v>
      </c>
      <c r="W64" s="2" t="s">
        <v>865</v>
      </c>
      <c r="X64" s="2" t="s">
        <v>865</v>
      </c>
      <c r="Y64" s="2" t="s">
        <v>865</v>
      </c>
      <c r="Z64" s="2" t="s">
        <v>865</v>
      </c>
      <c r="AA64" s="2" t="s">
        <v>865</v>
      </c>
      <c r="AB64" s="2" t="s">
        <v>865</v>
      </c>
      <c r="AC64" s="2" t="s">
        <v>865</v>
      </c>
      <c r="AD64" s="2" t="s">
        <v>865</v>
      </c>
      <c r="AE64" s="2" t="s">
        <v>865</v>
      </c>
      <c r="AF64" s="2" t="s">
        <v>865</v>
      </c>
      <c r="AG64" s="2" t="s">
        <v>865</v>
      </c>
      <c r="AH64" s="2" t="s">
        <v>865</v>
      </c>
      <c r="AI64" s="2" t="s">
        <v>865</v>
      </c>
      <c r="AJ64" s="2" t="s">
        <v>865</v>
      </c>
      <c r="AK64" s="2" t="s">
        <v>865</v>
      </c>
      <c r="AL64" s="2" t="s">
        <v>865</v>
      </c>
      <c r="AM64" s="2" t="s">
        <v>865</v>
      </c>
      <c r="AN64" s="2" t="s">
        <v>865</v>
      </c>
      <c r="AO64" s="2" t="s">
        <v>865</v>
      </c>
      <c r="AP64" s="2" t="s">
        <v>865</v>
      </c>
      <c r="AQ64" s="2" t="s">
        <v>865</v>
      </c>
      <c r="AR64" s="2" t="s">
        <v>865</v>
      </c>
      <c r="AS64" s="2" t="s">
        <v>865</v>
      </c>
      <c r="AT64" s="2" t="s">
        <v>865</v>
      </c>
      <c r="AU64" s="2" t="s">
        <v>865</v>
      </c>
      <c r="AV64" s="2" t="s">
        <v>865</v>
      </c>
      <c r="AW64" s="2" t="s">
        <v>865</v>
      </c>
      <c r="AX64" s="2"/>
      <c r="AY64" s="2"/>
      <c r="AZ64" s="2"/>
      <c r="BA64" s="2"/>
      <c r="BB64" s="2"/>
      <c r="BC64" s="2"/>
      <c r="BD64" s="2"/>
      <c r="BE64" s="2"/>
      <c r="BF64" s="2"/>
      <c r="BG64" s="2"/>
      <c r="BH64" s="2"/>
      <c r="BI64" s="2"/>
      <c r="BJ64" s="2"/>
      <c r="BK64" s="2"/>
      <c r="BL64" s="2"/>
      <c r="BM64" s="2"/>
      <c r="BN64" s="2"/>
      <c r="BO64" s="2"/>
      <c r="BP64" s="2"/>
      <c r="BQ64" s="2"/>
      <c r="BR64" s="2"/>
      <c r="BS64" s="2"/>
      <c r="BT64" s="2"/>
    </row>
    <row r="65" spans="2:16" ht="13.8" x14ac:dyDescent="0.25">
      <c r="B65" s="313"/>
      <c r="C65" s="54" t="s">
        <v>495</v>
      </c>
      <c r="D65" s="14"/>
      <c r="E65" s="5"/>
      <c r="F65" s="5"/>
      <c r="G65" s="5"/>
      <c r="H65" s="5"/>
      <c r="I65" s="5"/>
      <c r="J65" s="5"/>
      <c r="M65" s="5"/>
      <c r="N65" s="5"/>
      <c r="O65" s="5"/>
      <c r="P65" s="5"/>
    </row>
    <row r="66" spans="2:16" ht="13.8" x14ac:dyDescent="0.25">
      <c r="B66" s="313"/>
      <c r="C66" s="54" t="s">
        <v>496</v>
      </c>
      <c r="D66" s="14"/>
      <c r="E66" s="5"/>
      <c r="F66" s="5"/>
      <c r="G66" s="5"/>
      <c r="H66" s="5"/>
      <c r="I66" s="5"/>
      <c r="J66" s="5"/>
      <c r="K66" s="5"/>
      <c r="L66" s="5"/>
      <c r="M66" s="5"/>
      <c r="N66" s="5"/>
      <c r="O66" s="5"/>
      <c r="P66" s="5"/>
    </row>
    <row r="67" spans="2:16" ht="13.8" x14ac:dyDescent="0.25">
      <c r="B67" s="313"/>
      <c r="C67" s="13" t="s">
        <v>497</v>
      </c>
      <c r="D67" s="29"/>
      <c r="E67" s="1"/>
      <c r="F67" s="3"/>
      <c r="G67" s="3"/>
      <c r="H67" s="1"/>
      <c r="I67" s="1"/>
      <c r="J67" s="1"/>
      <c r="K67" s="1"/>
      <c r="L67" s="1"/>
      <c r="M67" s="1"/>
      <c r="N67" s="1"/>
      <c r="O67" s="1"/>
      <c r="P67" s="1"/>
    </row>
    <row r="68" spans="2:16" x14ac:dyDescent="0.25">
      <c r="B68" s="303" t="s">
        <v>185</v>
      </c>
      <c r="C68" s="15" t="s">
        <v>448</v>
      </c>
      <c r="D68" s="29"/>
      <c r="L68" s="105"/>
    </row>
    <row r="69" spans="2:16" x14ac:dyDescent="0.25">
      <c r="B69" s="303"/>
      <c r="C69" s="15" t="s">
        <v>449</v>
      </c>
      <c r="D69" s="29"/>
      <c r="K69" s="12"/>
    </row>
    <row r="70" spans="2:16" ht="13.8" x14ac:dyDescent="0.25">
      <c r="B70" s="303"/>
      <c r="C70" s="15" t="s">
        <v>450</v>
      </c>
      <c r="D70" s="29"/>
      <c r="G70" s="2"/>
    </row>
    <row r="71" spans="2:16" ht="13.8" x14ac:dyDescent="0.25">
      <c r="B71" s="303"/>
      <c r="C71" s="15" t="s">
        <v>498</v>
      </c>
      <c r="D71" s="29"/>
      <c r="F71" s="105"/>
      <c r="G71" s="38"/>
      <c r="H71" s="105"/>
      <c r="K71" s="105"/>
      <c r="L71" s="105"/>
    </row>
    <row r="72" spans="2:16" x14ac:dyDescent="0.25">
      <c r="B72" s="304"/>
      <c r="C72" s="16" t="s">
        <v>499</v>
      </c>
      <c r="D72" s="30"/>
      <c r="F72" s="105"/>
      <c r="G72" s="42"/>
      <c r="H72" s="105"/>
      <c r="I72" s="12"/>
      <c r="K72" s="105"/>
      <c r="L72" s="105"/>
    </row>
    <row r="73" spans="2:16" ht="13.8" x14ac:dyDescent="0.25">
      <c r="F73" s="105"/>
      <c r="G73" s="38"/>
      <c r="H73" s="105"/>
      <c r="I73" s="12"/>
      <c r="K73" s="105"/>
      <c r="L73" s="105"/>
    </row>
    <row r="74" spans="2:16" x14ac:dyDescent="0.25">
      <c r="F74" s="105"/>
      <c r="G74" s="42"/>
      <c r="H74" s="105"/>
      <c r="K74" s="105"/>
      <c r="L74" s="105"/>
    </row>
    <row r="75" spans="2:16" ht="13.8" x14ac:dyDescent="0.25">
      <c r="F75" s="105"/>
      <c r="G75" s="38"/>
      <c r="H75" s="105"/>
      <c r="I75" s="12"/>
      <c r="K75" s="105"/>
      <c r="L75" s="105"/>
    </row>
    <row r="76" spans="2:16" x14ac:dyDescent="0.25">
      <c r="F76" s="105"/>
      <c r="G76" s="42"/>
      <c r="H76" s="105"/>
      <c r="I76" s="12"/>
      <c r="K76" s="105"/>
      <c r="L76" s="105"/>
    </row>
    <row r="77" spans="2:16" ht="13.8" x14ac:dyDescent="0.25">
      <c r="F77" s="105"/>
      <c r="G77" s="38"/>
      <c r="H77" s="105"/>
      <c r="K77" s="105"/>
      <c r="L77" s="105"/>
    </row>
    <row r="78" spans="2:16" ht="13.8" x14ac:dyDescent="0.25">
      <c r="F78" s="105"/>
      <c r="G78" s="38"/>
      <c r="H78" s="105"/>
      <c r="I78" s="12"/>
      <c r="K78" s="105"/>
      <c r="L78" s="105"/>
    </row>
    <row r="79" spans="2:16" ht="13.8" x14ac:dyDescent="0.25">
      <c r="F79" s="105"/>
      <c r="G79" s="38"/>
      <c r="H79" s="105"/>
      <c r="I79" s="12"/>
      <c r="K79" s="105"/>
      <c r="L79" s="105"/>
    </row>
    <row r="80" spans="2:16" ht="13.8" x14ac:dyDescent="0.25">
      <c r="F80" s="105"/>
      <c r="G80" s="38"/>
      <c r="H80" s="105"/>
      <c r="I80" s="12"/>
      <c r="K80" s="105"/>
      <c r="L80" s="105"/>
    </row>
    <row r="81" spans="6:12" ht="13.8" x14ac:dyDescent="0.25">
      <c r="F81" s="105"/>
      <c r="G81" s="38"/>
      <c r="H81" s="105"/>
      <c r="I81" s="12"/>
      <c r="K81" s="105"/>
      <c r="L81" s="105"/>
    </row>
    <row r="82" spans="6:12" ht="13.8" x14ac:dyDescent="0.25">
      <c r="F82" s="105"/>
      <c r="G82" s="38"/>
      <c r="H82" s="105"/>
      <c r="K82" s="105"/>
      <c r="L82" s="105"/>
    </row>
    <row r="83" spans="6:12" ht="13.8" x14ac:dyDescent="0.25">
      <c r="F83" s="105"/>
      <c r="G83" s="38"/>
      <c r="H83" s="105"/>
      <c r="K83" s="105"/>
      <c r="L83" s="105"/>
    </row>
    <row r="84" spans="6:12" ht="13.8" x14ac:dyDescent="0.25">
      <c r="F84" s="105"/>
      <c r="G84" s="38"/>
      <c r="H84" s="105"/>
      <c r="K84" s="105"/>
      <c r="L84" s="105"/>
    </row>
    <row r="85" spans="6:12" ht="13.8" x14ac:dyDescent="0.25">
      <c r="F85" s="105"/>
      <c r="G85" s="38"/>
      <c r="H85" s="105"/>
      <c r="K85" s="105"/>
      <c r="L85" s="105"/>
    </row>
    <row r="86" spans="6:12" ht="13.8" x14ac:dyDescent="0.25">
      <c r="F86" s="105"/>
      <c r="G86" s="38"/>
      <c r="H86" s="105"/>
      <c r="I86" s="12"/>
      <c r="K86" s="105"/>
      <c r="L86" s="105"/>
    </row>
    <row r="87" spans="6:12" ht="13.8" x14ac:dyDescent="0.25">
      <c r="F87" s="105"/>
      <c r="G87" s="38"/>
      <c r="H87" s="105"/>
      <c r="I87" s="12"/>
      <c r="K87" s="105"/>
      <c r="L87" s="105"/>
    </row>
    <row r="88" spans="6:12" ht="13.8" x14ac:dyDescent="0.25">
      <c r="F88" s="105"/>
      <c r="G88" s="38"/>
      <c r="H88" s="105"/>
      <c r="I88" s="12"/>
      <c r="K88" s="105"/>
      <c r="L88" s="105"/>
    </row>
    <row r="89" spans="6:12" ht="13.8" x14ac:dyDescent="0.25">
      <c r="F89" s="105"/>
      <c r="G89" s="38"/>
      <c r="H89" s="105"/>
      <c r="I89" s="12"/>
      <c r="K89" s="105"/>
      <c r="L89" s="105"/>
    </row>
    <row r="90" spans="6:12" ht="13.8" x14ac:dyDescent="0.25">
      <c r="F90" s="105"/>
      <c r="G90" s="38"/>
      <c r="H90" s="105"/>
      <c r="I90" s="12"/>
      <c r="K90" s="105"/>
      <c r="L90" s="105"/>
    </row>
    <row r="91" spans="6:12" ht="13.8" x14ac:dyDescent="0.25">
      <c r="F91" s="105"/>
      <c r="G91" s="38"/>
      <c r="H91" s="105"/>
      <c r="I91" s="12"/>
      <c r="K91" s="105"/>
      <c r="L91" s="105"/>
    </row>
    <row r="92" spans="6:12" ht="13.8" x14ac:dyDescent="0.25">
      <c r="F92" s="105"/>
      <c r="G92" s="38"/>
      <c r="H92" s="105"/>
      <c r="I92" s="12"/>
      <c r="K92" s="105"/>
      <c r="L92" s="105"/>
    </row>
    <row r="93" spans="6:12" ht="13.8" x14ac:dyDescent="0.25">
      <c r="F93" s="105"/>
      <c r="G93" s="38"/>
      <c r="H93" s="105"/>
      <c r="I93" s="12"/>
      <c r="K93" s="105"/>
      <c r="L93" s="105"/>
    </row>
    <row r="94" spans="6:12" ht="13.8" x14ac:dyDescent="0.25">
      <c r="F94" s="105"/>
      <c r="G94" s="38"/>
      <c r="H94" s="105"/>
      <c r="I94" s="12"/>
      <c r="K94" s="105"/>
      <c r="L94" s="105"/>
    </row>
    <row r="95" spans="6:12" ht="13.8" x14ac:dyDescent="0.25">
      <c r="F95" s="105"/>
      <c r="G95" s="2"/>
      <c r="H95" s="105"/>
      <c r="I95" s="12"/>
      <c r="K95" s="105"/>
      <c r="L95" s="105"/>
    </row>
    <row r="96" spans="6:12" ht="13.8" x14ac:dyDescent="0.25">
      <c r="F96" s="105"/>
      <c r="G96" s="2"/>
      <c r="H96" s="105"/>
      <c r="I96" s="12"/>
      <c r="K96" s="105"/>
      <c r="L96" s="105"/>
    </row>
    <row r="97" spans="6:12" ht="13.8" x14ac:dyDescent="0.25">
      <c r="F97" s="105"/>
      <c r="G97" s="2"/>
      <c r="H97" s="105"/>
      <c r="I97" s="12"/>
      <c r="K97" s="105"/>
      <c r="L97" s="105"/>
    </row>
    <row r="98" spans="6:12" ht="13.8" x14ac:dyDescent="0.25">
      <c r="F98" s="105"/>
      <c r="G98" s="2"/>
      <c r="H98" s="105"/>
      <c r="I98" s="12"/>
      <c r="K98" s="105"/>
      <c r="L98" s="105"/>
    </row>
    <row r="99" spans="6:12" ht="13.8" x14ac:dyDescent="0.25">
      <c r="F99" s="105"/>
      <c r="G99" s="2"/>
      <c r="H99" s="105"/>
      <c r="I99" s="12"/>
      <c r="K99" s="105"/>
      <c r="L99" s="105"/>
    </row>
    <row r="100" spans="6:12" ht="13.8" x14ac:dyDescent="0.25">
      <c r="F100" s="105"/>
      <c r="G100" s="2"/>
      <c r="H100" s="105"/>
      <c r="I100" s="12"/>
      <c r="K100" s="105"/>
      <c r="L100" s="105"/>
    </row>
    <row r="101" spans="6:12" ht="13.8" x14ac:dyDescent="0.25">
      <c r="F101" s="105"/>
      <c r="G101" s="2"/>
      <c r="H101" s="105"/>
      <c r="I101" s="12"/>
      <c r="K101" s="105"/>
      <c r="L101" s="105"/>
    </row>
    <row r="102" spans="6:12" x14ac:dyDescent="0.25">
      <c r="F102" s="105"/>
      <c r="G102" s="12"/>
      <c r="H102" s="105"/>
      <c r="I102" s="12"/>
      <c r="K102" s="105"/>
      <c r="L102" s="105"/>
    </row>
    <row r="103" spans="6:12" ht="13.8" x14ac:dyDescent="0.25">
      <c r="F103" s="105"/>
      <c r="G103" s="2"/>
      <c r="H103" s="105"/>
      <c r="I103" s="12"/>
      <c r="K103" s="105"/>
      <c r="L103" s="105"/>
    </row>
    <row r="104" spans="6:12" ht="13.8" x14ac:dyDescent="0.25">
      <c r="F104" s="105"/>
      <c r="G104" s="2"/>
      <c r="H104" s="105"/>
      <c r="I104" s="12"/>
      <c r="K104" s="105"/>
      <c r="L104" s="105"/>
    </row>
    <row r="105" spans="6:12" x14ac:dyDescent="0.25">
      <c r="F105" s="105"/>
      <c r="G105" s="12"/>
      <c r="H105" s="105"/>
      <c r="I105" s="12"/>
      <c r="K105" s="105"/>
      <c r="L105" s="105"/>
    </row>
    <row r="106" spans="6:12" ht="13.8" x14ac:dyDescent="0.25">
      <c r="F106" s="105"/>
      <c r="G106" s="8"/>
      <c r="H106" s="105"/>
      <c r="I106" s="12"/>
      <c r="K106" s="105"/>
      <c r="L106" s="105"/>
    </row>
    <row r="107" spans="6:12" ht="13.8" x14ac:dyDescent="0.25">
      <c r="F107" s="105"/>
      <c r="G107" s="8"/>
      <c r="H107" s="105"/>
      <c r="I107" s="12"/>
      <c r="K107" s="105"/>
      <c r="L107" s="105"/>
    </row>
    <row r="108" spans="6:12" ht="13.8" x14ac:dyDescent="0.25">
      <c r="F108" s="105"/>
      <c r="G108" s="2"/>
      <c r="H108" s="105"/>
      <c r="I108" s="12"/>
      <c r="K108" s="105"/>
      <c r="L108" s="105"/>
    </row>
    <row r="109" spans="6:12" ht="13.8" x14ac:dyDescent="0.25">
      <c r="F109" s="105"/>
      <c r="G109" s="2"/>
      <c r="H109" s="105"/>
      <c r="I109" s="12"/>
      <c r="K109" s="105"/>
      <c r="L109" s="105"/>
    </row>
    <row r="110" spans="6:12" ht="13.8" x14ac:dyDescent="0.25">
      <c r="F110" s="105"/>
      <c r="G110" s="2"/>
      <c r="H110" s="105"/>
      <c r="I110" s="12"/>
      <c r="K110" s="105"/>
      <c r="L110" s="105"/>
    </row>
  </sheetData>
  <mergeCells count="8">
    <mergeCell ref="B61:B67"/>
    <mergeCell ref="B68:B72"/>
    <mergeCell ref="B4:B5"/>
    <mergeCell ref="B7:B10"/>
    <mergeCell ref="B11:B20"/>
    <mergeCell ref="B21:B25"/>
    <mergeCell ref="B26:B52"/>
    <mergeCell ref="B53:B60"/>
  </mergeCells>
  <hyperlinks>
    <hyperlink ref="E58" r:id="rId1" xr:uid="{00000000-0004-0000-0300-000000000000}"/>
    <hyperlink ref="F58" r:id="rId2" xr:uid="{00000000-0004-0000-0300-000001000000}"/>
    <hyperlink ref="G58" r:id="rId3" xr:uid="{00000000-0004-0000-0300-000002000000}"/>
    <hyperlink ref="H58" r:id="rId4" xr:uid="{00000000-0004-0000-0300-000003000000}"/>
    <hyperlink ref="I58" r:id="rId5" xr:uid="{00000000-0004-0000-0300-000004000000}"/>
    <hyperlink ref="J58" r:id="rId6" xr:uid="{00000000-0004-0000-0300-000005000000}"/>
    <hyperlink ref="K58" r:id="rId7" xr:uid="{00000000-0004-0000-0300-000006000000}"/>
    <hyperlink ref="M58" r:id="rId8" xr:uid="{00000000-0004-0000-0300-000007000000}"/>
    <hyperlink ref="O58" r:id="rId9" xr:uid="{00000000-0004-0000-0300-000008000000}"/>
    <hyperlink ref="Q58" r:id="rId10" xr:uid="{00000000-0004-0000-0300-000009000000}"/>
    <hyperlink ref="S58" r:id="rId11" xr:uid="{00000000-0004-0000-0300-00000A000000}"/>
    <hyperlink ref="U58" r:id="rId12" xr:uid="{00000000-0004-0000-0300-00000B000000}"/>
    <hyperlink ref="W58" r:id="rId13" xr:uid="{00000000-0004-0000-0300-00000C000000}"/>
    <hyperlink ref="Y58" r:id="rId14" xr:uid="{00000000-0004-0000-0300-00000D000000}"/>
    <hyperlink ref="AA58" r:id="rId15" xr:uid="{00000000-0004-0000-0300-00000E000000}"/>
    <hyperlink ref="AC58" r:id="rId16" xr:uid="{00000000-0004-0000-0300-00000F000000}"/>
    <hyperlink ref="AE58" r:id="rId17" xr:uid="{00000000-0004-0000-0300-000010000000}"/>
    <hyperlink ref="AG58" r:id="rId18" xr:uid="{00000000-0004-0000-0300-000011000000}"/>
    <hyperlink ref="AI58" r:id="rId19" xr:uid="{00000000-0004-0000-0300-000012000000}"/>
    <hyperlink ref="AK58" r:id="rId20" xr:uid="{00000000-0004-0000-0300-000013000000}"/>
    <hyperlink ref="AM58" r:id="rId21" xr:uid="{00000000-0004-0000-0300-000014000000}"/>
    <hyperlink ref="AO58" r:id="rId22" xr:uid="{00000000-0004-0000-0300-000015000000}"/>
    <hyperlink ref="AQ58" r:id="rId23" xr:uid="{00000000-0004-0000-0300-000016000000}"/>
    <hyperlink ref="AS58" r:id="rId24" xr:uid="{00000000-0004-0000-0300-000017000000}"/>
    <hyperlink ref="AU58" r:id="rId25" xr:uid="{00000000-0004-0000-0300-000018000000}"/>
    <hyperlink ref="AW58" r:id="rId26" xr:uid="{00000000-0004-0000-0300-000019000000}"/>
    <hyperlink ref="L58" r:id="rId27" xr:uid="{00000000-0004-0000-0300-00001A000000}"/>
    <hyperlink ref="N58" r:id="rId28" xr:uid="{00000000-0004-0000-0300-00001B000000}"/>
    <hyperlink ref="P58" r:id="rId29" xr:uid="{00000000-0004-0000-0300-00001C000000}"/>
    <hyperlink ref="R58" r:id="rId30" xr:uid="{00000000-0004-0000-0300-00001D000000}"/>
    <hyperlink ref="T58" r:id="rId31" xr:uid="{00000000-0004-0000-0300-00001E000000}"/>
    <hyperlink ref="V58" r:id="rId32" xr:uid="{00000000-0004-0000-0300-00001F000000}"/>
    <hyperlink ref="X58" r:id="rId33" xr:uid="{00000000-0004-0000-0300-000020000000}"/>
    <hyperlink ref="Z58" r:id="rId34" xr:uid="{00000000-0004-0000-0300-000021000000}"/>
    <hyperlink ref="AB58" r:id="rId35" xr:uid="{00000000-0004-0000-0300-000022000000}"/>
    <hyperlink ref="AD58" r:id="rId36" xr:uid="{00000000-0004-0000-0300-000023000000}"/>
    <hyperlink ref="AF58" r:id="rId37" xr:uid="{00000000-0004-0000-0300-000024000000}"/>
    <hyperlink ref="AH58" r:id="rId38" xr:uid="{00000000-0004-0000-0300-000025000000}"/>
    <hyperlink ref="AJ58" r:id="rId39" xr:uid="{00000000-0004-0000-0300-000026000000}"/>
    <hyperlink ref="AL58" r:id="rId40" xr:uid="{00000000-0004-0000-0300-000027000000}"/>
    <hyperlink ref="AN58" r:id="rId41" xr:uid="{00000000-0004-0000-0300-000028000000}"/>
    <hyperlink ref="AP58" r:id="rId42" xr:uid="{00000000-0004-0000-0300-000029000000}"/>
    <hyperlink ref="AR58" r:id="rId43" xr:uid="{00000000-0004-0000-0300-00002A000000}"/>
    <hyperlink ref="AT58" r:id="rId44" xr:uid="{00000000-0004-0000-0300-00002B000000}"/>
    <hyperlink ref="AV58" r:id="rId45" xr:uid="{00000000-0004-0000-0300-00002C000000}"/>
  </hyperlinks>
  <pageMargins left="0.7" right="0.7" top="0.78740157499999996" bottom="0.78740157499999996" header="0.3" footer="0.3"/>
  <pageSetup paperSize="9" orientation="portrait" r:id="rId4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A72"/>
  <sheetViews>
    <sheetView zoomScale="70" zoomScaleNormal="70" workbookViewId="0">
      <pane xSplit="4" ySplit="2" topLeftCell="R3" activePane="bottomRight" state="frozen"/>
      <selection pane="topRight" activeCell="E1" sqref="E1"/>
      <selection pane="bottomLeft" activeCell="A3" sqref="A3"/>
      <selection pane="bottomRight" activeCell="R90" sqref="R90"/>
    </sheetView>
  </sheetViews>
  <sheetFormatPr baseColWidth="10" defaultRowHeight="13.2" x14ac:dyDescent="0.25"/>
  <cols>
    <col min="2" max="2" width="11.5546875" style="105"/>
    <col min="3" max="3" width="21.44140625" style="105" bestFit="1" customWidth="1"/>
    <col min="4" max="4" width="8" style="105" bestFit="1" customWidth="1"/>
    <col min="5" max="5" width="21.33203125" style="105" customWidth="1"/>
    <col min="6" max="6" width="14.6640625" customWidth="1"/>
    <col min="7" max="7" width="13.5546875" customWidth="1"/>
    <col min="8" max="8" width="19.109375" customWidth="1"/>
    <col min="9" max="9" width="14.21875" customWidth="1"/>
    <col min="10" max="10" width="15.6640625" customWidth="1"/>
    <col min="11" max="11" width="13.6640625" customWidth="1"/>
    <col min="12" max="12" width="14.5546875" customWidth="1"/>
    <col min="13" max="14" width="16.21875" customWidth="1"/>
    <col min="15" max="15" width="13.88671875" customWidth="1"/>
    <col min="16" max="16" width="17.33203125" customWidth="1"/>
    <col min="17" max="17" width="28.109375" customWidth="1"/>
    <col min="18" max="18" width="44" style="105" customWidth="1"/>
    <col min="19" max="19" width="32" style="105" customWidth="1"/>
    <col min="20" max="20" width="16.109375" style="105" customWidth="1"/>
    <col min="21" max="21" width="14.33203125" style="105" customWidth="1"/>
    <col min="22" max="22" width="16.5546875" style="105" customWidth="1"/>
    <col min="23" max="23" width="15.77734375" style="105" customWidth="1"/>
    <col min="24" max="24" width="17.109375" style="105" customWidth="1"/>
    <col min="25" max="25" width="35.5546875" style="105" customWidth="1"/>
    <col min="26" max="26" width="25.88671875" style="105" customWidth="1"/>
    <col min="27" max="27" width="35.77734375" style="105" customWidth="1"/>
  </cols>
  <sheetData>
    <row r="1" spans="2:27" x14ac:dyDescent="0.25">
      <c r="E1" s="105" t="s">
        <v>694</v>
      </c>
      <c r="F1" s="105" t="s">
        <v>694</v>
      </c>
      <c r="G1" s="105" t="s">
        <v>694</v>
      </c>
      <c r="H1" s="105" t="s">
        <v>694</v>
      </c>
      <c r="I1" s="105" t="s">
        <v>694</v>
      </c>
      <c r="J1" s="105" t="s">
        <v>694</v>
      </c>
      <c r="K1" s="105" t="s">
        <v>694</v>
      </c>
      <c r="L1" s="105" t="s">
        <v>694</v>
      </c>
      <c r="M1" s="105" t="s">
        <v>694</v>
      </c>
      <c r="N1" s="105" t="s">
        <v>694</v>
      </c>
      <c r="O1" s="105" t="s">
        <v>694</v>
      </c>
      <c r="P1" s="105" t="s">
        <v>694</v>
      </c>
      <c r="Q1" s="105" t="s">
        <v>694</v>
      </c>
      <c r="R1" s="105" t="s">
        <v>694</v>
      </c>
      <c r="S1" s="105" t="s">
        <v>694</v>
      </c>
      <c r="T1" s="105" t="s">
        <v>694</v>
      </c>
      <c r="U1" s="105" t="s">
        <v>694</v>
      </c>
      <c r="V1" s="105" t="s">
        <v>694</v>
      </c>
      <c r="W1" s="105" t="s">
        <v>694</v>
      </c>
      <c r="X1" s="105" t="s">
        <v>694</v>
      </c>
      <c r="Y1" s="105" t="s">
        <v>694</v>
      </c>
      <c r="Z1" s="105" t="s">
        <v>694</v>
      </c>
      <c r="AA1" s="105" t="s">
        <v>694</v>
      </c>
    </row>
    <row r="2" spans="2:27" ht="13.8" x14ac:dyDescent="0.25">
      <c r="B2" s="34" t="s">
        <v>183</v>
      </c>
      <c r="C2" s="35"/>
      <c r="D2" s="35"/>
      <c r="E2" s="5"/>
      <c r="S2" s="5"/>
      <c r="T2" s="5"/>
      <c r="U2" s="5"/>
      <c r="V2" s="5"/>
      <c r="W2" s="5"/>
      <c r="X2" s="5"/>
      <c r="Y2" s="5"/>
      <c r="Z2" s="5"/>
      <c r="AA2" s="5"/>
    </row>
    <row r="3" spans="2:27" x14ac:dyDescent="0.25">
      <c r="B3" s="58"/>
      <c r="C3" s="17" t="s">
        <v>181</v>
      </c>
      <c r="D3" s="18" t="s">
        <v>182</v>
      </c>
      <c r="E3" s="36" t="s">
        <v>1154</v>
      </c>
      <c r="F3" s="36" t="s">
        <v>1168</v>
      </c>
      <c r="G3" s="36" t="s">
        <v>1169</v>
      </c>
      <c r="H3" s="36" t="s">
        <v>1170</v>
      </c>
      <c r="I3" s="36" t="s">
        <v>1171</v>
      </c>
      <c r="J3" s="36" t="s">
        <v>1172</v>
      </c>
      <c r="K3" s="36" t="s">
        <v>1173</v>
      </c>
      <c r="L3" s="36" t="s">
        <v>1174</v>
      </c>
      <c r="M3" s="36" t="s">
        <v>1175</v>
      </c>
      <c r="N3" s="36" t="s">
        <v>1176</v>
      </c>
      <c r="O3" s="36" t="s">
        <v>1177</v>
      </c>
      <c r="P3" s="36" t="s">
        <v>1178</v>
      </c>
      <c r="Q3" s="36" t="s">
        <v>1179</v>
      </c>
      <c r="R3" s="36" t="s">
        <v>1339</v>
      </c>
      <c r="S3" s="36" t="s">
        <v>1233</v>
      </c>
      <c r="T3" s="36" t="s">
        <v>1244</v>
      </c>
      <c r="U3" s="36" t="s">
        <v>1245</v>
      </c>
      <c r="V3" s="36" t="s">
        <v>1246</v>
      </c>
      <c r="W3" s="36" t="s">
        <v>1247</v>
      </c>
      <c r="X3" s="36" t="s">
        <v>1248</v>
      </c>
      <c r="Y3" s="36" t="s">
        <v>1348</v>
      </c>
      <c r="Z3" s="36" t="s">
        <v>1263</v>
      </c>
      <c r="AA3" s="36" t="s">
        <v>1349</v>
      </c>
    </row>
    <row r="4" spans="2:27" x14ac:dyDescent="0.25">
      <c r="B4" s="305" t="s">
        <v>2</v>
      </c>
      <c r="C4" s="55" t="s">
        <v>455</v>
      </c>
      <c r="D4" s="40" t="s">
        <v>442</v>
      </c>
      <c r="E4" s="12" t="s">
        <v>500</v>
      </c>
      <c r="F4" s="12" t="s">
        <v>500</v>
      </c>
      <c r="G4" s="12" t="s">
        <v>500</v>
      </c>
      <c r="H4" s="12" t="s">
        <v>500</v>
      </c>
      <c r="I4" s="12" t="s">
        <v>500</v>
      </c>
      <c r="J4" s="12" t="s">
        <v>500</v>
      </c>
      <c r="K4" s="12" t="s">
        <v>500</v>
      </c>
      <c r="L4" s="12" t="s">
        <v>500</v>
      </c>
      <c r="M4" s="12" t="s">
        <v>500</v>
      </c>
      <c r="N4" s="12" t="s">
        <v>500</v>
      </c>
      <c r="O4" s="12" t="s">
        <v>500</v>
      </c>
      <c r="P4" s="12" t="s">
        <v>500</v>
      </c>
      <c r="Q4" s="12" t="s">
        <v>500</v>
      </c>
      <c r="R4" s="12" t="s">
        <v>500</v>
      </c>
      <c r="S4" s="12" t="s">
        <v>500</v>
      </c>
      <c r="T4" s="12" t="s">
        <v>500</v>
      </c>
      <c r="U4" s="12" t="s">
        <v>500</v>
      </c>
      <c r="V4" s="12" t="s">
        <v>500</v>
      </c>
      <c r="W4" s="12" t="s">
        <v>500</v>
      </c>
      <c r="X4" s="12" t="s">
        <v>500</v>
      </c>
      <c r="Y4" s="12" t="s">
        <v>500</v>
      </c>
      <c r="Z4" s="12" t="s">
        <v>500</v>
      </c>
      <c r="AA4" s="12" t="s">
        <v>500</v>
      </c>
    </row>
    <row r="5" spans="2:27" ht="13.8" x14ac:dyDescent="0.25">
      <c r="B5" s="306"/>
      <c r="C5" s="54" t="s">
        <v>456</v>
      </c>
      <c r="D5" s="40" t="s">
        <v>442</v>
      </c>
      <c r="E5" s="1" t="s">
        <v>1319</v>
      </c>
      <c r="F5" s="1" t="s">
        <v>1320</v>
      </c>
      <c r="G5" s="1" t="s">
        <v>1321</v>
      </c>
      <c r="H5" s="1" t="s">
        <v>1322</v>
      </c>
      <c r="I5" s="1" t="s">
        <v>1323</v>
      </c>
      <c r="J5" s="1" t="s">
        <v>1324</v>
      </c>
      <c r="K5" s="1" t="s">
        <v>1325</v>
      </c>
      <c r="L5" s="1" t="s">
        <v>1326</v>
      </c>
      <c r="M5" s="1" t="s">
        <v>1327</v>
      </c>
      <c r="N5" s="1" t="s">
        <v>1328</v>
      </c>
      <c r="O5" s="1" t="s">
        <v>1329</v>
      </c>
      <c r="P5" s="1" t="s">
        <v>1330</v>
      </c>
      <c r="Q5" s="1" t="s">
        <v>1331</v>
      </c>
      <c r="R5" s="1" t="s">
        <v>1340</v>
      </c>
      <c r="S5" s="1" t="s">
        <v>1332</v>
      </c>
      <c r="T5" s="1" t="s">
        <v>1333</v>
      </c>
      <c r="U5" s="1" t="s">
        <v>1334</v>
      </c>
      <c r="V5" s="1" t="s">
        <v>1335</v>
      </c>
      <c r="W5" s="1" t="s">
        <v>1336</v>
      </c>
      <c r="X5" s="1" t="s">
        <v>1337</v>
      </c>
      <c r="Y5" s="1" t="s">
        <v>1355</v>
      </c>
      <c r="Z5" s="1" t="s">
        <v>1338</v>
      </c>
      <c r="AA5" s="1" t="s">
        <v>1350</v>
      </c>
    </row>
    <row r="6" spans="2:27" ht="13.8" x14ac:dyDescent="0.25">
      <c r="B6" s="59"/>
      <c r="C6" s="54" t="s">
        <v>457</v>
      </c>
      <c r="D6" s="29"/>
      <c r="E6" s="2" t="s">
        <v>1150</v>
      </c>
      <c r="F6" s="2" t="s">
        <v>1150</v>
      </c>
      <c r="G6" s="2" t="s">
        <v>1150</v>
      </c>
      <c r="H6" s="2" t="s">
        <v>1150</v>
      </c>
      <c r="I6" s="2" t="s">
        <v>1150</v>
      </c>
      <c r="J6" s="2" t="s">
        <v>1150</v>
      </c>
      <c r="K6" s="2" t="s">
        <v>1150</v>
      </c>
      <c r="L6" s="2" t="s">
        <v>1150</v>
      </c>
      <c r="M6" s="2" t="s">
        <v>1150</v>
      </c>
      <c r="N6" s="2" t="s">
        <v>1150</v>
      </c>
      <c r="O6" s="2" t="s">
        <v>1150</v>
      </c>
      <c r="P6" s="2" t="s">
        <v>1150</v>
      </c>
      <c r="Q6" s="2" t="s">
        <v>1150</v>
      </c>
      <c r="R6" s="2" t="s">
        <v>1150</v>
      </c>
      <c r="S6" s="2" t="s">
        <v>1150</v>
      </c>
      <c r="T6" s="2" t="s">
        <v>1150</v>
      </c>
      <c r="U6" s="2" t="s">
        <v>1150</v>
      </c>
      <c r="V6" s="2" t="s">
        <v>1150</v>
      </c>
      <c r="W6" s="2" t="s">
        <v>1150</v>
      </c>
      <c r="X6" s="2" t="s">
        <v>1150</v>
      </c>
      <c r="Y6" s="2" t="s">
        <v>1150</v>
      </c>
      <c r="Z6" s="2" t="s">
        <v>1150</v>
      </c>
      <c r="AA6" s="2" t="s">
        <v>1150</v>
      </c>
    </row>
    <row r="7" spans="2:27" x14ac:dyDescent="0.25">
      <c r="B7" s="307" t="s">
        <v>3</v>
      </c>
      <c r="C7" s="54" t="s">
        <v>451</v>
      </c>
      <c r="D7" s="29"/>
      <c r="E7" s="105">
        <v>10</v>
      </c>
      <c r="F7" s="105">
        <v>10</v>
      </c>
      <c r="G7" s="105">
        <v>10</v>
      </c>
      <c r="H7" s="105">
        <v>10</v>
      </c>
      <c r="I7" s="105">
        <v>10</v>
      </c>
      <c r="J7" s="105">
        <v>10</v>
      </c>
      <c r="K7" s="105">
        <v>10</v>
      </c>
      <c r="L7" s="105">
        <v>10</v>
      </c>
      <c r="M7" s="105">
        <v>10</v>
      </c>
      <c r="N7" s="105">
        <v>10</v>
      </c>
      <c r="O7" s="105">
        <v>10</v>
      </c>
      <c r="P7" s="105">
        <v>10</v>
      </c>
      <c r="Q7" s="105">
        <v>10</v>
      </c>
      <c r="R7" s="105">
        <v>10</v>
      </c>
      <c r="S7" s="105">
        <v>10</v>
      </c>
      <c r="T7" s="105">
        <v>10</v>
      </c>
      <c r="U7" s="105">
        <v>10</v>
      </c>
      <c r="V7" s="105">
        <v>10</v>
      </c>
      <c r="W7" s="105">
        <v>10</v>
      </c>
      <c r="X7" s="105">
        <v>10</v>
      </c>
      <c r="Y7" s="105">
        <v>10</v>
      </c>
      <c r="Z7" s="105">
        <v>10</v>
      </c>
      <c r="AA7" s="105">
        <v>10</v>
      </c>
    </row>
    <row r="8" spans="2:27" ht="13.8" x14ac:dyDescent="0.25">
      <c r="B8" s="307"/>
      <c r="C8" s="54" t="s">
        <v>458</v>
      </c>
      <c r="D8" s="40" t="s">
        <v>442</v>
      </c>
      <c r="E8" s="1">
        <v>1</v>
      </c>
      <c r="F8" s="1">
        <v>1</v>
      </c>
      <c r="G8" s="1">
        <v>1</v>
      </c>
      <c r="H8" s="1">
        <v>1</v>
      </c>
      <c r="I8" s="1">
        <v>1</v>
      </c>
      <c r="J8" s="1">
        <v>1</v>
      </c>
      <c r="K8" s="1">
        <v>1</v>
      </c>
      <c r="L8" s="1">
        <v>1</v>
      </c>
      <c r="M8" s="1">
        <v>1</v>
      </c>
      <c r="N8" s="1">
        <v>1</v>
      </c>
      <c r="O8" s="1">
        <v>1</v>
      </c>
      <c r="P8" s="1">
        <v>1</v>
      </c>
      <c r="Q8" s="1">
        <v>1</v>
      </c>
      <c r="R8" s="1">
        <v>1</v>
      </c>
      <c r="S8" s="1">
        <v>2</v>
      </c>
      <c r="T8" s="1">
        <v>2</v>
      </c>
      <c r="U8" s="1">
        <v>2</v>
      </c>
      <c r="V8" s="1">
        <v>2</v>
      </c>
      <c r="W8" s="1">
        <v>2</v>
      </c>
      <c r="X8" s="1">
        <v>2</v>
      </c>
      <c r="Y8" s="1">
        <v>2</v>
      </c>
      <c r="Z8" s="1">
        <v>2</v>
      </c>
      <c r="AA8" s="1">
        <v>2</v>
      </c>
    </row>
    <row r="9" spans="2:27" ht="13.8" x14ac:dyDescent="0.25">
      <c r="B9" s="307"/>
      <c r="C9" s="54" t="s">
        <v>459</v>
      </c>
      <c r="D9" s="40" t="s">
        <v>442</v>
      </c>
      <c r="E9" s="1" t="s">
        <v>1</v>
      </c>
      <c r="F9" s="1" t="s">
        <v>1</v>
      </c>
      <c r="G9" s="1" t="s">
        <v>1</v>
      </c>
      <c r="H9" s="1" t="s">
        <v>1</v>
      </c>
      <c r="I9" s="1" t="s">
        <v>1</v>
      </c>
      <c r="J9" s="1" t="s">
        <v>1</v>
      </c>
      <c r="K9" s="1" t="s">
        <v>1</v>
      </c>
      <c r="L9" s="1" t="s">
        <v>1</v>
      </c>
      <c r="M9" s="1" t="s">
        <v>1</v>
      </c>
      <c r="N9" s="1" t="s">
        <v>1</v>
      </c>
      <c r="O9" s="1" t="s">
        <v>1</v>
      </c>
      <c r="P9" s="1" t="s">
        <v>1</v>
      </c>
      <c r="Q9" s="1" t="s">
        <v>1</v>
      </c>
      <c r="R9" s="1" t="s">
        <v>1</v>
      </c>
      <c r="S9" s="1" t="s">
        <v>187</v>
      </c>
      <c r="T9" s="1" t="s">
        <v>187</v>
      </c>
      <c r="U9" s="1" t="s">
        <v>187</v>
      </c>
      <c r="V9" s="1" t="s">
        <v>187</v>
      </c>
      <c r="W9" s="1" t="s">
        <v>187</v>
      </c>
      <c r="X9" s="1" t="s">
        <v>187</v>
      </c>
      <c r="Y9" s="1" t="s">
        <v>187</v>
      </c>
      <c r="Z9" s="1" t="s">
        <v>1281</v>
      </c>
      <c r="AA9" s="1" t="s">
        <v>1281</v>
      </c>
    </row>
    <row r="10" spans="2:27" ht="13.8" x14ac:dyDescent="0.25">
      <c r="B10" s="307"/>
      <c r="C10" s="54" t="s">
        <v>460</v>
      </c>
      <c r="D10" s="40" t="s">
        <v>442</v>
      </c>
      <c r="E10" s="1" t="s">
        <v>12</v>
      </c>
      <c r="F10" s="1" t="s">
        <v>12</v>
      </c>
      <c r="G10" s="1" t="s">
        <v>12</v>
      </c>
      <c r="H10" s="1" t="s">
        <v>12</v>
      </c>
      <c r="I10" s="1" t="s">
        <v>12</v>
      </c>
      <c r="J10" s="1" t="s">
        <v>12</v>
      </c>
      <c r="K10" s="1" t="s">
        <v>12</v>
      </c>
      <c r="L10" s="1" t="s">
        <v>12</v>
      </c>
      <c r="M10" s="1" t="s">
        <v>12</v>
      </c>
      <c r="N10" s="1" t="s">
        <v>12</v>
      </c>
      <c r="O10" s="1" t="s">
        <v>12</v>
      </c>
      <c r="P10" s="1" t="s">
        <v>12</v>
      </c>
      <c r="Q10" s="1" t="s">
        <v>12</v>
      </c>
      <c r="R10" s="1" t="s">
        <v>1342</v>
      </c>
      <c r="S10" s="1" t="s">
        <v>12</v>
      </c>
      <c r="T10" s="1" t="s">
        <v>12</v>
      </c>
      <c r="U10" s="1" t="s">
        <v>12</v>
      </c>
      <c r="V10" s="1" t="s">
        <v>12</v>
      </c>
      <c r="W10" s="1" t="s">
        <v>12</v>
      </c>
      <c r="X10" s="1" t="s">
        <v>12</v>
      </c>
      <c r="Y10" s="1" t="s">
        <v>1342</v>
      </c>
      <c r="Z10" s="1" t="s">
        <v>12</v>
      </c>
      <c r="AA10" s="1" t="s">
        <v>1342</v>
      </c>
    </row>
    <row r="11" spans="2:27" ht="13.8" x14ac:dyDescent="0.25">
      <c r="B11" s="308" t="s">
        <v>6</v>
      </c>
      <c r="C11" s="55" t="s">
        <v>426</v>
      </c>
      <c r="D11" s="29"/>
      <c r="E11" s="2" t="s">
        <v>779</v>
      </c>
      <c r="F11" s="2" t="s">
        <v>779</v>
      </c>
      <c r="G11" s="2" t="s">
        <v>779</v>
      </c>
      <c r="H11" s="2" t="s">
        <v>779</v>
      </c>
      <c r="I11" s="2" t="s">
        <v>779</v>
      </c>
      <c r="J11" s="2" t="s">
        <v>779</v>
      </c>
      <c r="K11" s="2" t="s">
        <v>779</v>
      </c>
      <c r="L11" s="2" t="s">
        <v>779</v>
      </c>
      <c r="M11" s="2" t="s">
        <v>779</v>
      </c>
      <c r="N11" s="2" t="s">
        <v>779</v>
      </c>
      <c r="O11" s="2" t="s">
        <v>779</v>
      </c>
      <c r="P11" s="2" t="s">
        <v>779</v>
      </c>
      <c r="Q11" s="2" t="s">
        <v>779</v>
      </c>
      <c r="R11" s="2" t="s">
        <v>779</v>
      </c>
      <c r="S11" s="2" t="s">
        <v>779</v>
      </c>
      <c r="T11" s="2" t="s">
        <v>779</v>
      </c>
      <c r="U11" s="2" t="s">
        <v>779</v>
      </c>
      <c r="V11" s="2" t="s">
        <v>779</v>
      </c>
      <c r="W11" s="2" t="s">
        <v>779</v>
      </c>
      <c r="X11" s="2" t="s">
        <v>779</v>
      </c>
      <c r="Y11" s="2" t="s">
        <v>779</v>
      </c>
      <c r="Z11" s="2" t="s">
        <v>779</v>
      </c>
      <c r="AA11" s="2" t="s">
        <v>779</v>
      </c>
    </row>
    <row r="12" spans="2:27" ht="13.8" x14ac:dyDescent="0.25">
      <c r="B12" s="309"/>
      <c r="C12" s="56" t="s">
        <v>427</v>
      </c>
      <c r="D12" s="29"/>
      <c r="E12" s="2" t="s">
        <v>1157</v>
      </c>
      <c r="F12" s="2" t="s">
        <v>1157</v>
      </c>
      <c r="G12" s="2" t="s">
        <v>1157</v>
      </c>
      <c r="H12" s="2" t="s">
        <v>1157</v>
      </c>
      <c r="I12" s="2" t="s">
        <v>1157</v>
      </c>
      <c r="J12" s="2" t="s">
        <v>1157</v>
      </c>
      <c r="K12" s="2" t="s">
        <v>1157</v>
      </c>
      <c r="L12" s="2" t="s">
        <v>1157</v>
      </c>
      <c r="M12" s="2" t="s">
        <v>1157</v>
      </c>
      <c r="N12" s="2" t="s">
        <v>1157</v>
      </c>
      <c r="O12" s="2" t="s">
        <v>1157</v>
      </c>
      <c r="P12" s="2" t="s">
        <v>1157</v>
      </c>
      <c r="Q12" s="2" t="s">
        <v>1157</v>
      </c>
      <c r="R12" s="2" t="s">
        <v>1157</v>
      </c>
      <c r="S12" s="2" t="s">
        <v>1234</v>
      </c>
      <c r="T12" s="2" t="s">
        <v>1234</v>
      </c>
      <c r="U12" s="2" t="s">
        <v>1234</v>
      </c>
      <c r="V12" s="2" t="s">
        <v>1234</v>
      </c>
      <c r="W12" s="2" t="s">
        <v>1234</v>
      </c>
      <c r="X12" s="2" t="s">
        <v>1234</v>
      </c>
      <c r="Y12" s="2" t="s">
        <v>1234</v>
      </c>
      <c r="Z12" s="2" t="s">
        <v>1234</v>
      </c>
      <c r="AA12" s="2" t="s">
        <v>1234</v>
      </c>
    </row>
    <row r="13" spans="2:27" ht="13.8" x14ac:dyDescent="0.25">
      <c r="B13" s="309"/>
      <c r="C13" s="56" t="s">
        <v>428</v>
      </c>
      <c r="D13" s="29"/>
      <c r="E13" s="2" t="s">
        <v>1158</v>
      </c>
      <c r="F13" s="2" t="s">
        <v>1158</v>
      </c>
      <c r="G13" s="2" t="s">
        <v>1158</v>
      </c>
      <c r="H13" s="2" t="s">
        <v>1158</v>
      </c>
      <c r="I13" s="2" t="s">
        <v>1158</v>
      </c>
      <c r="J13" s="2" t="s">
        <v>1158</v>
      </c>
      <c r="K13" s="2" t="s">
        <v>1158</v>
      </c>
      <c r="L13" s="2" t="s">
        <v>1158</v>
      </c>
      <c r="M13" s="2" t="s">
        <v>1158</v>
      </c>
      <c r="N13" s="2" t="s">
        <v>1158</v>
      </c>
      <c r="O13" s="2" t="s">
        <v>1158</v>
      </c>
      <c r="P13" s="2" t="s">
        <v>1158</v>
      </c>
      <c r="Q13" s="2" t="s">
        <v>1158</v>
      </c>
      <c r="R13" s="2" t="s">
        <v>1158</v>
      </c>
      <c r="S13" s="2" t="s">
        <v>1158</v>
      </c>
      <c r="T13" s="2" t="s">
        <v>1158</v>
      </c>
      <c r="U13" s="2" t="s">
        <v>1158</v>
      </c>
      <c r="V13" s="2" t="s">
        <v>1158</v>
      </c>
      <c r="W13" s="2" t="s">
        <v>1158</v>
      </c>
      <c r="X13" s="2" t="s">
        <v>1158</v>
      </c>
      <c r="Y13" s="2" t="s">
        <v>1158</v>
      </c>
      <c r="Z13" s="2" t="s">
        <v>1158</v>
      </c>
      <c r="AA13" s="2" t="s">
        <v>1158</v>
      </c>
    </row>
    <row r="14" spans="2:27" ht="13.8" x14ac:dyDescent="0.25">
      <c r="B14" s="309"/>
      <c r="C14" s="56" t="s">
        <v>429</v>
      </c>
      <c r="D14" s="29"/>
      <c r="E14" s="2" t="s">
        <v>1158</v>
      </c>
      <c r="F14" s="2" t="s">
        <v>1158</v>
      </c>
      <c r="G14" s="2" t="s">
        <v>1158</v>
      </c>
      <c r="H14" s="2" t="s">
        <v>1158</v>
      </c>
      <c r="I14" s="2" t="s">
        <v>1158</v>
      </c>
      <c r="J14" s="2" t="s">
        <v>1158</v>
      </c>
      <c r="K14" s="2" t="s">
        <v>1158</v>
      </c>
      <c r="L14" s="2" t="s">
        <v>1158</v>
      </c>
      <c r="M14" s="2" t="s">
        <v>1158</v>
      </c>
      <c r="N14" s="2" t="s">
        <v>1158</v>
      </c>
      <c r="O14" s="2" t="s">
        <v>1158</v>
      </c>
      <c r="P14" s="2" t="s">
        <v>1158</v>
      </c>
      <c r="Q14" s="2" t="s">
        <v>1158</v>
      </c>
      <c r="R14" s="2" t="s">
        <v>1158</v>
      </c>
      <c r="S14" s="2" t="s">
        <v>1158</v>
      </c>
      <c r="T14" s="2" t="s">
        <v>1158</v>
      </c>
      <c r="U14" s="2" t="s">
        <v>1158</v>
      </c>
      <c r="V14" s="2" t="s">
        <v>1158</v>
      </c>
      <c r="W14" s="2" t="s">
        <v>1158</v>
      </c>
      <c r="X14" s="2" t="s">
        <v>1158</v>
      </c>
      <c r="Y14" s="2" t="s">
        <v>1158</v>
      </c>
      <c r="Z14" s="2" t="s">
        <v>1158</v>
      </c>
      <c r="AA14" s="2" t="s">
        <v>1158</v>
      </c>
    </row>
    <row r="15" spans="2:27" ht="13.8" x14ac:dyDescent="0.25">
      <c r="B15" s="309"/>
      <c r="C15" s="56" t="s">
        <v>430</v>
      </c>
      <c r="D15" s="29"/>
      <c r="E15" s="2" t="s">
        <v>1159</v>
      </c>
      <c r="F15" s="2" t="s">
        <v>122</v>
      </c>
      <c r="G15" s="2" t="s">
        <v>1182</v>
      </c>
      <c r="H15" s="2" t="s">
        <v>1184</v>
      </c>
      <c r="I15" s="2" t="s">
        <v>1193</v>
      </c>
      <c r="J15" s="2" t="s">
        <v>1194</v>
      </c>
      <c r="K15" s="2" t="s">
        <v>1195</v>
      </c>
      <c r="L15" s="2" t="s">
        <v>1208</v>
      </c>
      <c r="M15" s="2" t="s">
        <v>1215</v>
      </c>
      <c r="N15" s="2" t="s">
        <v>1216</v>
      </c>
      <c r="O15" s="2" t="s">
        <v>1229</v>
      </c>
      <c r="P15" s="2" t="s">
        <v>1230</v>
      </c>
      <c r="Q15" s="2" t="s">
        <v>1358</v>
      </c>
      <c r="R15" s="2" t="s">
        <v>1341</v>
      </c>
      <c r="S15" s="2" t="s">
        <v>122</v>
      </c>
      <c r="T15" s="2" t="s">
        <v>1184</v>
      </c>
      <c r="U15" s="2" t="s">
        <v>1193</v>
      </c>
      <c r="V15" s="2" t="s">
        <v>1252</v>
      </c>
      <c r="W15" s="2" t="s">
        <v>1230</v>
      </c>
      <c r="X15" s="2" t="s">
        <v>1359</v>
      </c>
      <c r="Y15" s="2" t="s">
        <v>1341</v>
      </c>
      <c r="Z15" s="2" t="s">
        <v>1360</v>
      </c>
      <c r="AA15" s="2" t="s">
        <v>1341</v>
      </c>
    </row>
    <row r="16" spans="2:27" ht="13.8" x14ac:dyDescent="0.25">
      <c r="B16" s="309"/>
      <c r="C16" s="56" t="s">
        <v>431</v>
      </c>
      <c r="D16" s="29"/>
      <c r="E16" s="2" t="s">
        <v>1159</v>
      </c>
      <c r="F16" s="2" t="s">
        <v>122</v>
      </c>
      <c r="G16" s="2" t="s">
        <v>1182</v>
      </c>
      <c r="H16" s="2" t="s">
        <v>1184</v>
      </c>
      <c r="I16" s="2" t="s">
        <v>1193</v>
      </c>
      <c r="J16" s="2" t="s">
        <v>1194</v>
      </c>
      <c r="K16" s="2" t="s">
        <v>1195</v>
      </c>
      <c r="L16" s="2" t="s">
        <v>1208</v>
      </c>
      <c r="M16" s="2" t="s">
        <v>1215</v>
      </c>
      <c r="N16" s="2" t="s">
        <v>1216</v>
      </c>
      <c r="O16" s="2" t="s">
        <v>1229</v>
      </c>
      <c r="P16" s="2" t="s">
        <v>1230</v>
      </c>
      <c r="Q16" s="2" t="s">
        <v>1358</v>
      </c>
      <c r="R16" s="2" t="s">
        <v>1341</v>
      </c>
      <c r="S16" s="2" t="s">
        <v>122</v>
      </c>
      <c r="T16" s="2" t="s">
        <v>1184</v>
      </c>
      <c r="U16" s="2" t="s">
        <v>1193</v>
      </c>
      <c r="V16" s="2" t="s">
        <v>1252</v>
      </c>
      <c r="W16" s="2" t="s">
        <v>1230</v>
      </c>
      <c r="X16" s="2" t="s">
        <v>1359</v>
      </c>
      <c r="Y16" s="2" t="s">
        <v>1341</v>
      </c>
      <c r="Z16" s="2" t="s">
        <v>1360</v>
      </c>
      <c r="AA16" s="2" t="s">
        <v>1341</v>
      </c>
    </row>
    <row r="17" spans="2:27" ht="13.8" x14ac:dyDescent="0.25">
      <c r="B17" s="309"/>
      <c r="C17" s="56" t="s">
        <v>432</v>
      </c>
      <c r="D17" s="29"/>
      <c r="E17" s="2" t="s">
        <v>19</v>
      </c>
      <c r="F17" s="2" t="s">
        <v>1236</v>
      </c>
      <c r="G17" s="2" t="s">
        <v>19</v>
      </c>
      <c r="H17" s="2" t="s">
        <v>19</v>
      </c>
      <c r="I17" s="2" t="s">
        <v>19</v>
      </c>
      <c r="J17" s="2" t="s">
        <v>19</v>
      </c>
      <c r="K17" s="2" t="s">
        <v>19</v>
      </c>
      <c r="L17" s="2" t="s">
        <v>19</v>
      </c>
      <c r="M17" s="2" t="s">
        <v>19</v>
      </c>
      <c r="N17" s="2" t="s">
        <v>19</v>
      </c>
      <c r="O17" s="2" t="s">
        <v>19</v>
      </c>
      <c r="P17" s="2" t="s">
        <v>19</v>
      </c>
      <c r="Q17" s="2" t="s">
        <v>19</v>
      </c>
      <c r="R17" s="2" t="s">
        <v>189</v>
      </c>
      <c r="S17" s="2" t="s">
        <v>19</v>
      </c>
      <c r="T17" s="2" t="s">
        <v>19</v>
      </c>
      <c r="U17" s="2" t="s">
        <v>19</v>
      </c>
      <c r="V17" s="2" t="s">
        <v>19</v>
      </c>
      <c r="W17" s="2" t="s">
        <v>19</v>
      </c>
      <c r="X17" s="2" t="s">
        <v>19</v>
      </c>
      <c r="Y17" s="2" t="s">
        <v>189</v>
      </c>
      <c r="Z17" s="2" t="s">
        <v>19</v>
      </c>
      <c r="AA17" s="2" t="s">
        <v>189</v>
      </c>
    </row>
    <row r="18" spans="2:27" ht="13.8" x14ac:dyDescent="0.25">
      <c r="B18" s="309"/>
      <c r="C18" s="56" t="s">
        <v>433</v>
      </c>
      <c r="D18" s="14"/>
      <c r="E18" s="2" t="s">
        <v>1235</v>
      </c>
      <c r="F18" s="2" t="s">
        <v>1236</v>
      </c>
      <c r="G18" s="2" t="s">
        <v>1235</v>
      </c>
      <c r="H18" s="2" t="s">
        <v>1235</v>
      </c>
      <c r="I18" s="2" t="s">
        <v>1235</v>
      </c>
      <c r="J18" s="2" t="s">
        <v>1235</v>
      </c>
      <c r="K18" s="2" t="s">
        <v>1237</v>
      </c>
      <c r="L18" s="2" t="s">
        <v>1235</v>
      </c>
      <c r="M18" s="2" t="s">
        <v>1235</v>
      </c>
      <c r="N18" s="2" t="s">
        <v>1235</v>
      </c>
      <c r="O18" s="2" t="s">
        <v>1237</v>
      </c>
      <c r="P18" s="2" t="s">
        <v>1235</v>
      </c>
      <c r="Q18" s="2" t="s">
        <v>1235</v>
      </c>
      <c r="R18" s="2" t="s">
        <v>1344</v>
      </c>
      <c r="S18" s="2" t="s">
        <v>1235</v>
      </c>
      <c r="T18" s="2" t="s">
        <v>1235</v>
      </c>
      <c r="U18" s="2" t="s">
        <v>1235</v>
      </c>
      <c r="V18" s="2" t="s">
        <v>1237</v>
      </c>
      <c r="W18" s="2" t="s">
        <v>1235</v>
      </c>
      <c r="X18" s="2" t="s">
        <v>1235</v>
      </c>
      <c r="Y18" s="2" t="s">
        <v>1344</v>
      </c>
      <c r="Z18" s="2" t="s">
        <v>1235</v>
      </c>
      <c r="AA18" s="2" t="s">
        <v>1344</v>
      </c>
    </row>
    <row r="19" spans="2:27" ht="13.8" x14ac:dyDescent="0.25">
      <c r="B19" s="309"/>
      <c r="C19" s="56" t="s">
        <v>434</v>
      </c>
      <c r="D19" s="14"/>
      <c r="E19" s="2" t="s">
        <v>1160</v>
      </c>
      <c r="F19" s="2" t="s">
        <v>1185</v>
      </c>
      <c r="G19" s="2">
        <v>2000</v>
      </c>
      <c r="H19" s="2" t="s">
        <v>1186</v>
      </c>
      <c r="I19" s="2" t="s">
        <v>1209</v>
      </c>
      <c r="J19" s="2">
        <v>2000</v>
      </c>
      <c r="K19" s="2" t="s">
        <v>1210</v>
      </c>
      <c r="L19" s="2" t="s">
        <v>1212</v>
      </c>
      <c r="M19" s="2" t="s">
        <v>1222</v>
      </c>
      <c r="N19" s="2" t="s">
        <v>1221</v>
      </c>
      <c r="O19" s="2" t="s">
        <v>1222</v>
      </c>
      <c r="P19" s="2" t="s">
        <v>1231</v>
      </c>
      <c r="Q19" s="2" t="s">
        <v>86</v>
      </c>
      <c r="R19" s="2" t="s">
        <v>1343</v>
      </c>
      <c r="S19" s="2" t="s">
        <v>1238</v>
      </c>
      <c r="T19" s="2" t="s">
        <v>1243</v>
      </c>
      <c r="U19" s="2" t="s">
        <v>1250</v>
      </c>
      <c r="V19" s="2" t="s">
        <v>1210</v>
      </c>
      <c r="W19" s="2" t="s">
        <v>1254</v>
      </c>
      <c r="X19" s="2" t="s">
        <v>1238</v>
      </c>
      <c r="Y19" s="2">
        <v>2000</v>
      </c>
      <c r="Z19" s="2" t="s">
        <v>1238</v>
      </c>
      <c r="AA19" s="2">
        <v>2000</v>
      </c>
    </row>
    <row r="20" spans="2:27" ht="13.8" x14ac:dyDescent="0.25">
      <c r="B20" s="309"/>
      <c r="C20" s="56" t="s">
        <v>435</v>
      </c>
      <c r="D20" s="14"/>
      <c r="E20" s="2" t="s">
        <v>1161</v>
      </c>
      <c r="F20" s="2" t="s">
        <v>1211</v>
      </c>
      <c r="G20" s="2" t="s">
        <v>1161</v>
      </c>
      <c r="H20" s="2" t="s">
        <v>1161</v>
      </c>
      <c r="I20" s="2" t="s">
        <v>1211</v>
      </c>
      <c r="J20" s="2" t="s">
        <v>1161</v>
      </c>
      <c r="K20" s="2" t="s">
        <v>1211</v>
      </c>
      <c r="L20" s="2" t="s">
        <v>1211</v>
      </c>
      <c r="M20" s="2" t="s">
        <v>1211</v>
      </c>
      <c r="N20" s="2" t="s">
        <v>1161</v>
      </c>
      <c r="O20" s="2" t="s">
        <v>1211</v>
      </c>
      <c r="P20" s="2" t="s">
        <v>1161</v>
      </c>
      <c r="Q20" s="2" t="s">
        <v>1211</v>
      </c>
      <c r="R20" s="2" t="s">
        <v>1211</v>
      </c>
      <c r="S20" s="2" t="s">
        <v>1211</v>
      </c>
      <c r="T20" s="2" t="s">
        <v>1211</v>
      </c>
      <c r="U20" s="2" t="s">
        <v>1211</v>
      </c>
      <c r="V20" s="2" t="s">
        <v>1211</v>
      </c>
      <c r="W20" s="2" t="s">
        <v>1211</v>
      </c>
      <c r="X20" s="2" t="s">
        <v>1211</v>
      </c>
      <c r="Y20" s="2" t="s">
        <v>1211</v>
      </c>
      <c r="Z20" s="2" t="s">
        <v>1211</v>
      </c>
      <c r="AA20" s="2" t="s">
        <v>1211</v>
      </c>
    </row>
    <row r="21" spans="2:27" ht="13.8" x14ac:dyDescent="0.25">
      <c r="B21" s="310" t="s">
        <v>0</v>
      </c>
      <c r="C21" s="56" t="s">
        <v>436</v>
      </c>
      <c r="D21" s="29"/>
      <c r="E21" s="1" t="s">
        <v>1162</v>
      </c>
      <c r="F21" s="1" t="s">
        <v>1187</v>
      </c>
      <c r="G21" s="1" t="s">
        <v>1189</v>
      </c>
      <c r="H21" s="1" t="s">
        <v>1192</v>
      </c>
      <c r="I21" s="1" t="s">
        <v>1199</v>
      </c>
      <c r="J21" s="1" t="s">
        <v>1201</v>
      </c>
      <c r="K21" s="1" t="s">
        <v>1203</v>
      </c>
      <c r="L21" s="1" t="s">
        <v>1206</v>
      </c>
      <c r="M21" s="1" t="s">
        <v>1217</v>
      </c>
      <c r="N21" s="1" t="s">
        <v>1220</v>
      </c>
      <c r="O21" s="1" t="s">
        <v>1225</v>
      </c>
      <c r="P21" s="1" t="s">
        <v>1228</v>
      </c>
      <c r="Q21" s="1" t="s">
        <v>1232</v>
      </c>
      <c r="R21" s="1" t="s">
        <v>1345</v>
      </c>
      <c r="S21" s="1" t="s">
        <v>1239</v>
      </c>
      <c r="T21" s="1" t="s">
        <v>1249</v>
      </c>
      <c r="U21" s="1" t="s">
        <v>1251</v>
      </c>
      <c r="V21" s="1" t="s">
        <v>1253</v>
      </c>
      <c r="W21" s="1" t="s">
        <v>1255</v>
      </c>
      <c r="X21" s="1" t="s">
        <v>1256</v>
      </c>
      <c r="Y21" s="1" t="s">
        <v>1352</v>
      </c>
      <c r="Z21" s="1" t="s">
        <v>1264</v>
      </c>
      <c r="AA21" s="1" t="s">
        <v>1354</v>
      </c>
    </row>
    <row r="22" spans="2:27" ht="13.8" x14ac:dyDescent="0.25">
      <c r="B22" s="310"/>
      <c r="C22" s="56" t="s">
        <v>437</v>
      </c>
      <c r="D22" s="14" t="s">
        <v>442</v>
      </c>
      <c r="E22" s="2" t="s">
        <v>1163</v>
      </c>
      <c r="F22" s="2" t="s">
        <v>1188</v>
      </c>
      <c r="G22" s="2" t="s">
        <v>1190</v>
      </c>
      <c r="H22" s="2" t="s">
        <v>1191</v>
      </c>
      <c r="I22" s="2" t="s">
        <v>1200</v>
      </c>
      <c r="J22" s="2" t="s">
        <v>1202</v>
      </c>
      <c r="K22" s="2" t="s">
        <v>1204</v>
      </c>
      <c r="L22" s="2" t="s">
        <v>1207</v>
      </c>
      <c r="M22" s="2" t="s">
        <v>1218</v>
      </c>
      <c r="N22" s="2" t="s">
        <v>1219</v>
      </c>
      <c r="O22" s="2" t="s">
        <v>1226</v>
      </c>
      <c r="P22" s="2" t="s">
        <v>1227</v>
      </c>
      <c r="Q22" s="2" t="s">
        <v>1361</v>
      </c>
      <c r="R22" s="2" t="s">
        <v>1346</v>
      </c>
      <c r="S22" s="2" t="s">
        <v>1258</v>
      </c>
      <c r="T22" s="2" t="s">
        <v>1259</v>
      </c>
      <c r="U22" s="2" t="s">
        <v>1260</v>
      </c>
      <c r="V22" s="2" t="s">
        <v>1261</v>
      </c>
      <c r="W22" s="2" t="s">
        <v>1262</v>
      </c>
      <c r="X22" s="2" t="s">
        <v>1363</v>
      </c>
      <c r="Y22" s="2" t="s">
        <v>1351</v>
      </c>
      <c r="Z22" s="2" t="s">
        <v>1362</v>
      </c>
      <c r="AA22" s="2" t="s">
        <v>1353</v>
      </c>
    </row>
    <row r="23" spans="2:27" ht="13.8" x14ac:dyDescent="0.25">
      <c r="B23" s="310"/>
      <c r="C23" s="55" t="s">
        <v>461</v>
      </c>
      <c r="D23" s="14" t="s">
        <v>442</v>
      </c>
      <c r="E23" s="2" t="s">
        <v>24</v>
      </c>
      <c r="F23" s="2" t="s">
        <v>24</v>
      </c>
      <c r="G23" s="2" t="s">
        <v>24</v>
      </c>
      <c r="H23" s="2" t="s">
        <v>24</v>
      </c>
      <c r="I23" s="2" t="s">
        <v>24</v>
      </c>
      <c r="J23" s="2" t="s">
        <v>24</v>
      </c>
      <c r="K23" s="2" t="s">
        <v>24</v>
      </c>
      <c r="L23" s="2" t="s">
        <v>24</v>
      </c>
      <c r="M23" s="2" t="s">
        <v>24</v>
      </c>
      <c r="N23" s="2" t="s">
        <v>24</v>
      </c>
      <c r="O23" s="2" t="s">
        <v>24</v>
      </c>
      <c r="P23" s="2" t="s">
        <v>24</v>
      </c>
      <c r="Q23" s="2" t="s">
        <v>24</v>
      </c>
      <c r="R23" s="2" t="s">
        <v>24</v>
      </c>
      <c r="S23" s="2" t="s">
        <v>24</v>
      </c>
      <c r="T23" s="2" t="s">
        <v>24</v>
      </c>
      <c r="U23" s="2" t="s">
        <v>24</v>
      </c>
      <c r="V23" s="2" t="s">
        <v>24</v>
      </c>
      <c r="W23" s="2" t="s">
        <v>24</v>
      </c>
      <c r="X23" s="2" t="s">
        <v>24</v>
      </c>
      <c r="Y23" s="2" t="s">
        <v>24</v>
      </c>
      <c r="Z23" s="2" t="s">
        <v>24</v>
      </c>
      <c r="AA23" s="2" t="s">
        <v>24</v>
      </c>
    </row>
    <row r="24" spans="2:27" x14ac:dyDescent="0.25">
      <c r="B24" s="310"/>
      <c r="C24" s="55" t="s">
        <v>462</v>
      </c>
      <c r="D24" s="14" t="s">
        <v>442</v>
      </c>
      <c r="E24" s="105">
        <v>1</v>
      </c>
      <c r="F24" s="105">
        <v>1</v>
      </c>
      <c r="G24" s="105">
        <v>1</v>
      </c>
      <c r="H24" s="105">
        <v>1</v>
      </c>
      <c r="I24" s="105">
        <v>1</v>
      </c>
      <c r="J24" s="105">
        <v>1</v>
      </c>
      <c r="K24" s="105">
        <v>1</v>
      </c>
      <c r="L24" s="105">
        <v>1</v>
      </c>
      <c r="M24" s="105">
        <v>1</v>
      </c>
      <c r="N24" s="105">
        <v>1</v>
      </c>
      <c r="O24" s="105">
        <v>1</v>
      </c>
      <c r="P24" s="105">
        <v>1</v>
      </c>
      <c r="Q24" s="105">
        <v>1</v>
      </c>
      <c r="R24" s="105">
        <v>1</v>
      </c>
      <c r="S24" s="105">
        <v>1</v>
      </c>
      <c r="T24" s="105">
        <v>1</v>
      </c>
      <c r="U24" s="105">
        <v>1</v>
      </c>
      <c r="V24" s="105">
        <v>1</v>
      </c>
      <c r="W24" s="105">
        <v>1</v>
      </c>
      <c r="X24" s="105">
        <v>1</v>
      </c>
      <c r="Y24" s="105">
        <v>1</v>
      </c>
      <c r="Z24" s="105">
        <v>1</v>
      </c>
      <c r="AA24" s="105">
        <v>1</v>
      </c>
    </row>
    <row r="25" spans="2:27" ht="14.4" x14ac:dyDescent="0.3">
      <c r="B25" s="310"/>
      <c r="C25" s="56" t="s">
        <v>438</v>
      </c>
      <c r="D25" s="29"/>
      <c r="E25" s="6" t="s">
        <v>1164</v>
      </c>
      <c r="F25" s="6" t="s">
        <v>1180</v>
      </c>
      <c r="G25" s="6" t="s">
        <v>1181</v>
      </c>
      <c r="H25" s="6" t="s">
        <v>1183</v>
      </c>
      <c r="I25" s="6" t="s">
        <v>1196</v>
      </c>
      <c r="J25" s="6" t="s">
        <v>1197</v>
      </c>
      <c r="K25" s="6" t="s">
        <v>1198</v>
      </c>
      <c r="L25" s="6" t="s">
        <v>1205</v>
      </c>
      <c r="M25" s="6" t="s">
        <v>1213</v>
      </c>
      <c r="N25" s="6" t="s">
        <v>1214</v>
      </c>
      <c r="O25" s="6" t="s">
        <v>1223</v>
      </c>
      <c r="P25" s="6" t="s">
        <v>1224</v>
      </c>
      <c r="Q25" s="6" t="s">
        <v>1356</v>
      </c>
      <c r="R25" s="6" t="s">
        <v>1347</v>
      </c>
      <c r="S25" s="6" t="s">
        <v>1180</v>
      </c>
      <c r="T25" s="6" t="s">
        <v>1183</v>
      </c>
      <c r="U25" s="6" t="s">
        <v>1196</v>
      </c>
      <c r="V25" s="6" t="s">
        <v>1198</v>
      </c>
      <c r="W25" s="6" t="s">
        <v>1224</v>
      </c>
      <c r="X25" s="6" t="s">
        <v>1257</v>
      </c>
      <c r="Y25" s="6" t="s">
        <v>1347</v>
      </c>
      <c r="Z25" s="6" t="s">
        <v>1357</v>
      </c>
      <c r="AA25" s="6" t="s">
        <v>1347</v>
      </c>
    </row>
    <row r="26" spans="2:27" ht="13.8" x14ac:dyDescent="0.25">
      <c r="B26" s="311" t="s">
        <v>7</v>
      </c>
      <c r="C26" s="55" t="s">
        <v>463</v>
      </c>
      <c r="D26" s="14" t="s">
        <v>442</v>
      </c>
      <c r="E26" s="38" t="s">
        <v>1033</v>
      </c>
      <c r="F26" s="38" t="s">
        <v>1033</v>
      </c>
      <c r="G26" s="38" t="s">
        <v>1033</v>
      </c>
      <c r="H26" s="38" t="s">
        <v>1033</v>
      </c>
      <c r="I26" s="38" t="s">
        <v>1033</v>
      </c>
      <c r="J26" s="38" t="s">
        <v>1033</v>
      </c>
      <c r="K26" s="38" t="s">
        <v>1033</v>
      </c>
      <c r="L26" s="38" t="s">
        <v>1033</v>
      </c>
      <c r="M26" s="38" t="s">
        <v>1033</v>
      </c>
      <c r="N26" s="38" t="s">
        <v>1033</v>
      </c>
      <c r="O26" s="38" t="s">
        <v>1033</v>
      </c>
      <c r="P26" s="38" t="s">
        <v>1033</v>
      </c>
      <c r="Q26" s="38" t="s">
        <v>1033</v>
      </c>
      <c r="R26" s="38" t="s">
        <v>1033</v>
      </c>
      <c r="S26" s="38" t="s">
        <v>1033</v>
      </c>
      <c r="T26" s="38" t="s">
        <v>1033</v>
      </c>
      <c r="U26" s="38" t="s">
        <v>1033</v>
      </c>
      <c r="V26" s="38" t="s">
        <v>1033</v>
      </c>
      <c r="W26" s="38" t="s">
        <v>1033</v>
      </c>
      <c r="X26" s="38" t="s">
        <v>1033</v>
      </c>
      <c r="Y26" s="38" t="s">
        <v>1033</v>
      </c>
      <c r="Z26" s="38" t="s">
        <v>1033</v>
      </c>
      <c r="AA26" s="38" t="s">
        <v>1033</v>
      </c>
    </row>
    <row r="27" spans="2:27" ht="13.8" x14ac:dyDescent="0.25">
      <c r="B27" s="311"/>
      <c r="C27" s="55" t="s">
        <v>464</v>
      </c>
      <c r="D27" s="14" t="s">
        <v>442</v>
      </c>
      <c r="E27" s="38">
        <v>38</v>
      </c>
      <c r="F27" s="38">
        <v>38</v>
      </c>
      <c r="G27" s="38">
        <v>38</v>
      </c>
      <c r="H27" s="38">
        <v>38</v>
      </c>
      <c r="I27" s="38">
        <v>38</v>
      </c>
      <c r="J27" s="38">
        <v>38</v>
      </c>
      <c r="K27" s="38">
        <v>38</v>
      </c>
      <c r="L27" s="38">
        <v>38</v>
      </c>
      <c r="M27" s="38">
        <v>38</v>
      </c>
      <c r="N27" s="38">
        <v>38</v>
      </c>
      <c r="O27" s="38">
        <v>38</v>
      </c>
      <c r="P27" s="38">
        <v>38</v>
      </c>
      <c r="Q27" s="38">
        <v>38</v>
      </c>
      <c r="R27" s="38">
        <v>38</v>
      </c>
      <c r="S27" s="38">
        <v>38</v>
      </c>
      <c r="T27" s="38">
        <v>38</v>
      </c>
      <c r="U27" s="38">
        <v>38</v>
      </c>
      <c r="V27" s="38">
        <v>38</v>
      </c>
      <c r="W27" s="38">
        <v>38</v>
      </c>
      <c r="X27" s="38">
        <v>38</v>
      </c>
      <c r="Y27" s="38">
        <v>38</v>
      </c>
      <c r="Z27" s="38">
        <v>38</v>
      </c>
      <c r="AA27" s="38">
        <v>38</v>
      </c>
    </row>
    <row r="28" spans="2:27" ht="13.8" x14ac:dyDescent="0.25">
      <c r="B28" s="311"/>
      <c r="C28" s="55" t="s">
        <v>465</v>
      </c>
      <c r="D28" s="29"/>
      <c r="E28" s="38" t="s">
        <v>696</v>
      </c>
      <c r="F28" s="38" t="s">
        <v>696</v>
      </c>
      <c r="G28" s="38" t="s">
        <v>696</v>
      </c>
      <c r="H28" s="38" t="s">
        <v>696</v>
      </c>
      <c r="I28" s="38" t="s">
        <v>696</v>
      </c>
      <c r="J28" s="38" t="s">
        <v>696</v>
      </c>
      <c r="K28" s="38" t="s">
        <v>696</v>
      </c>
      <c r="L28" s="38" t="s">
        <v>696</v>
      </c>
      <c r="M28" s="38" t="s">
        <v>696</v>
      </c>
      <c r="N28" s="38" t="s">
        <v>696</v>
      </c>
      <c r="O28" s="38" t="s">
        <v>696</v>
      </c>
      <c r="P28" s="38" t="s">
        <v>696</v>
      </c>
      <c r="Q28" s="38" t="s">
        <v>696</v>
      </c>
      <c r="R28" s="38" t="s">
        <v>696</v>
      </c>
      <c r="S28" s="38" t="s">
        <v>702</v>
      </c>
      <c r="T28" s="38" t="s">
        <v>702</v>
      </c>
      <c r="U28" s="38" t="s">
        <v>702</v>
      </c>
      <c r="V28" s="38" t="s">
        <v>702</v>
      </c>
      <c r="W28" s="38" t="s">
        <v>702</v>
      </c>
      <c r="X28" s="38" t="s">
        <v>702</v>
      </c>
      <c r="Y28" s="38" t="s">
        <v>702</v>
      </c>
      <c r="Z28" s="38" t="s">
        <v>702</v>
      </c>
      <c r="AA28" s="38" t="s">
        <v>702</v>
      </c>
    </row>
    <row r="29" spans="2:27" ht="13.8" x14ac:dyDescent="0.25">
      <c r="B29" s="311"/>
      <c r="C29" s="55" t="s">
        <v>466</v>
      </c>
      <c r="D29" s="29"/>
      <c r="E29" s="38">
        <v>46</v>
      </c>
      <c r="F29" s="38">
        <v>46</v>
      </c>
      <c r="G29" s="38">
        <v>46</v>
      </c>
      <c r="H29" s="38">
        <v>46</v>
      </c>
      <c r="I29" s="38">
        <v>46</v>
      </c>
      <c r="J29" s="38">
        <v>46</v>
      </c>
      <c r="K29" s="38">
        <v>46</v>
      </c>
      <c r="L29" s="38">
        <v>46</v>
      </c>
      <c r="M29" s="38">
        <v>46</v>
      </c>
      <c r="N29" s="38">
        <v>46</v>
      </c>
      <c r="O29" s="38">
        <v>46</v>
      </c>
      <c r="P29" s="38">
        <v>46</v>
      </c>
      <c r="Q29" s="38">
        <v>46</v>
      </c>
      <c r="R29" s="38">
        <v>46</v>
      </c>
      <c r="S29" s="38">
        <v>44</v>
      </c>
      <c r="T29" s="38">
        <v>44</v>
      </c>
      <c r="U29" s="38">
        <v>44</v>
      </c>
      <c r="V29" s="38">
        <v>44</v>
      </c>
      <c r="W29" s="38">
        <v>44</v>
      </c>
      <c r="X29" s="38">
        <v>44</v>
      </c>
      <c r="Y29" s="38">
        <v>44</v>
      </c>
      <c r="Z29" s="38">
        <v>44</v>
      </c>
      <c r="AA29" s="38">
        <v>44</v>
      </c>
    </row>
    <row r="30" spans="2:27" ht="13.8" x14ac:dyDescent="0.25">
      <c r="B30" s="311"/>
      <c r="C30" s="55" t="s">
        <v>467</v>
      </c>
      <c r="D30" s="29"/>
      <c r="E30" s="38" t="s">
        <v>702</v>
      </c>
      <c r="F30" s="38" t="s">
        <v>702</v>
      </c>
      <c r="G30" s="38" t="s">
        <v>702</v>
      </c>
      <c r="H30" s="38" t="s">
        <v>702</v>
      </c>
      <c r="I30" s="38" t="s">
        <v>702</v>
      </c>
      <c r="J30" s="38" t="s">
        <v>702</v>
      </c>
      <c r="K30" s="38" t="s">
        <v>702</v>
      </c>
      <c r="L30" s="38" t="s">
        <v>702</v>
      </c>
      <c r="M30" s="38" t="s">
        <v>702</v>
      </c>
      <c r="N30" s="38" t="s">
        <v>702</v>
      </c>
      <c r="O30" s="38" t="s">
        <v>702</v>
      </c>
      <c r="P30" s="38" t="s">
        <v>702</v>
      </c>
      <c r="Q30" s="38" t="s">
        <v>702</v>
      </c>
      <c r="R30" s="38" t="s">
        <v>702</v>
      </c>
      <c r="S30" s="1" t="s">
        <v>698</v>
      </c>
      <c r="T30" s="1" t="s">
        <v>698</v>
      </c>
      <c r="U30" s="1" t="s">
        <v>698</v>
      </c>
      <c r="V30" s="1" t="s">
        <v>698</v>
      </c>
      <c r="W30" s="1" t="s">
        <v>698</v>
      </c>
      <c r="X30" s="1" t="s">
        <v>698</v>
      </c>
      <c r="Y30" s="1" t="s">
        <v>698</v>
      </c>
      <c r="Z30" s="1" t="s">
        <v>698</v>
      </c>
      <c r="AA30" s="1" t="s">
        <v>698</v>
      </c>
    </row>
    <row r="31" spans="2:27" ht="13.8" x14ac:dyDescent="0.25">
      <c r="B31" s="311"/>
      <c r="C31" s="55" t="s">
        <v>468</v>
      </c>
      <c r="D31" s="29"/>
      <c r="E31" s="38">
        <v>44</v>
      </c>
      <c r="F31" s="38">
        <v>44</v>
      </c>
      <c r="G31" s="38">
        <v>44</v>
      </c>
      <c r="H31" s="38">
        <v>44</v>
      </c>
      <c r="I31" s="38">
        <v>44</v>
      </c>
      <c r="J31" s="38">
        <v>44</v>
      </c>
      <c r="K31" s="38">
        <v>44</v>
      </c>
      <c r="L31" s="38">
        <v>44</v>
      </c>
      <c r="M31" s="38">
        <v>44</v>
      </c>
      <c r="N31" s="38">
        <v>44</v>
      </c>
      <c r="O31" s="38">
        <v>44</v>
      </c>
      <c r="P31" s="38">
        <v>44</v>
      </c>
      <c r="Q31" s="38">
        <v>44</v>
      </c>
      <c r="R31" s="38">
        <v>44</v>
      </c>
      <c r="S31" s="1">
        <v>45</v>
      </c>
      <c r="T31" s="1">
        <v>45</v>
      </c>
      <c r="U31" s="1">
        <v>45</v>
      </c>
      <c r="V31" s="1">
        <v>45</v>
      </c>
      <c r="W31" s="1">
        <v>45</v>
      </c>
      <c r="X31" s="1">
        <v>45</v>
      </c>
      <c r="Y31" s="1">
        <v>45</v>
      </c>
      <c r="Z31" s="1">
        <v>45</v>
      </c>
      <c r="AA31" s="1">
        <v>45</v>
      </c>
    </row>
    <row r="32" spans="2:27" ht="13.8" x14ac:dyDescent="0.25">
      <c r="B32" s="311"/>
      <c r="C32" s="55" t="s">
        <v>469</v>
      </c>
      <c r="D32" s="29"/>
      <c r="E32" s="1" t="s">
        <v>804</v>
      </c>
      <c r="F32" s="1" t="s">
        <v>804</v>
      </c>
      <c r="G32" s="1" t="s">
        <v>804</v>
      </c>
      <c r="H32" s="1" t="s">
        <v>804</v>
      </c>
      <c r="I32" s="1" t="s">
        <v>804</v>
      </c>
      <c r="J32" s="1" t="s">
        <v>804</v>
      </c>
      <c r="K32" s="1" t="s">
        <v>804</v>
      </c>
      <c r="L32" s="1" t="s">
        <v>804</v>
      </c>
      <c r="M32" s="1" t="s">
        <v>804</v>
      </c>
      <c r="N32" s="1" t="s">
        <v>804</v>
      </c>
      <c r="O32" s="1" t="s">
        <v>804</v>
      </c>
      <c r="P32" s="1" t="s">
        <v>804</v>
      </c>
      <c r="Q32" s="1" t="s">
        <v>804</v>
      </c>
      <c r="R32" s="1" t="s">
        <v>804</v>
      </c>
      <c r="S32" s="38" t="s">
        <v>697</v>
      </c>
      <c r="T32" s="38" t="s">
        <v>697</v>
      </c>
      <c r="U32" s="38" t="s">
        <v>697</v>
      </c>
      <c r="V32" s="38" t="s">
        <v>697</v>
      </c>
      <c r="W32" s="38" t="s">
        <v>697</v>
      </c>
      <c r="X32" s="38" t="s">
        <v>697</v>
      </c>
      <c r="Y32" s="38" t="s">
        <v>697</v>
      </c>
      <c r="Z32" s="38" t="s">
        <v>697</v>
      </c>
      <c r="AA32" s="38" t="s">
        <v>697</v>
      </c>
    </row>
    <row r="33" spans="2:27" ht="13.8" x14ac:dyDescent="0.25">
      <c r="B33" s="311"/>
      <c r="C33" s="55" t="s">
        <v>470</v>
      </c>
      <c r="D33" s="29"/>
      <c r="E33" s="1">
        <v>45</v>
      </c>
      <c r="F33" s="1">
        <v>45</v>
      </c>
      <c r="G33" s="1">
        <v>45</v>
      </c>
      <c r="H33" s="1">
        <v>45</v>
      </c>
      <c r="I33" s="1">
        <v>45</v>
      </c>
      <c r="J33" s="1">
        <v>45</v>
      </c>
      <c r="K33" s="1">
        <v>45</v>
      </c>
      <c r="L33" s="1">
        <v>45</v>
      </c>
      <c r="M33" s="1">
        <v>45</v>
      </c>
      <c r="N33" s="1">
        <v>45</v>
      </c>
      <c r="O33" s="1">
        <v>45</v>
      </c>
      <c r="P33" s="1">
        <v>45</v>
      </c>
      <c r="Q33" s="1">
        <v>45</v>
      </c>
      <c r="R33" s="1">
        <v>45</v>
      </c>
      <c r="S33" s="38">
        <v>47</v>
      </c>
      <c r="T33" s="38">
        <v>47</v>
      </c>
      <c r="U33" s="38">
        <v>47</v>
      </c>
      <c r="V33" s="38">
        <v>47</v>
      </c>
      <c r="W33" s="38">
        <v>47</v>
      </c>
      <c r="X33" s="38">
        <v>47</v>
      </c>
      <c r="Y33" s="38">
        <v>47</v>
      </c>
      <c r="Z33" s="38">
        <v>47</v>
      </c>
      <c r="AA33" s="38">
        <v>47</v>
      </c>
    </row>
    <row r="34" spans="2:27" ht="13.8" x14ac:dyDescent="0.25">
      <c r="B34" s="311"/>
      <c r="C34" s="55" t="s">
        <v>471</v>
      </c>
      <c r="D34" s="29"/>
      <c r="E34" s="1" t="s">
        <v>805</v>
      </c>
      <c r="F34" s="1" t="s">
        <v>805</v>
      </c>
      <c r="G34" s="1" t="s">
        <v>805</v>
      </c>
      <c r="H34" s="1" t="s">
        <v>805</v>
      </c>
      <c r="I34" s="1" t="s">
        <v>805</v>
      </c>
      <c r="J34" s="1" t="s">
        <v>805</v>
      </c>
      <c r="K34" s="1" t="s">
        <v>805</v>
      </c>
      <c r="L34" s="1" t="s">
        <v>805</v>
      </c>
      <c r="M34" s="1" t="s">
        <v>805</v>
      </c>
      <c r="N34" s="1" t="s">
        <v>805</v>
      </c>
      <c r="O34" s="1" t="s">
        <v>805</v>
      </c>
      <c r="P34" s="1" t="s">
        <v>805</v>
      </c>
      <c r="Q34" s="1" t="s">
        <v>805</v>
      </c>
      <c r="R34" s="1" t="s">
        <v>805</v>
      </c>
      <c r="S34" s="38" t="s">
        <v>11</v>
      </c>
      <c r="T34" s="38" t="s">
        <v>11</v>
      </c>
      <c r="U34" s="38" t="s">
        <v>11</v>
      </c>
      <c r="V34" s="38" t="s">
        <v>11</v>
      </c>
      <c r="W34" s="38" t="s">
        <v>11</v>
      </c>
      <c r="X34" s="38" t="s">
        <v>11</v>
      </c>
      <c r="Y34" s="38" t="s">
        <v>11</v>
      </c>
      <c r="Z34" s="38" t="s">
        <v>1034</v>
      </c>
      <c r="AA34" s="38" t="s">
        <v>1034</v>
      </c>
    </row>
    <row r="35" spans="2:27" ht="13.8" x14ac:dyDescent="0.25">
      <c r="B35" s="311"/>
      <c r="C35" s="55" t="s">
        <v>472</v>
      </c>
      <c r="D35" s="29"/>
      <c r="E35" s="1">
        <v>45</v>
      </c>
      <c r="F35" s="1">
        <v>45</v>
      </c>
      <c r="G35" s="1">
        <v>45</v>
      </c>
      <c r="H35" s="1">
        <v>45</v>
      </c>
      <c r="I35" s="1">
        <v>45</v>
      </c>
      <c r="J35" s="1">
        <v>45</v>
      </c>
      <c r="K35" s="1">
        <v>45</v>
      </c>
      <c r="L35" s="1">
        <v>45</v>
      </c>
      <c r="M35" s="1">
        <v>45</v>
      </c>
      <c r="N35" s="1">
        <v>45</v>
      </c>
      <c r="O35" s="1">
        <v>45</v>
      </c>
      <c r="P35" s="1">
        <v>45</v>
      </c>
      <c r="Q35" s="1">
        <v>45</v>
      </c>
      <c r="R35" s="1">
        <v>45</v>
      </c>
      <c r="S35" s="38" t="s">
        <v>11</v>
      </c>
      <c r="T35" s="38" t="s">
        <v>11</v>
      </c>
      <c r="U35" s="38" t="s">
        <v>11</v>
      </c>
      <c r="V35" s="38" t="s">
        <v>11</v>
      </c>
      <c r="W35" s="38" t="s">
        <v>11</v>
      </c>
      <c r="X35" s="38" t="s">
        <v>11</v>
      </c>
      <c r="Y35" s="38" t="s">
        <v>11</v>
      </c>
      <c r="Z35" s="38">
        <v>48</v>
      </c>
      <c r="AA35" s="38">
        <v>48</v>
      </c>
    </row>
    <row r="36" spans="2:27" ht="13.8" x14ac:dyDescent="0.25">
      <c r="B36" s="311"/>
      <c r="C36" s="55" t="s">
        <v>473</v>
      </c>
      <c r="D36" s="29"/>
      <c r="E36" s="38" t="s">
        <v>699</v>
      </c>
      <c r="F36" s="38" t="s">
        <v>699</v>
      </c>
      <c r="G36" s="38" t="s">
        <v>699</v>
      </c>
      <c r="H36" s="38" t="s">
        <v>699</v>
      </c>
      <c r="I36" s="38" t="s">
        <v>699</v>
      </c>
      <c r="J36" s="38" t="s">
        <v>699</v>
      </c>
      <c r="K36" s="38" t="s">
        <v>699</v>
      </c>
      <c r="L36" s="38" t="s">
        <v>699</v>
      </c>
      <c r="M36" s="38" t="s">
        <v>699</v>
      </c>
      <c r="N36" s="38" t="s">
        <v>699</v>
      </c>
      <c r="O36" s="38" t="s">
        <v>699</v>
      </c>
      <c r="P36" s="38" t="s">
        <v>699</v>
      </c>
      <c r="Q36" s="38" t="s">
        <v>699</v>
      </c>
      <c r="R36" s="38" t="s">
        <v>699</v>
      </c>
      <c r="S36" s="38" t="s">
        <v>11</v>
      </c>
      <c r="T36" s="38" t="s">
        <v>11</v>
      </c>
      <c r="U36" s="38" t="s">
        <v>11</v>
      </c>
      <c r="V36" s="38" t="s">
        <v>11</v>
      </c>
      <c r="W36" s="38" t="s">
        <v>11</v>
      </c>
      <c r="X36" s="38" t="s">
        <v>11</v>
      </c>
      <c r="Y36" s="38" t="s">
        <v>11</v>
      </c>
      <c r="Z36" s="38" t="s">
        <v>11</v>
      </c>
      <c r="AA36" s="38" t="s">
        <v>11</v>
      </c>
    </row>
    <row r="37" spans="2:27" ht="13.8" x14ac:dyDescent="0.25">
      <c r="B37" s="311"/>
      <c r="C37" s="55" t="s">
        <v>474</v>
      </c>
      <c r="D37" s="29"/>
      <c r="E37" s="38">
        <v>47</v>
      </c>
      <c r="F37" s="38">
        <v>47</v>
      </c>
      <c r="G37" s="38">
        <v>47</v>
      </c>
      <c r="H37" s="38">
        <v>47</v>
      </c>
      <c r="I37" s="38">
        <v>47</v>
      </c>
      <c r="J37" s="38">
        <v>47</v>
      </c>
      <c r="K37" s="38">
        <v>47</v>
      </c>
      <c r="L37" s="38">
        <v>47</v>
      </c>
      <c r="M37" s="38">
        <v>47</v>
      </c>
      <c r="N37" s="38">
        <v>47</v>
      </c>
      <c r="O37" s="38">
        <v>47</v>
      </c>
      <c r="P37" s="38">
        <v>47</v>
      </c>
      <c r="Q37" s="38">
        <v>47</v>
      </c>
      <c r="R37" s="38">
        <v>47</v>
      </c>
      <c r="S37" s="38" t="s">
        <v>11</v>
      </c>
      <c r="T37" s="38" t="s">
        <v>11</v>
      </c>
      <c r="U37" s="38" t="s">
        <v>11</v>
      </c>
      <c r="V37" s="38" t="s">
        <v>11</v>
      </c>
      <c r="W37" s="38" t="s">
        <v>11</v>
      </c>
      <c r="X37" s="38" t="s">
        <v>11</v>
      </c>
      <c r="Y37" s="38" t="s">
        <v>11</v>
      </c>
      <c r="Z37" s="38" t="s">
        <v>11</v>
      </c>
      <c r="AA37" s="38" t="s">
        <v>11</v>
      </c>
    </row>
    <row r="38" spans="2:27" ht="13.8" x14ac:dyDescent="0.25">
      <c r="B38" s="311"/>
      <c r="C38" s="55" t="s">
        <v>475</v>
      </c>
      <c r="D38" s="29"/>
      <c r="E38" s="38" t="s">
        <v>700</v>
      </c>
      <c r="F38" s="38" t="s">
        <v>700</v>
      </c>
      <c r="G38" s="38" t="s">
        <v>700</v>
      </c>
      <c r="H38" s="38" t="s">
        <v>700</v>
      </c>
      <c r="I38" s="38" t="s">
        <v>700</v>
      </c>
      <c r="J38" s="38" t="s">
        <v>700</v>
      </c>
      <c r="K38" s="38" t="s">
        <v>700</v>
      </c>
      <c r="L38" s="38" t="s">
        <v>700</v>
      </c>
      <c r="M38" s="38" t="s">
        <v>700</v>
      </c>
      <c r="N38" s="38" t="s">
        <v>700</v>
      </c>
      <c r="O38" s="38" t="s">
        <v>700</v>
      </c>
      <c r="P38" s="38" t="s">
        <v>700</v>
      </c>
      <c r="Q38" s="38" t="s">
        <v>700</v>
      </c>
      <c r="R38" s="38" t="s">
        <v>700</v>
      </c>
      <c r="S38" s="38" t="s">
        <v>11</v>
      </c>
      <c r="T38" s="38" t="s">
        <v>11</v>
      </c>
      <c r="U38" s="38" t="s">
        <v>11</v>
      </c>
      <c r="V38" s="38" t="s">
        <v>11</v>
      </c>
      <c r="W38" s="38" t="s">
        <v>11</v>
      </c>
      <c r="X38" s="38" t="s">
        <v>11</v>
      </c>
      <c r="Y38" s="38" t="s">
        <v>11</v>
      </c>
      <c r="Z38" s="38" t="s">
        <v>11</v>
      </c>
      <c r="AA38" s="38" t="s">
        <v>11</v>
      </c>
    </row>
    <row r="39" spans="2:27" ht="13.8" x14ac:dyDescent="0.25">
      <c r="B39" s="311"/>
      <c r="C39" s="55" t="s">
        <v>476</v>
      </c>
      <c r="D39" s="29"/>
      <c r="E39" s="38">
        <v>47</v>
      </c>
      <c r="F39" s="38">
        <v>47</v>
      </c>
      <c r="G39" s="38">
        <v>47</v>
      </c>
      <c r="H39" s="38">
        <v>47</v>
      </c>
      <c r="I39" s="38">
        <v>47</v>
      </c>
      <c r="J39" s="38">
        <v>47</v>
      </c>
      <c r="K39" s="38">
        <v>47</v>
      </c>
      <c r="L39" s="38">
        <v>47</v>
      </c>
      <c r="M39" s="38">
        <v>47</v>
      </c>
      <c r="N39" s="38">
        <v>47</v>
      </c>
      <c r="O39" s="38">
        <v>47</v>
      </c>
      <c r="P39" s="38">
        <v>47</v>
      </c>
      <c r="Q39" s="38">
        <v>47</v>
      </c>
      <c r="R39" s="38">
        <v>47</v>
      </c>
      <c r="S39" s="38" t="s">
        <v>11</v>
      </c>
      <c r="T39" s="38" t="s">
        <v>11</v>
      </c>
      <c r="U39" s="38" t="s">
        <v>11</v>
      </c>
      <c r="V39" s="38" t="s">
        <v>11</v>
      </c>
      <c r="W39" s="38" t="s">
        <v>11</v>
      </c>
      <c r="X39" s="38" t="s">
        <v>11</v>
      </c>
      <c r="Y39" s="38" t="s">
        <v>11</v>
      </c>
      <c r="Z39" s="38" t="s">
        <v>11</v>
      </c>
      <c r="AA39" s="38" t="s">
        <v>11</v>
      </c>
    </row>
    <row r="40" spans="2:27" ht="13.8" x14ac:dyDescent="0.25">
      <c r="B40" s="311"/>
      <c r="C40" s="55" t="s">
        <v>477</v>
      </c>
      <c r="D40" s="29"/>
      <c r="E40" s="38" t="s">
        <v>11</v>
      </c>
      <c r="F40" s="38" t="s">
        <v>11</v>
      </c>
      <c r="G40" s="38" t="s">
        <v>11</v>
      </c>
      <c r="H40" s="38" t="s">
        <v>11</v>
      </c>
      <c r="I40" s="38" t="s">
        <v>11</v>
      </c>
      <c r="J40" s="38" t="s">
        <v>11</v>
      </c>
      <c r="K40" s="38" t="s">
        <v>11</v>
      </c>
      <c r="L40" s="38" t="s">
        <v>11</v>
      </c>
      <c r="M40" s="38" t="s">
        <v>11</v>
      </c>
      <c r="N40" s="38" t="s">
        <v>11</v>
      </c>
      <c r="O40" s="38" t="s">
        <v>11</v>
      </c>
      <c r="P40" s="38" t="s">
        <v>11</v>
      </c>
      <c r="Q40" s="38" t="s">
        <v>11</v>
      </c>
      <c r="R40" s="38" t="s">
        <v>11</v>
      </c>
      <c r="S40" s="38" t="s">
        <v>11</v>
      </c>
      <c r="T40" s="38" t="s">
        <v>11</v>
      </c>
      <c r="U40" s="38" t="s">
        <v>11</v>
      </c>
      <c r="V40" s="38" t="s">
        <v>11</v>
      </c>
      <c r="W40" s="38" t="s">
        <v>11</v>
      </c>
      <c r="X40" s="38" t="s">
        <v>11</v>
      </c>
      <c r="Y40" s="38" t="s">
        <v>11</v>
      </c>
      <c r="Z40" s="38" t="s">
        <v>11</v>
      </c>
      <c r="AA40" s="38" t="s">
        <v>11</v>
      </c>
    </row>
    <row r="41" spans="2:27" ht="13.8" x14ac:dyDescent="0.25">
      <c r="B41" s="311"/>
      <c r="C41" s="55" t="s">
        <v>478</v>
      </c>
      <c r="D41" s="29"/>
      <c r="E41" s="38" t="s">
        <v>11</v>
      </c>
      <c r="F41" s="38" t="s">
        <v>11</v>
      </c>
      <c r="G41" s="38" t="s">
        <v>11</v>
      </c>
      <c r="H41" s="38" t="s">
        <v>11</v>
      </c>
      <c r="I41" s="38" t="s">
        <v>11</v>
      </c>
      <c r="J41" s="38" t="s">
        <v>11</v>
      </c>
      <c r="K41" s="38" t="s">
        <v>11</v>
      </c>
      <c r="L41" s="38" t="s">
        <v>11</v>
      </c>
      <c r="M41" s="38" t="s">
        <v>11</v>
      </c>
      <c r="N41" s="38" t="s">
        <v>11</v>
      </c>
      <c r="O41" s="38" t="s">
        <v>11</v>
      </c>
      <c r="P41" s="38" t="s">
        <v>11</v>
      </c>
      <c r="Q41" s="38" t="s">
        <v>11</v>
      </c>
      <c r="R41" s="38" t="s">
        <v>11</v>
      </c>
      <c r="S41" s="38" t="s">
        <v>11</v>
      </c>
      <c r="T41" s="38" t="s">
        <v>11</v>
      </c>
      <c r="U41" s="38" t="s">
        <v>11</v>
      </c>
      <c r="V41" s="38" t="s">
        <v>11</v>
      </c>
      <c r="W41" s="38" t="s">
        <v>11</v>
      </c>
      <c r="X41" s="38" t="s">
        <v>11</v>
      </c>
      <c r="Y41" s="38" t="s">
        <v>11</v>
      </c>
      <c r="Z41" s="38" t="s">
        <v>11</v>
      </c>
      <c r="AA41" s="38" t="s">
        <v>11</v>
      </c>
    </row>
    <row r="42" spans="2:27" ht="13.8" x14ac:dyDescent="0.25">
      <c r="B42" s="311"/>
      <c r="C42" s="55" t="s">
        <v>479</v>
      </c>
      <c r="D42" s="29"/>
      <c r="E42" s="38" t="s">
        <v>11</v>
      </c>
      <c r="F42" s="38" t="s">
        <v>11</v>
      </c>
      <c r="G42" s="38" t="s">
        <v>11</v>
      </c>
      <c r="H42" s="38" t="s">
        <v>11</v>
      </c>
      <c r="I42" s="38" t="s">
        <v>11</v>
      </c>
      <c r="J42" s="38" t="s">
        <v>11</v>
      </c>
      <c r="K42" s="38" t="s">
        <v>11</v>
      </c>
      <c r="L42" s="38" t="s">
        <v>11</v>
      </c>
      <c r="M42" s="38" t="s">
        <v>11</v>
      </c>
      <c r="N42" s="38" t="s">
        <v>11</v>
      </c>
      <c r="O42" s="38" t="s">
        <v>11</v>
      </c>
      <c r="P42" s="38" t="s">
        <v>11</v>
      </c>
      <c r="Q42" s="38" t="s">
        <v>11</v>
      </c>
      <c r="R42" s="38" t="s">
        <v>11</v>
      </c>
      <c r="S42" s="38" t="s">
        <v>11</v>
      </c>
      <c r="T42" s="38" t="s">
        <v>11</v>
      </c>
      <c r="U42" s="38" t="s">
        <v>11</v>
      </c>
      <c r="V42" s="38" t="s">
        <v>11</v>
      </c>
      <c r="W42" s="38" t="s">
        <v>11</v>
      </c>
      <c r="X42" s="38" t="s">
        <v>11</v>
      </c>
      <c r="Y42" s="38" t="s">
        <v>11</v>
      </c>
      <c r="Z42" s="38" t="s">
        <v>11</v>
      </c>
      <c r="AA42" s="38" t="s">
        <v>11</v>
      </c>
    </row>
    <row r="43" spans="2:27" ht="13.8" x14ac:dyDescent="0.25">
      <c r="B43" s="311"/>
      <c r="C43" s="55" t="s">
        <v>480</v>
      </c>
      <c r="D43" s="29"/>
      <c r="E43" s="38" t="s">
        <v>11</v>
      </c>
      <c r="F43" s="38" t="s">
        <v>11</v>
      </c>
      <c r="G43" s="38" t="s">
        <v>11</v>
      </c>
      <c r="H43" s="38" t="s">
        <v>11</v>
      </c>
      <c r="I43" s="38" t="s">
        <v>11</v>
      </c>
      <c r="J43" s="38" t="s">
        <v>11</v>
      </c>
      <c r="K43" s="38" t="s">
        <v>11</v>
      </c>
      <c r="L43" s="38" t="s">
        <v>11</v>
      </c>
      <c r="M43" s="38" t="s">
        <v>11</v>
      </c>
      <c r="N43" s="38" t="s">
        <v>11</v>
      </c>
      <c r="O43" s="38" t="s">
        <v>11</v>
      </c>
      <c r="P43" s="38" t="s">
        <v>11</v>
      </c>
      <c r="Q43" s="38" t="s">
        <v>11</v>
      </c>
      <c r="R43" s="38" t="s">
        <v>11</v>
      </c>
      <c r="S43" s="38" t="s">
        <v>11</v>
      </c>
      <c r="T43" s="38" t="s">
        <v>11</v>
      </c>
      <c r="U43" s="38" t="s">
        <v>11</v>
      </c>
      <c r="V43" s="38" t="s">
        <v>11</v>
      </c>
      <c r="W43" s="38" t="s">
        <v>11</v>
      </c>
      <c r="X43" s="38" t="s">
        <v>11</v>
      </c>
      <c r="Y43" s="38" t="s">
        <v>11</v>
      </c>
      <c r="Z43" s="38" t="s">
        <v>11</v>
      </c>
      <c r="AA43" s="38" t="s">
        <v>11</v>
      </c>
    </row>
    <row r="44" spans="2:27" ht="13.8" x14ac:dyDescent="0.25">
      <c r="B44" s="311"/>
      <c r="C44" s="55" t="s">
        <v>481</v>
      </c>
      <c r="D44" s="29"/>
      <c r="E44" s="38" t="s">
        <v>11</v>
      </c>
      <c r="F44" s="38" t="s">
        <v>11</v>
      </c>
      <c r="G44" s="38" t="s">
        <v>11</v>
      </c>
      <c r="H44" s="38" t="s">
        <v>11</v>
      </c>
      <c r="I44" s="38" t="s">
        <v>11</v>
      </c>
      <c r="J44" s="38" t="s">
        <v>11</v>
      </c>
      <c r="K44" s="38" t="s">
        <v>11</v>
      </c>
      <c r="L44" s="38" t="s">
        <v>11</v>
      </c>
      <c r="M44" s="38" t="s">
        <v>11</v>
      </c>
      <c r="N44" s="38" t="s">
        <v>11</v>
      </c>
      <c r="O44" s="38" t="s">
        <v>11</v>
      </c>
      <c r="P44" s="38" t="s">
        <v>11</v>
      </c>
      <c r="Q44" s="38" t="s">
        <v>11</v>
      </c>
      <c r="R44" s="38" t="s">
        <v>11</v>
      </c>
      <c r="S44" s="38" t="s">
        <v>11</v>
      </c>
      <c r="T44" s="38" t="s">
        <v>11</v>
      </c>
      <c r="U44" s="38" t="s">
        <v>11</v>
      </c>
      <c r="V44" s="38" t="s">
        <v>11</v>
      </c>
      <c r="W44" s="38" t="s">
        <v>11</v>
      </c>
      <c r="X44" s="38" t="s">
        <v>11</v>
      </c>
      <c r="Y44" s="38" t="s">
        <v>11</v>
      </c>
      <c r="Z44" s="38" t="s">
        <v>11</v>
      </c>
      <c r="AA44" s="38" t="s">
        <v>11</v>
      </c>
    </row>
    <row r="45" spans="2:27" ht="13.8" x14ac:dyDescent="0.25">
      <c r="B45" s="311"/>
      <c r="C45" s="55" t="s">
        <v>482</v>
      </c>
      <c r="D45" s="29"/>
      <c r="E45" s="38" t="s">
        <v>11</v>
      </c>
      <c r="F45" s="38" t="s">
        <v>11</v>
      </c>
      <c r="G45" s="38" t="s">
        <v>11</v>
      </c>
      <c r="H45" s="38" t="s">
        <v>11</v>
      </c>
      <c r="I45" s="38" t="s">
        <v>11</v>
      </c>
      <c r="J45" s="38" t="s">
        <v>11</v>
      </c>
      <c r="K45" s="38" t="s">
        <v>11</v>
      </c>
      <c r="L45" s="38" t="s">
        <v>11</v>
      </c>
      <c r="M45" s="38" t="s">
        <v>11</v>
      </c>
      <c r="N45" s="38" t="s">
        <v>11</v>
      </c>
      <c r="O45" s="38" t="s">
        <v>11</v>
      </c>
      <c r="P45" s="38" t="s">
        <v>11</v>
      </c>
      <c r="Q45" s="38" t="s">
        <v>11</v>
      </c>
      <c r="R45" s="38" t="s">
        <v>11</v>
      </c>
      <c r="S45" s="38" t="s">
        <v>11</v>
      </c>
      <c r="T45" s="38" t="s">
        <v>11</v>
      </c>
      <c r="U45" s="38" t="s">
        <v>11</v>
      </c>
      <c r="V45" s="38" t="s">
        <v>11</v>
      </c>
      <c r="W45" s="38" t="s">
        <v>11</v>
      </c>
      <c r="X45" s="38" t="s">
        <v>11</v>
      </c>
      <c r="Y45" s="38" t="s">
        <v>11</v>
      </c>
      <c r="Z45" s="38" t="s">
        <v>11</v>
      </c>
      <c r="AA45" s="38" t="s">
        <v>11</v>
      </c>
    </row>
    <row r="46" spans="2:27" ht="13.8" x14ac:dyDescent="0.25">
      <c r="B46" s="311"/>
      <c r="C46" s="55" t="s">
        <v>483</v>
      </c>
      <c r="D46" s="29"/>
      <c r="E46" s="38" t="s">
        <v>11</v>
      </c>
      <c r="F46" s="38" t="s">
        <v>11</v>
      </c>
      <c r="G46" s="38" t="s">
        <v>11</v>
      </c>
      <c r="H46" s="38" t="s">
        <v>11</v>
      </c>
      <c r="I46" s="38" t="s">
        <v>11</v>
      </c>
      <c r="J46" s="38" t="s">
        <v>11</v>
      </c>
      <c r="K46" s="38" t="s">
        <v>11</v>
      </c>
      <c r="L46" s="38" t="s">
        <v>11</v>
      </c>
      <c r="M46" s="38" t="s">
        <v>11</v>
      </c>
      <c r="N46" s="38" t="s">
        <v>11</v>
      </c>
      <c r="O46" s="38" t="s">
        <v>11</v>
      </c>
      <c r="P46" s="38" t="s">
        <v>11</v>
      </c>
      <c r="Q46" s="38" t="s">
        <v>11</v>
      </c>
      <c r="R46" s="38" t="s">
        <v>11</v>
      </c>
      <c r="S46" s="38" t="s">
        <v>11</v>
      </c>
      <c r="T46" s="38" t="s">
        <v>11</v>
      </c>
      <c r="U46" s="38" t="s">
        <v>11</v>
      </c>
      <c r="V46" s="38" t="s">
        <v>11</v>
      </c>
      <c r="W46" s="38" t="s">
        <v>11</v>
      </c>
      <c r="X46" s="38" t="s">
        <v>11</v>
      </c>
      <c r="Y46" s="38" t="s">
        <v>11</v>
      </c>
      <c r="Z46" s="38" t="s">
        <v>11</v>
      </c>
      <c r="AA46" s="38" t="s">
        <v>11</v>
      </c>
    </row>
    <row r="47" spans="2:27" ht="13.8" x14ac:dyDescent="0.25">
      <c r="B47" s="311"/>
      <c r="C47" s="55" t="s">
        <v>484</v>
      </c>
      <c r="D47" s="29"/>
      <c r="E47" s="38" t="s">
        <v>11</v>
      </c>
      <c r="F47" s="38" t="s">
        <v>11</v>
      </c>
      <c r="G47" s="38" t="s">
        <v>11</v>
      </c>
      <c r="H47" s="38" t="s">
        <v>11</v>
      </c>
      <c r="I47" s="38" t="s">
        <v>11</v>
      </c>
      <c r="J47" s="38" t="s">
        <v>11</v>
      </c>
      <c r="K47" s="38" t="s">
        <v>11</v>
      </c>
      <c r="L47" s="38" t="s">
        <v>11</v>
      </c>
      <c r="M47" s="38" t="s">
        <v>11</v>
      </c>
      <c r="N47" s="38" t="s">
        <v>11</v>
      </c>
      <c r="O47" s="38" t="s">
        <v>11</v>
      </c>
      <c r="P47" s="38" t="s">
        <v>11</v>
      </c>
      <c r="Q47" s="38" t="s">
        <v>11</v>
      </c>
      <c r="R47" s="38" t="s">
        <v>11</v>
      </c>
      <c r="S47" s="38" t="s">
        <v>11</v>
      </c>
      <c r="T47" s="38" t="s">
        <v>11</v>
      </c>
      <c r="U47" s="38" t="s">
        <v>11</v>
      </c>
      <c r="V47" s="38" t="s">
        <v>11</v>
      </c>
      <c r="W47" s="38" t="s">
        <v>11</v>
      </c>
      <c r="X47" s="38" t="s">
        <v>11</v>
      </c>
      <c r="Y47" s="38" t="s">
        <v>11</v>
      </c>
      <c r="Z47" s="38" t="s">
        <v>11</v>
      </c>
      <c r="AA47" s="38" t="s">
        <v>11</v>
      </c>
    </row>
    <row r="48" spans="2:27" ht="13.8" x14ac:dyDescent="0.25">
      <c r="B48" s="311"/>
      <c r="C48" s="55" t="s">
        <v>485</v>
      </c>
      <c r="D48" s="29"/>
      <c r="E48" s="38" t="s">
        <v>11</v>
      </c>
      <c r="F48" s="38" t="s">
        <v>11</v>
      </c>
      <c r="G48" s="38" t="s">
        <v>11</v>
      </c>
      <c r="H48" s="38" t="s">
        <v>11</v>
      </c>
      <c r="I48" s="38" t="s">
        <v>11</v>
      </c>
      <c r="J48" s="38" t="s">
        <v>11</v>
      </c>
      <c r="K48" s="38" t="s">
        <v>11</v>
      </c>
      <c r="L48" s="38" t="s">
        <v>11</v>
      </c>
      <c r="M48" s="38" t="s">
        <v>11</v>
      </c>
      <c r="N48" s="38" t="s">
        <v>11</v>
      </c>
      <c r="O48" s="38" t="s">
        <v>11</v>
      </c>
      <c r="P48" s="38" t="s">
        <v>11</v>
      </c>
      <c r="Q48" s="38" t="s">
        <v>11</v>
      </c>
      <c r="R48" s="38" t="s">
        <v>11</v>
      </c>
      <c r="S48" s="38" t="s">
        <v>11</v>
      </c>
      <c r="T48" s="38" t="s">
        <v>11</v>
      </c>
      <c r="U48" s="38" t="s">
        <v>11</v>
      </c>
      <c r="V48" s="38" t="s">
        <v>11</v>
      </c>
      <c r="W48" s="38" t="s">
        <v>11</v>
      </c>
      <c r="X48" s="38" t="s">
        <v>11</v>
      </c>
      <c r="Y48" s="38" t="s">
        <v>11</v>
      </c>
      <c r="Z48" s="38" t="s">
        <v>11</v>
      </c>
      <c r="AA48" s="38" t="s">
        <v>11</v>
      </c>
    </row>
    <row r="49" spans="2:27" ht="13.8" x14ac:dyDescent="0.25">
      <c r="B49" s="311"/>
      <c r="C49" s="55" t="s">
        <v>486</v>
      </c>
      <c r="D49" s="29"/>
      <c r="E49" s="38" t="s">
        <v>11</v>
      </c>
      <c r="F49" s="38" t="s">
        <v>11</v>
      </c>
      <c r="G49" s="38" t="s">
        <v>11</v>
      </c>
      <c r="H49" s="38" t="s">
        <v>11</v>
      </c>
      <c r="I49" s="38" t="s">
        <v>11</v>
      </c>
      <c r="J49" s="38" t="s">
        <v>11</v>
      </c>
      <c r="K49" s="38" t="s">
        <v>11</v>
      </c>
      <c r="L49" s="38" t="s">
        <v>11</v>
      </c>
      <c r="M49" s="38" t="s">
        <v>11</v>
      </c>
      <c r="N49" s="38" t="s">
        <v>11</v>
      </c>
      <c r="O49" s="38" t="s">
        <v>11</v>
      </c>
      <c r="P49" s="38" t="s">
        <v>11</v>
      </c>
      <c r="Q49" s="38" t="s">
        <v>11</v>
      </c>
      <c r="R49" s="38" t="s">
        <v>11</v>
      </c>
      <c r="S49" s="38" t="s">
        <v>11</v>
      </c>
      <c r="T49" s="38" t="s">
        <v>11</v>
      </c>
      <c r="U49" s="38" t="s">
        <v>11</v>
      </c>
      <c r="V49" s="38" t="s">
        <v>11</v>
      </c>
      <c r="W49" s="38" t="s">
        <v>11</v>
      </c>
      <c r="X49" s="38" t="s">
        <v>11</v>
      </c>
      <c r="Y49" s="38" t="s">
        <v>11</v>
      </c>
      <c r="Z49" s="38" t="s">
        <v>11</v>
      </c>
      <c r="AA49" s="38" t="s">
        <v>11</v>
      </c>
    </row>
    <row r="50" spans="2:27" ht="13.8" x14ac:dyDescent="0.25">
      <c r="B50" s="311"/>
      <c r="C50" s="55" t="s">
        <v>487</v>
      </c>
      <c r="D50" s="14" t="s">
        <v>442</v>
      </c>
      <c r="E50" s="2" t="s">
        <v>1165</v>
      </c>
      <c r="F50" s="2" t="s">
        <v>1165</v>
      </c>
      <c r="G50" s="2" t="s">
        <v>1165</v>
      </c>
      <c r="H50" s="2" t="s">
        <v>1165</v>
      </c>
      <c r="I50" s="2" t="s">
        <v>1165</v>
      </c>
      <c r="J50" s="2" t="s">
        <v>1165</v>
      </c>
      <c r="K50" s="2" t="s">
        <v>1165</v>
      </c>
      <c r="L50" s="2" t="s">
        <v>1165</v>
      </c>
      <c r="M50" s="2" t="s">
        <v>1165</v>
      </c>
      <c r="N50" s="2" t="s">
        <v>1165</v>
      </c>
      <c r="O50" s="2" t="s">
        <v>1165</v>
      </c>
      <c r="P50" s="2" t="s">
        <v>1165</v>
      </c>
      <c r="Q50" s="2" t="s">
        <v>1165</v>
      </c>
      <c r="R50" s="2" t="s">
        <v>1165</v>
      </c>
      <c r="S50" s="2" t="s">
        <v>1240</v>
      </c>
      <c r="T50" s="2" t="s">
        <v>1240</v>
      </c>
      <c r="U50" s="2" t="s">
        <v>1240</v>
      </c>
      <c r="V50" s="2" t="s">
        <v>1240</v>
      </c>
      <c r="W50" s="2" t="s">
        <v>1240</v>
      </c>
      <c r="X50" s="2" t="s">
        <v>1240</v>
      </c>
      <c r="Y50" s="2" t="s">
        <v>1240</v>
      </c>
      <c r="Z50" s="2" t="s">
        <v>1265</v>
      </c>
      <c r="AA50" s="2" t="s">
        <v>1265</v>
      </c>
    </row>
    <row r="51" spans="2:27" ht="13.8" x14ac:dyDescent="0.25">
      <c r="B51" s="311"/>
      <c r="C51" s="55" t="s">
        <v>488</v>
      </c>
      <c r="D51" s="14" t="s">
        <v>442</v>
      </c>
      <c r="E51" s="2" t="s">
        <v>1166</v>
      </c>
      <c r="F51" s="2" t="s">
        <v>1166</v>
      </c>
      <c r="G51" s="2" t="s">
        <v>1166</v>
      </c>
      <c r="H51" s="2" t="s">
        <v>1166</v>
      </c>
      <c r="I51" s="2" t="s">
        <v>1166</v>
      </c>
      <c r="J51" s="2" t="s">
        <v>1166</v>
      </c>
      <c r="K51" s="2" t="s">
        <v>1166</v>
      </c>
      <c r="L51" s="2" t="s">
        <v>1166</v>
      </c>
      <c r="M51" s="2" t="s">
        <v>1166</v>
      </c>
      <c r="N51" s="2" t="s">
        <v>1166</v>
      </c>
      <c r="O51" s="2" t="s">
        <v>1166</v>
      </c>
      <c r="P51" s="2" t="s">
        <v>1166</v>
      </c>
      <c r="Q51" s="2" t="s">
        <v>1166</v>
      </c>
      <c r="R51" s="2" t="s">
        <v>1166</v>
      </c>
      <c r="S51" s="2" t="s">
        <v>1241</v>
      </c>
      <c r="T51" s="2" t="s">
        <v>1241</v>
      </c>
      <c r="U51" s="2" t="s">
        <v>1241</v>
      </c>
      <c r="V51" s="2" t="s">
        <v>1241</v>
      </c>
      <c r="W51" s="2" t="s">
        <v>1241</v>
      </c>
      <c r="X51" s="2" t="s">
        <v>1241</v>
      </c>
      <c r="Y51" s="2" t="s">
        <v>1241</v>
      </c>
      <c r="Z51" s="2" t="s">
        <v>1266</v>
      </c>
      <c r="AA51" s="2" t="s">
        <v>1266</v>
      </c>
    </row>
    <row r="52" spans="2:27" ht="13.8" x14ac:dyDescent="0.25">
      <c r="B52" s="311"/>
      <c r="C52" s="55" t="s">
        <v>489</v>
      </c>
      <c r="D52" s="14" t="s">
        <v>442</v>
      </c>
      <c r="E52" s="2" t="s">
        <v>1167</v>
      </c>
      <c r="F52" s="2" t="s">
        <v>1167</v>
      </c>
      <c r="G52" s="2" t="s">
        <v>1167</v>
      </c>
      <c r="H52" s="2" t="s">
        <v>1167</v>
      </c>
      <c r="I52" s="2" t="s">
        <v>1167</v>
      </c>
      <c r="J52" s="2" t="s">
        <v>1167</v>
      </c>
      <c r="K52" s="2" t="s">
        <v>1167</v>
      </c>
      <c r="L52" s="2" t="s">
        <v>1167</v>
      </c>
      <c r="M52" s="2" t="s">
        <v>1167</v>
      </c>
      <c r="N52" s="2" t="s">
        <v>1167</v>
      </c>
      <c r="O52" s="2" t="s">
        <v>1167</v>
      </c>
      <c r="P52" s="2" t="s">
        <v>1167</v>
      </c>
      <c r="Q52" s="2" t="s">
        <v>1167</v>
      </c>
      <c r="R52" s="2" t="s">
        <v>1167</v>
      </c>
      <c r="S52" s="2" t="s">
        <v>1242</v>
      </c>
      <c r="T52" s="2" t="s">
        <v>1242</v>
      </c>
      <c r="U52" s="2" t="s">
        <v>1242</v>
      </c>
      <c r="V52" s="2" t="s">
        <v>1242</v>
      </c>
      <c r="W52" s="2" t="s">
        <v>1242</v>
      </c>
      <c r="X52" s="2" t="s">
        <v>1242</v>
      </c>
      <c r="Y52" s="2" t="s">
        <v>1242</v>
      </c>
      <c r="Z52" s="2" t="s">
        <v>1267</v>
      </c>
      <c r="AA52" s="2" t="s">
        <v>1267</v>
      </c>
    </row>
    <row r="53" spans="2:27" x14ac:dyDescent="0.25">
      <c r="B53" s="312" t="s">
        <v>8</v>
      </c>
      <c r="C53" s="54" t="s">
        <v>439</v>
      </c>
      <c r="D53" s="14" t="s">
        <v>442</v>
      </c>
      <c r="E53" s="105" t="s">
        <v>860</v>
      </c>
      <c r="F53" s="105" t="s">
        <v>860</v>
      </c>
      <c r="G53" s="105" t="s">
        <v>860</v>
      </c>
      <c r="H53" s="105" t="s">
        <v>860</v>
      </c>
      <c r="I53" s="105" t="s">
        <v>860</v>
      </c>
      <c r="J53" s="105" t="s">
        <v>860</v>
      </c>
      <c r="K53" s="105" t="s">
        <v>860</v>
      </c>
      <c r="L53" s="105" t="s">
        <v>860</v>
      </c>
      <c r="M53" s="105" t="s">
        <v>860</v>
      </c>
      <c r="N53" s="105" t="s">
        <v>860</v>
      </c>
      <c r="O53" s="105" t="s">
        <v>860</v>
      </c>
      <c r="P53" s="105" t="s">
        <v>860</v>
      </c>
      <c r="Q53" s="105" t="s">
        <v>860</v>
      </c>
      <c r="R53" s="105" t="s">
        <v>860</v>
      </c>
      <c r="S53" s="105" t="s">
        <v>860</v>
      </c>
      <c r="T53" s="105" t="s">
        <v>860</v>
      </c>
      <c r="U53" s="105" t="s">
        <v>860</v>
      </c>
      <c r="V53" s="105" t="s">
        <v>860</v>
      </c>
      <c r="W53" s="105" t="s">
        <v>860</v>
      </c>
      <c r="X53" s="105" t="s">
        <v>860</v>
      </c>
      <c r="Y53" s="105" t="s">
        <v>860</v>
      </c>
      <c r="Z53" s="105" t="s">
        <v>860</v>
      </c>
      <c r="AA53" s="105" t="s">
        <v>860</v>
      </c>
    </row>
    <row r="54" spans="2:27" ht="13.8" x14ac:dyDescent="0.25">
      <c r="B54" s="312"/>
      <c r="C54" s="54" t="s">
        <v>440</v>
      </c>
      <c r="D54" s="14" t="s">
        <v>442</v>
      </c>
      <c r="E54" s="5" t="s">
        <v>61</v>
      </c>
      <c r="F54" s="5" t="s">
        <v>61</v>
      </c>
      <c r="G54" s="5" t="s">
        <v>61</v>
      </c>
      <c r="H54" s="5" t="s">
        <v>61</v>
      </c>
      <c r="I54" s="5" t="s">
        <v>61</v>
      </c>
      <c r="J54" s="5" t="s">
        <v>61</v>
      </c>
      <c r="K54" s="5" t="s">
        <v>61</v>
      </c>
      <c r="L54" s="5" t="s">
        <v>61</v>
      </c>
      <c r="M54" s="5" t="s">
        <v>61</v>
      </c>
      <c r="N54" s="5" t="s">
        <v>61</v>
      </c>
      <c r="O54" s="5" t="s">
        <v>61</v>
      </c>
      <c r="P54" s="5" t="s">
        <v>61</v>
      </c>
      <c r="Q54" s="5" t="s">
        <v>61</v>
      </c>
      <c r="R54" s="5" t="s">
        <v>61</v>
      </c>
      <c r="S54" s="5" t="s">
        <v>61</v>
      </c>
      <c r="T54" s="5" t="s">
        <v>61</v>
      </c>
      <c r="U54" s="5" t="s">
        <v>61</v>
      </c>
      <c r="V54" s="5" t="s">
        <v>61</v>
      </c>
      <c r="W54" s="5" t="s">
        <v>61</v>
      </c>
      <c r="X54" s="5" t="s">
        <v>61</v>
      </c>
      <c r="Y54" s="5" t="s">
        <v>61</v>
      </c>
      <c r="Z54" s="5" t="s">
        <v>61</v>
      </c>
      <c r="AA54" s="5" t="s">
        <v>61</v>
      </c>
    </row>
    <row r="55" spans="2:27" ht="13.8" x14ac:dyDescent="0.25">
      <c r="B55" s="312"/>
      <c r="C55" s="13" t="s">
        <v>441</v>
      </c>
      <c r="D55" s="40" t="s">
        <v>442</v>
      </c>
      <c r="E55" s="5" t="s">
        <v>1148</v>
      </c>
      <c r="F55" s="5" t="s">
        <v>1148</v>
      </c>
      <c r="G55" s="5" t="s">
        <v>1148</v>
      </c>
      <c r="H55" s="5" t="s">
        <v>1148</v>
      </c>
      <c r="I55" s="5" t="s">
        <v>1148</v>
      </c>
      <c r="J55" s="5" t="s">
        <v>1148</v>
      </c>
      <c r="K55" s="5" t="s">
        <v>1148</v>
      </c>
      <c r="L55" s="5" t="s">
        <v>1148</v>
      </c>
      <c r="M55" s="5" t="s">
        <v>1148</v>
      </c>
      <c r="N55" s="5" t="s">
        <v>1148</v>
      </c>
      <c r="O55" s="5" t="s">
        <v>1148</v>
      </c>
      <c r="P55" s="5" t="s">
        <v>1148</v>
      </c>
      <c r="Q55" s="5" t="s">
        <v>1148</v>
      </c>
      <c r="R55" s="5" t="s">
        <v>1148</v>
      </c>
      <c r="S55" s="5" t="s">
        <v>1148</v>
      </c>
      <c r="T55" s="5" t="s">
        <v>1148</v>
      </c>
      <c r="U55" s="5" t="s">
        <v>1148</v>
      </c>
      <c r="V55" s="5" t="s">
        <v>1148</v>
      </c>
      <c r="W55" s="5" t="s">
        <v>1148</v>
      </c>
      <c r="X55" s="5" t="s">
        <v>1148</v>
      </c>
      <c r="Y55" s="5" t="s">
        <v>1148</v>
      </c>
      <c r="Z55" s="5" t="s">
        <v>1148</v>
      </c>
      <c r="AA55" s="5" t="s">
        <v>1148</v>
      </c>
    </row>
    <row r="56" spans="2:27" ht="13.8" x14ac:dyDescent="0.25">
      <c r="B56" s="312"/>
      <c r="C56" s="13" t="s">
        <v>490</v>
      </c>
      <c r="D56" s="29"/>
      <c r="E56" s="3" t="s">
        <v>1151</v>
      </c>
      <c r="F56" s="3" t="s">
        <v>1151</v>
      </c>
      <c r="G56" s="3" t="s">
        <v>1151</v>
      </c>
      <c r="H56" s="3" t="s">
        <v>1151</v>
      </c>
      <c r="I56" s="3" t="s">
        <v>1151</v>
      </c>
      <c r="J56" s="3" t="s">
        <v>1151</v>
      </c>
      <c r="K56" s="3" t="s">
        <v>1151</v>
      </c>
      <c r="L56" s="3" t="s">
        <v>1151</v>
      </c>
      <c r="M56" s="3" t="s">
        <v>1151</v>
      </c>
      <c r="N56" s="3" t="s">
        <v>1151</v>
      </c>
      <c r="O56" s="3" t="s">
        <v>1151</v>
      </c>
      <c r="P56" s="3" t="s">
        <v>1151</v>
      </c>
      <c r="Q56" s="3" t="s">
        <v>1151</v>
      </c>
      <c r="R56" s="3" t="s">
        <v>1151</v>
      </c>
      <c r="S56" s="3" t="s">
        <v>1151</v>
      </c>
      <c r="T56" s="3" t="s">
        <v>1151</v>
      </c>
      <c r="U56" s="3" t="s">
        <v>1151</v>
      </c>
      <c r="V56" s="3" t="s">
        <v>1151</v>
      </c>
      <c r="W56" s="3" t="s">
        <v>1151</v>
      </c>
      <c r="X56" s="3" t="s">
        <v>1151</v>
      </c>
      <c r="Y56" s="3" t="s">
        <v>1151</v>
      </c>
      <c r="Z56" s="3" t="s">
        <v>1151</v>
      </c>
      <c r="AA56" s="3" t="s">
        <v>1151</v>
      </c>
    </row>
    <row r="57" spans="2:27" ht="13.8" x14ac:dyDescent="0.25">
      <c r="B57" s="312"/>
      <c r="C57" s="56" t="s">
        <v>491</v>
      </c>
      <c r="D57" s="40" t="s">
        <v>442</v>
      </c>
      <c r="E57" s="2" t="s">
        <v>1155</v>
      </c>
      <c r="F57" s="2" t="s">
        <v>1155</v>
      </c>
      <c r="G57" s="2" t="s">
        <v>1155</v>
      </c>
      <c r="H57" s="2" t="s">
        <v>1155</v>
      </c>
      <c r="I57" s="2" t="s">
        <v>1155</v>
      </c>
      <c r="J57" s="2" t="s">
        <v>1155</v>
      </c>
      <c r="K57" s="2" t="s">
        <v>1155</v>
      </c>
      <c r="L57" s="2" t="s">
        <v>1155</v>
      </c>
      <c r="M57" s="2" t="s">
        <v>1155</v>
      </c>
      <c r="N57" s="2" t="s">
        <v>1155</v>
      </c>
      <c r="O57" s="2" t="s">
        <v>1155</v>
      </c>
      <c r="P57" s="2" t="s">
        <v>1155</v>
      </c>
      <c r="Q57" s="2" t="s">
        <v>1155</v>
      </c>
      <c r="R57" s="2" t="s">
        <v>1155</v>
      </c>
      <c r="S57" s="2" t="s">
        <v>1155</v>
      </c>
      <c r="T57" s="2" t="s">
        <v>1155</v>
      </c>
      <c r="U57" s="2" t="s">
        <v>1155</v>
      </c>
      <c r="V57" s="2" t="s">
        <v>1155</v>
      </c>
      <c r="W57" s="2" t="s">
        <v>1155</v>
      </c>
      <c r="X57" s="2" t="s">
        <v>1155</v>
      </c>
      <c r="Y57" s="2" t="s">
        <v>1155</v>
      </c>
      <c r="Z57" s="2" t="s">
        <v>1155</v>
      </c>
      <c r="AA57" s="2" t="s">
        <v>1155</v>
      </c>
    </row>
    <row r="58" spans="2:27" x14ac:dyDescent="0.25">
      <c r="B58" s="312"/>
      <c r="C58" s="13" t="s">
        <v>444</v>
      </c>
      <c r="D58" s="29"/>
      <c r="E58" s="90" t="s">
        <v>1152</v>
      </c>
      <c r="F58" s="90" t="s">
        <v>1152</v>
      </c>
      <c r="G58" s="90" t="s">
        <v>1152</v>
      </c>
      <c r="H58" s="90" t="s">
        <v>1152</v>
      </c>
      <c r="I58" s="90" t="s">
        <v>1152</v>
      </c>
      <c r="J58" s="90" t="s">
        <v>1152</v>
      </c>
      <c r="K58" s="90" t="s">
        <v>1152</v>
      </c>
      <c r="L58" s="90" t="s">
        <v>1152</v>
      </c>
      <c r="M58" s="90" t="s">
        <v>1152</v>
      </c>
      <c r="N58" s="90" t="s">
        <v>1152</v>
      </c>
      <c r="O58" s="90" t="s">
        <v>1152</v>
      </c>
      <c r="P58" s="90" t="s">
        <v>1152</v>
      </c>
      <c r="Q58" s="90" t="s">
        <v>1152</v>
      </c>
      <c r="R58" s="90" t="s">
        <v>1152</v>
      </c>
      <c r="S58" s="90" t="s">
        <v>1152</v>
      </c>
      <c r="T58" s="90" t="s">
        <v>1152</v>
      </c>
      <c r="U58" s="90" t="s">
        <v>1152</v>
      </c>
      <c r="V58" s="90" t="s">
        <v>1152</v>
      </c>
      <c r="W58" s="90" t="s">
        <v>1152</v>
      </c>
      <c r="X58" s="90" t="s">
        <v>1152</v>
      </c>
      <c r="Y58" s="90" t="s">
        <v>1152</v>
      </c>
      <c r="Z58" s="90" t="s">
        <v>1152</v>
      </c>
      <c r="AA58" s="90" t="s">
        <v>1152</v>
      </c>
    </row>
    <row r="59" spans="2:27" ht="13.8" x14ac:dyDescent="0.25">
      <c r="B59" s="312"/>
      <c r="C59" s="13" t="s">
        <v>445</v>
      </c>
      <c r="D59" s="40" t="s">
        <v>442</v>
      </c>
      <c r="E59" s="5" t="s">
        <v>1153</v>
      </c>
      <c r="F59" s="5" t="s">
        <v>1153</v>
      </c>
      <c r="G59" s="5" t="s">
        <v>1153</v>
      </c>
      <c r="H59" s="5" t="s">
        <v>1153</v>
      </c>
      <c r="I59" s="5" t="s">
        <v>1153</v>
      </c>
      <c r="J59" s="5" t="s">
        <v>1153</v>
      </c>
      <c r="K59" s="5" t="s">
        <v>1153</v>
      </c>
      <c r="L59" s="5" t="s">
        <v>1153</v>
      </c>
      <c r="M59" s="5" t="s">
        <v>1153</v>
      </c>
      <c r="N59" s="5" t="s">
        <v>1153</v>
      </c>
      <c r="O59" s="5" t="s">
        <v>1153</v>
      </c>
      <c r="P59" s="5" t="s">
        <v>1153</v>
      </c>
      <c r="Q59" s="5" t="s">
        <v>1153</v>
      </c>
      <c r="R59" s="5" t="s">
        <v>1153</v>
      </c>
      <c r="S59" s="5" t="s">
        <v>1153</v>
      </c>
      <c r="T59" s="5" t="s">
        <v>1153</v>
      </c>
      <c r="U59" s="5" t="s">
        <v>1153</v>
      </c>
      <c r="V59" s="5" t="s">
        <v>1153</v>
      </c>
      <c r="W59" s="5" t="s">
        <v>1153</v>
      </c>
      <c r="X59" s="5" t="s">
        <v>1153</v>
      </c>
      <c r="Y59" s="5" t="s">
        <v>1153</v>
      </c>
      <c r="Z59" s="5" t="s">
        <v>1153</v>
      </c>
      <c r="AA59" s="5" t="s">
        <v>1153</v>
      </c>
    </row>
    <row r="60" spans="2:27" x14ac:dyDescent="0.25">
      <c r="B60" s="312"/>
      <c r="C60" s="54" t="s">
        <v>492</v>
      </c>
      <c r="D60" s="14" t="s">
        <v>442</v>
      </c>
      <c r="E60" s="12">
        <v>1</v>
      </c>
      <c r="F60" s="12">
        <v>1</v>
      </c>
      <c r="G60" s="12">
        <v>1</v>
      </c>
      <c r="H60" s="12">
        <v>1</v>
      </c>
      <c r="I60" s="12">
        <v>1</v>
      </c>
      <c r="J60" s="12">
        <v>1</v>
      </c>
      <c r="K60" s="12">
        <v>1</v>
      </c>
      <c r="L60" s="12">
        <v>1</v>
      </c>
      <c r="M60" s="12">
        <v>1</v>
      </c>
      <c r="N60" s="12">
        <v>1</v>
      </c>
      <c r="O60" s="12">
        <v>1</v>
      </c>
      <c r="P60" s="12">
        <v>1</v>
      </c>
      <c r="Q60" s="12">
        <v>1</v>
      </c>
      <c r="R60" s="12">
        <v>1</v>
      </c>
      <c r="S60" s="12">
        <v>1</v>
      </c>
      <c r="T60" s="12">
        <v>1</v>
      </c>
      <c r="U60" s="12">
        <v>1</v>
      </c>
      <c r="V60" s="12">
        <v>1</v>
      </c>
      <c r="W60" s="12">
        <v>1</v>
      </c>
      <c r="X60" s="12">
        <v>1</v>
      </c>
      <c r="Y60" s="12">
        <v>1</v>
      </c>
      <c r="Z60" s="12">
        <v>1</v>
      </c>
      <c r="AA60" s="12">
        <v>1</v>
      </c>
    </row>
    <row r="61" spans="2:27" ht="13.8" x14ac:dyDescent="0.25">
      <c r="B61" s="313" t="s">
        <v>342</v>
      </c>
      <c r="C61" s="13" t="s">
        <v>493</v>
      </c>
      <c r="D61" s="29"/>
      <c r="E61" s="9">
        <v>43629</v>
      </c>
      <c r="F61" s="9">
        <v>43629</v>
      </c>
      <c r="G61" s="9">
        <v>43629</v>
      </c>
      <c r="H61" s="9">
        <v>43629</v>
      </c>
      <c r="I61" s="9">
        <v>43629</v>
      </c>
      <c r="J61" s="9">
        <v>43629</v>
      </c>
      <c r="K61" s="9">
        <v>43629</v>
      </c>
      <c r="L61" s="9">
        <v>43629</v>
      </c>
      <c r="M61" s="9">
        <v>43629</v>
      </c>
      <c r="N61" s="9">
        <v>43629</v>
      </c>
      <c r="O61" s="9">
        <v>43629</v>
      </c>
      <c r="P61" s="9">
        <v>43629</v>
      </c>
      <c r="Q61" s="9">
        <v>43629</v>
      </c>
      <c r="R61" s="9">
        <v>43629</v>
      </c>
      <c r="S61" s="9">
        <v>43629</v>
      </c>
      <c r="T61" s="9">
        <v>43629</v>
      </c>
      <c r="U61" s="9">
        <v>43629</v>
      </c>
      <c r="V61" s="9">
        <v>43629</v>
      </c>
      <c r="W61" s="9">
        <v>43629</v>
      </c>
      <c r="X61" s="9">
        <v>43629</v>
      </c>
      <c r="Y61" s="9">
        <v>43629</v>
      </c>
      <c r="Z61" s="9">
        <v>43629</v>
      </c>
      <c r="AA61" s="9">
        <v>43629</v>
      </c>
    </row>
    <row r="62" spans="2:27" ht="13.8" x14ac:dyDescent="0.25">
      <c r="B62" s="313"/>
      <c r="C62" s="13" t="s">
        <v>446</v>
      </c>
      <c r="D62" s="14" t="s">
        <v>442</v>
      </c>
      <c r="E62" s="9">
        <v>43629</v>
      </c>
      <c r="F62" s="9">
        <v>43629</v>
      </c>
      <c r="G62" s="9">
        <v>43629</v>
      </c>
      <c r="H62" s="9">
        <v>43629</v>
      </c>
      <c r="I62" s="9">
        <v>43629</v>
      </c>
      <c r="J62" s="9">
        <v>43629</v>
      </c>
      <c r="K62" s="9">
        <v>43629</v>
      </c>
      <c r="L62" s="9">
        <v>43629</v>
      </c>
      <c r="M62" s="9">
        <v>43629</v>
      </c>
      <c r="N62" s="9">
        <v>43629</v>
      </c>
      <c r="O62" s="9">
        <v>43629</v>
      </c>
      <c r="P62" s="9">
        <v>43629</v>
      </c>
      <c r="Q62" s="9">
        <v>43629</v>
      </c>
      <c r="R62" s="9">
        <v>43629</v>
      </c>
      <c r="S62" s="9">
        <v>43629</v>
      </c>
      <c r="T62" s="9">
        <v>43629</v>
      </c>
      <c r="U62" s="9">
        <v>43629</v>
      </c>
      <c r="V62" s="9">
        <v>43629</v>
      </c>
      <c r="W62" s="9">
        <v>43629</v>
      </c>
      <c r="X62" s="9">
        <v>43629</v>
      </c>
      <c r="Y62" s="9">
        <v>43629</v>
      </c>
      <c r="Z62" s="9">
        <v>43629</v>
      </c>
      <c r="AA62" s="9">
        <v>43629</v>
      </c>
    </row>
    <row r="63" spans="2:27" ht="13.8" x14ac:dyDescent="0.25">
      <c r="B63" s="313"/>
      <c r="C63" s="13" t="s">
        <v>447</v>
      </c>
      <c r="D63" s="14" t="s">
        <v>442</v>
      </c>
      <c r="E63" s="2" t="s">
        <v>30</v>
      </c>
      <c r="F63" s="2" t="s">
        <v>30</v>
      </c>
      <c r="G63" s="2" t="s">
        <v>30</v>
      </c>
      <c r="H63" s="2" t="s">
        <v>30</v>
      </c>
      <c r="I63" s="2" t="s">
        <v>30</v>
      </c>
      <c r="J63" s="2" t="s">
        <v>30</v>
      </c>
      <c r="K63" s="2" t="s">
        <v>30</v>
      </c>
      <c r="L63" s="2" t="s">
        <v>30</v>
      </c>
      <c r="M63" s="2" t="s">
        <v>30</v>
      </c>
      <c r="N63" s="2" t="s">
        <v>30</v>
      </c>
      <c r="O63" s="2" t="s">
        <v>30</v>
      </c>
      <c r="P63" s="2" t="s">
        <v>30</v>
      </c>
      <c r="Q63" s="2" t="s">
        <v>30</v>
      </c>
      <c r="R63" s="2" t="s">
        <v>30</v>
      </c>
      <c r="S63" s="2" t="s">
        <v>30</v>
      </c>
      <c r="T63" s="2" t="s">
        <v>30</v>
      </c>
      <c r="U63" s="2" t="s">
        <v>30</v>
      </c>
      <c r="V63" s="2" t="s">
        <v>30</v>
      </c>
      <c r="W63" s="2" t="s">
        <v>30</v>
      </c>
      <c r="X63" s="2" t="s">
        <v>30</v>
      </c>
      <c r="Y63" s="2" t="s">
        <v>30</v>
      </c>
      <c r="Z63" s="2" t="s">
        <v>30</v>
      </c>
      <c r="AA63" s="2" t="s">
        <v>30</v>
      </c>
    </row>
    <row r="64" spans="2:27" ht="13.8" x14ac:dyDescent="0.25">
      <c r="B64" s="313"/>
      <c r="C64" s="13" t="s">
        <v>494</v>
      </c>
      <c r="D64" s="40" t="s">
        <v>442</v>
      </c>
      <c r="E64" s="2" t="s">
        <v>1156</v>
      </c>
      <c r="F64" s="2" t="s">
        <v>1156</v>
      </c>
      <c r="G64" s="2" t="s">
        <v>1156</v>
      </c>
      <c r="H64" s="2" t="s">
        <v>1156</v>
      </c>
      <c r="I64" s="2" t="s">
        <v>1156</v>
      </c>
      <c r="J64" s="2" t="s">
        <v>1156</v>
      </c>
      <c r="K64" s="2" t="s">
        <v>1156</v>
      </c>
      <c r="L64" s="2" t="s">
        <v>1156</v>
      </c>
      <c r="M64" s="2" t="s">
        <v>1156</v>
      </c>
      <c r="N64" s="2" t="s">
        <v>1156</v>
      </c>
      <c r="O64" s="2" t="s">
        <v>1156</v>
      </c>
      <c r="P64" s="2" t="s">
        <v>1156</v>
      </c>
      <c r="Q64" s="2" t="s">
        <v>1156</v>
      </c>
      <c r="R64" s="2" t="s">
        <v>1156</v>
      </c>
      <c r="S64" s="2" t="s">
        <v>1156</v>
      </c>
      <c r="T64" s="2" t="s">
        <v>1156</v>
      </c>
      <c r="U64" s="2" t="s">
        <v>1156</v>
      </c>
      <c r="V64" s="2" t="s">
        <v>1156</v>
      </c>
      <c r="W64" s="2" t="s">
        <v>1156</v>
      </c>
      <c r="X64" s="2" t="s">
        <v>1156</v>
      </c>
      <c r="Y64" s="2" t="s">
        <v>1156</v>
      </c>
      <c r="Z64" s="2" t="s">
        <v>1156</v>
      </c>
      <c r="AA64" s="2" t="s">
        <v>1156</v>
      </c>
    </row>
    <row r="65" spans="2:27" ht="13.8" x14ac:dyDescent="0.25">
      <c r="B65" s="313"/>
      <c r="C65" s="54" t="s">
        <v>495</v>
      </c>
      <c r="D65" s="14"/>
      <c r="E65" s="5"/>
      <c r="F65" s="5"/>
      <c r="G65" s="5"/>
      <c r="H65" s="5"/>
      <c r="I65" s="5"/>
      <c r="J65" s="5"/>
      <c r="K65" s="5"/>
      <c r="L65" s="5"/>
      <c r="M65" s="5"/>
      <c r="N65" s="5"/>
      <c r="O65" s="5"/>
      <c r="P65" s="5"/>
      <c r="Q65" s="5"/>
      <c r="R65" s="5"/>
      <c r="S65" s="5"/>
      <c r="T65" s="5"/>
      <c r="U65" s="5"/>
      <c r="V65" s="5"/>
      <c r="W65" s="5"/>
      <c r="X65" s="5"/>
      <c r="Y65" s="5"/>
      <c r="Z65" s="5"/>
      <c r="AA65" s="5"/>
    </row>
    <row r="66" spans="2:27" ht="13.8" x14ac:dyDescent="0.25">
      <c r="B66" s="313"/>
      <c r="C66" s="54" t="s">
        <v>496</v>
      </c>
      <c r="D66" s="14"/>
      <c r="E66" s="5"/>
      <c r="F66" s="5"/>
      <c r="G66" s="5"/>
      <c r="H66" s="5"/>
      <c r="I66" s="5"/>
      <c r="J66" s="5"/>
      <c r="K66" s="5"/>
      <c r="L66" s="5"/>
      <c r="M66" s="5"/>
      <c r="N66" s="5"/>
      <c r="O66" s="5"/>
      <c r="P66" s="5"/>
      <c r="Q66" s="5"/>
      <c r="R66" s="5"/>
      <c r="S66" s="5"/>
      <c r="T66" s="5"/>
      <c r="U66" s="5"/>
      <c r="V66" s="5"/>
      <c r="W66" s="5"/>
      <c r="X66" s="5"/>
      <c r="Y66" s="5"/>
      <c r="Z66" s="5"/>
      <c r="AA66" s="5"/>
    </row>
    <row r="67" spans="2:27" ht="13.8" x14ac:dyDescent="0.25">
      <c r="B67" s="313"/>
      <c r="C67" s="13" t="s">
        <v>497</v>
      </c>
      <c r="D67" s="29"/>
      <c r="E67" s="1"/>
      <c r="F67" s="1"/>
      <c r="G67" s="1"/>
      <c r="H67" s="1"/>
      <c r="I67" s="1"/>
      <c r="J67" s="1"/>
      <c r="K67" s="1"/>
      <c r="L67" s="1"/>
      <c r="M67" s="1"/>
      <c r="N67" s="1"/>
      <c r="O67" s="1"/>
      <c r="P67" s="1"/>
      <c r="Q67" s="1"/>
      <c r="R67" s="1"/>
      <c r="S67" s="1"/>
      <c r="T67" s="1"/>
      <c r="U67" s="1"/>
      <c r="V67" s="1"/>
      <c r="W67" s="1"/>
      <c r="X67" s="1"/>
      <c r="Y67" s="1"/>
      <c r="Z67" s="1"/>
      <c r="AA67" s="1"/>
    </row>
    <row r="68" spans="2:27" x14ac:dyDescent="0.25">
      <c r="B68" s="303" t="s">
        <v>185</v>
      </c>
      <c r="C68" s="15" t="s">
        <v>448</v>
      </c>
      <c r="D68" s="29"/>
      <c r="F68" s="105"/>
      <c r="G68" s="105"/>
      <c r="H68" s="105"/>
      <c r="I68" s="105"/>
      <c r="J68" s="105"/>
      <c r="K68" s="105"/>
      <c r="L68" s="105"/>
      <c r="M68" s="105"/>
      <c r="N68" s="105"/>
      <c r="O68" s="105"/>
      <c r="P68" s="105"/>
      <c r="Q68" s="105"/>
    </row>
    <row r="69" spans="2:27" x14ac:dyDescent="0.25">
      <c r="B69" s="303"/>
      <c r="C69" s="15" t="s">
        <v>449</v>
      </c>
      <c r="D69" s="29"/>
      <c r="F69" s="105"/>
      <c r="G69" s="105"/>
      <c r="H69" s="105"/>
      <c r="I69" s="105"/>
      <c r="J69" s="105"/>
      <c r="K69" s="105"/>
      <c r="L69" s="105"/>
      <c r="M69" s="105"/>
      <c r="N69" s="105"/>
      <c r="O69" s="105"/>
      <c r="P69" s="105"/>
      <c r="Q69" s="105"/>
    </row>
    <row r="70" spans="2:27" x14ac:dyDescent="0.25">
      <c r="B70" s="303"/>
      <c r="C70" s="15" t="s">
        <v>450</v>
      </c>
      <c r="D70" s="29"/>
      <c r="F70" s="105"/>
      <c r="G70" s="105"/>
      <c r="H70" s="105"/>
      <c r="I70" s="105"/>
      <c r="J70" s="105"/>
      <c r="K70" s="105"/>
      <c r="L70" s="105"/>
      <c r="M70" s="105"/>
      <c r="N70" s="105"/>
      <c r="O70" s="105"/>
      <c r="P70" s="105"/>
      <c r="Q70" s="105"/>
    </row>
    <row r="71" spans="2:27" x14ac:dyDescent="0.25">
      <c r="B71" s="303"/>
      <c r="C71" s="15" t="s">
        <v>498</v>
      </c>
      <c r="D71" s="29"/>
      <c r="F71" s="105"/>
      <c r="G71" s="105"/>
      <c r="H71" s="105"/>
      <c r="I71" s="105"/>
      <c r="J71" s="105"/>
      <c r="K71" s="105"/>
      <c r="L71" s="105"/>
      <c r="M71" s="105"/>
      <c r="N71" s="105"/>
      <c r="O71" s="105"/>
      <c r="P71" s="105"/>
      <c r="Q71" s="105"/>
    </row>
    <row r="72" spans="2:27" x14ac:dyDescent="0.25">
      <c r="B72" s="304"/>
      <c r="C72" s="16" t="s">
        <v>499</v>
      </c>
      <c r="D72" s="30"/>
      <c r="F72" s="105"/>
      <c r="G72" s="105"/>
      <c r="H72" s="105"/>
      <c r="I72" s="105"/>
      <c r="J72" s="105"/>
      <c r="K72" s="105"/>
      <c r="L72" s="105"/>
      <c r="M72" s="105"/>
      <c r="N72" s="105"/>
      <c r="O72" s="105"/>
      <c r="P72" s="105"/>
      <c r="Q72" s="105"/>
    </row>
  </sheetData>
  <mergeCells count="8">
    <mergeCell ref="B61:B67"/>
    <mergeCell ref="B68:B72"/>
    <mergeCell ref="B4:B5"/>
    <mergeCell ref="B7:B10"/>
    <mergeCell ref="B11:B20"/>
    <mergeCell ref="B21:B25"/>
    <mergeCell ref="B26:B52"/>
    <mergeCell ref="B53:B60"/>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Projects</vt:lpstr>
      <vt:lpstr>DataGroups</vt:lpstr>
      <vt:lpstr>DataSets_Inventory</vt:lpstr>
      <vt:lpstr>DataSets_SteelCycle</vt:lpstr>
      <vt:lpstr>DataSets_YSTAFDB_stocks&amp;flows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Pauliuk</dc:creator>
  <cp:lastModifiedBy>Stefan Pauliuk</cp:lastModifiedBy>
  <dcterms:created xsi:type="dcterms:W3CDTF">2018-06-13T07:40:26Z</dcterms:created>
  <dcterms:modified xsi:type="dcterms:W3CDTF">2026-09-05T11:02:48Z</dcterms:modified>
</cp:coreProperties>
</file>